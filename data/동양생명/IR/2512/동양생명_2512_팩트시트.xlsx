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6"/>
  <workbookPr showInkAnnotation="0" defaultThemeVersion="124226"/>
  <mc:AlternateContent xmlns:mc="http://schemas.openxmlformats.org/markup-compatibility/2006">
    <mc:Choice Requires="x15">
      <x15ac:absPath xmlns:x15ac="http://schemas.microsoft.com/office/spreadsheetml/2010/11/ac" url="C:\Users\45116\Desktop\업무\실적발표\2025\4Q25\홈페이지 업로드용\"/>
    </mc:Choice>
  </mc:AlternateContent>
  <xr:revisionPtr revIDLastSave="0" documentId="13_ncr:1_{866151A8-ADBC-4624-9450-76DDCE9E9A4F}" xr6:coauthVersionLast="36" xr6:coauthVersionMax="36" xr10:uidLastSave="{00000000-0000-0000-0000-000000000000}"/>
  <bookViews>
    <workbookView xWindow="-105" yWindow="-105" windowWidth="11685" windowHeight="2235" tabRatio="872" xr2:uid="{00000000-000D-0000-FFFF-FFFF00000000}"/>
  </bookViews>
  <sheets>
    <sheet name="Cover" sheetId="21" r:id="rId1"/>
    <sheet name="FH" sheetId="10" r:id="rId2"/>
    <sheet name="FS" sheetId="8" r:id="rId3"/>
    <sheet name="CSM" sheetId="47" r:id="rId4"/>
    <sheet name="Stability" sheetId="50" r:id="rId5"/>
    <sheet name="Productivity" sheetId="19" r:id="rId6"/>
    <sheet name="APE by P.T" sheetId="11" r:id="rId7"/>
    <sheet name="Premium Income by P.T.(GA+SA)" sheetId="42" r:id="rId8"/>
    <sheet name="Premium Income by P.T." sheetId="38" r:id="rId9"/>
    <sheet name="Initial P. by P.T." sheetId="35" r:id="rId10"/>
    <sheet name="First-year P. by P.T." sheetId="36" r:id="rId11"/>
    <sheet name="APE by D.C" sheetId="12" r:id="rId12"/>
    <sheet name="Premium Income by D.C.(GA+SA)" sheetId="43" r:id="rId13"/>
    <sheet name="Premium Income by D.C." sheetId="39" r:id="rId14"/>
    <sheet name="First-year P. by D.C" sheetId="40" r:id="rId15"/>
    <sheet name="&gt;Loan" sheetId="15" r:id="rId16"/>
    <sheet name="&gt;Bond" sheetId="16" r:id="rId17"/>
    <sheet name="BS  K-IFRS" sheetId="53" r:id="rId18"/>
    <sheet name="IS  K-IFRS" sheetId="54" r:id="rId19"/>
  </sheets>
  <definedNames>
    <definedName name="_xlnm._FilterDatabase" localSheetId="17" hidden="1">'BS  K-IFRS'!#REF!</definedName>
    <definedName name="_xlnm._FilterDatabase" localSheetId="3" hidden="1">CSM!#REF!</definedName>
    <definedName name="_xlnm._FilterDatabase" localSheetId="18" hidden="1">'IS  K-IFRS'!#REF!</definedName>
    <definedName name="_xlnm.Print_Area" localSheetId="16">'&gt;Bond'!$F$1:$S$24</definedName>
    <definedName name="_xlnm.Print_Area" localSheetId="15">'&gt;Loan'!$F$1:$T$26</definedName>
    <definedName name="_xlnm.Print_Area" localSheetId="11">'APE by D.C'!$F$1:$P$29</definedName>
    <definedName name="_xlnm.Print_Area" localSheetId="6">'APE by P.T'!$G$1:$P$27</definedName>
    <definedName name="_xlnm.Print_Area" localSheetId="17">'BS  K-IFRS'!$A$1:$C$46</definedName>
    <definedName name="_xlnm.Print_Area" localSheetId="0">Cover!$A$1:$H$44</definedName>
    <definedName name="_xlnm.Print_Area" localSheetId="3">CSM!$F$1:$AA$52</definedName>
    <definedName name="_xlnm.Print_Area" localSheetId="1">FH!$F$1:$Q$32</definedName>
    <definedName name="_xlnm.Print_Area" localSheetId="14">'First-year P. by D.C'!$D$1:$P$30</definedName>
    <definedName name="_xlnm.Print_Area" localSheetId="10">'First-year P. by P.T.'!$G$1:$P$27</definedName>
    <definedName name="_xlnm.Print_Area" localSheetId="2">FS!$F$1:$V$53</definedName>
    <definedName name="_xlnm.Print_Area" localSheetId="9">'Initial P. by P.T.'!$G$1:$P$27</definedName>
    <definedName name="_xlnm.Print_Area" localSheetId="18">'IS  K-IFRS'!$A$1:$C$56</definedName>
    <definedName name="_xlnm.Print_Area" localSheetId="13">'Premium Income by D.C.'!$F$1:$P$58</definedName>
    <definedName name="_xlnm.Print_Area" localSheetId="12">'Premium Income by D.C.(GA+SA)'!$F$1:$P$29</definedName>
    <definedName name="_xlnm.Print_Area" localSheetId="8">'Premium Income by P.T.'!$G$1:$P$54</definedName>
    <definedName name="_xlnm.Print_Area" localSheetId="7">'Premium Income by P.T.(GA+SA)'!$G$1:$P$27</definedName>
    <definedName name="_xlnm.Print_Area" localSheetId="5">Productivity!$F$1:$X$23</definedName>
    <definedName name="_xlnm.Print_Area" localSheetId="4">Stability!$F$1:$T$27</definedName>
  </definedNames>
  <calcPr calcId="191029"/>
</workbook>
</file>

<file path=xl/calcChain.xml><?xml version="1.0" encoding="utf-8"?>
<calcChain xmlns="http://schemas.openxmlformats.org/spreadsheetml/2006/main">
  <c r="U41" i="8" l="1"/>
  <c r="V41" i="8"/>
  <c r="U42" i="8"/>
  <c r="V42" i="8"/>
  <c r="S41" i="8"/>
  <c r="T41" i="8"/>
  <c r="S42" i="8"/>
  <c r="T42" i="8"/>
  <c r="R23" i="16" l="1"/>
  <c r="S23" i="16"/>
  <c r="S13" i="16"/>
  <c r="S12" i="16"/>
  <c r="S11" i="16"/>
  <c r="S10" i="16"/>
  <c r="S9" i="16"/>
  <c r="S8" i="16"/>
  <c r="S5" i="16"/>
  <c r="R12" i="16"/>
  <c r="R5" i="16"/>
  <c r="T4" i="15" l="1"/>
  <c r="S4" i="15"/>
  <c r="P4" i="15"/>
  <c r="T6" i="50" l="1"/>
  <c r="V8" i="8"/>
  <c r="V4" i="8"/>
  <c r="U4" i="8"/>
  <c r="S25" i="50" l="1"/>
  <c r="X29" i="47" l="1"/>
  <c r="P27" i="11" l="1"/>
  <c r="O27" i="11"/>
  <c r="P16" i="11"/>
  <c r="O16" i="11"/>
  <c r="P12" i="11"/>
  <c r="O12" i="11"/>
  <c r="P11" i="11"/>
  <c r="O11" i="11"/>
  <c r="P9" i="11"/>
  <c r="O9" i="11"/>
  <c r="P7" i="11"/>
  <c r="O7" i="11"/>
  <c r="Q10" i="10" l="1"/>
  <c r="T11" i="8" l="1"/>
  <c r="U11" i="8"/>
  <c r="V11" i="8"/>
  <c r="V39" i="8"/>
  <c r="V43" i="8"/>
  <c r="V37" i="8"/>
  <c r="V52" i="8"/>
  <c r="T52" i="8"/>
  <c r="S52" i="8"/>
  <c r="V51" i="8"/>
  <c r="T51" i="8"/>
  <c r="U51" i="8" s="1"/>
  <c r="S51" i="8"/>
  <c r="V50" i="8"/>
  <c r="T50" i="8"/>
  <c r="S50" i="8"/>
  <c r="V49" i="8"/>
  <c r="T49" i="8"/>
  <c r="S49" i="8"/>
  <c r="V48" i="8"/>
  <c r="T48" i="8"/>
  <c r="S48" i="8"/>
  <c r="V47" i="8"/>
  <c r="T47" i="8"/>
  <c r="U47" i="8" s="1"/>
  <c r="S47" i="8"/>
  <c r="V46" i="8"/>
  <c r="T46" i="8"/>
  <c r="S46" i="8"/>
  <c r="V45" i="8"/>
  <c r="T45" i="8"/>
  <c r="S45" i="8"/>
  <c r="V44" i="8"/>
  <c r="T44" i="8"/>
  <c r="S44" i="8"/>
  <c r="T43" i="8"/>
  <c r="S43" i="8"/>
  <c r="V40" i="8"/>
  <c r="T40" i="8"/>
  <c r="S40" i="8"/>
  <c r="T39" i="8"/>
  <c r="U39" i="8" s="1"/>
  <c r="S39" i="8"/>
  <c r="V38" i="8"/>
  <c r="T38" i="8"/>
  <c r="S38" i="8"/>
  <c r="T37" i="8"/>
  <c r="S37" i="8"/>
  <c r="V31" i="8"/>
  <c r="T31" i="8"/>
  <c r="S31" i="8"/>
  <c r="V30" i="8"/>
  <c r="T30" i="8"/>
  <c r="U30" i="8" s="1"/>
  <c r="S30" i="8"/>
  <c r="V29" i="8"/>
  <c r="T29" i="8"/>
  <c r="S29" i="8"/>
  <c r="V28" i="8"/>
  <c r="T28" i="8"/>
  <c r="U28" i="8" s="1"/>
  <c r="S28" i="8"/>
  <c r="T27" i="8"/>
  <c r="S27" i="8"/>
  <c r="V26" i="8"/>
  <c r="T26" i="8"/>
  <c r="U26" i="8" s="1"/>
  <c r="S26" i="8"/>
  <c r="V25" i="8"/>
  <c r="T25" i="8"/>
  <c r="S25" i="8"/>
  <c r="V24" i="8"/>
  <c r="T24" i="8"/>
  <c r="U24" i="8" s="1"/>
  <c r="S24" i="8"/>
  <c r="V23" i="8"/>
  <c r="T23" i="8"/>
  <c r="S23" i="8"/>
  <c r="V22" i="8"/>
  <c r="T22" i="8"/>
  <c r="U22" i="8" s="1"/>
  <c r="S22" i="8"/>
  <c r="V21" i="8"/>
  <c r="T21" i="8"/>
  <c r="S21" i="8"/>
  <c r="V20" i="8"/>
  <c r="T20" i="8"/>
  <c r="U20" i="8" s="1"/>
  <c r="S20" i="8"/>
  <c r="V19" i="8"/>
  <c r="T19" i="8"/>
  <c r="S19" i="8"/>
  <c r="V18" i="8"/>
  <c r="T18" i="8"/>
  <c r="U18" i="8" s="1"/>
  <c r="S18" i="8"/>
  <c r="V17" i="8"/>
  <c r="T17" i="8"/>
  <c r="S17" i="8"/>
  <c r="V16" i="8"/>
  <c r="T16" i="8"/>
  <c r="S16" i="8"/>
  <c r="V15" i="8"/>
  <c r="T15" i="8"/>
  <c r="S15" i="8"/>
  <c r="V14" i="8"/>
  <c r="T14" i="8"/>
  <c r="U14" i="8" s="1"/>
  <c r="S14" i="8"/>
  <c r="V13" i="8"/>
  <c r="T13" i="8"/>
  <c r="S13" i="8"/>
  <c r="V12" i="8"/>
  <c r="T12" i="8"/>
  <c r="U12" i="8" s="1"/>
  <c r="S12" i="8"/>
  <c r="S11" i="8"/>
  <c r="T10" i="8"/>
  <c r="S10" i="8"/>
  <c r="V9" i="8"/>
  <c r="T9" i="8"/>
  <c r="U9" i="8" s="1"/>
  <c r="S9" i="8"/>
  <c r="T8" i="8"/>
  <c r="S8" i="8"/>
  <c r="V7" i="8"/>
  <c r="T7" i="8"/>
  <c r="U7" i="8" s="1"/>
  <c r="S7" i="8"/>
  <c r="V6" i="8"/>
  <c r="T6" i="8"/>
  <c r="S6" i="8"/>
  <c r="V5" i="8"/>
  <c r="T5" i="8"/>
  <c r="U5" i="8" s="1"/>
  <c r="S5" i="8"/>
  <c r="T4" i="8"/>
  <c r="S4" i="8"/>
  <c r="U50" i="8" l="1"/>
  <c r="U38" i="8"/>
  <c r="U49" i="8"/>
  <c r="U40" i="8"/>
  <c r="U45" i="8"/>
  <c r="U37" i="8"/>
  <c r="U16" i="8"/>
  <c r="U8" i="8"/>
  <c r="U15" i="8"/>
  <c r="U19" i="8"/>
  <c r="U23" i="8"/>
  <c r="U27" i="8"/>
  <c r="U31" i="8"/>
  <c r="U44" i="8"/>
  <c r="U48" i="8"/>
  <c r="U52" i="8"/>
  <c r="U6" i="8"/>
  <c r="U10" i="8"/>
  <c r="U13" i="8"/>
  <c r="U17" i="8"/>
  <c r="U21" i="8"/>
  <c r="U25" i="8"/>
  <c r="U29" i="8"/>
  <c r="U43" i="8"/>
  <c r="U46" i="8"/>
  <c r="Y31" i="47"/>
  <c r="Z31" i="47"/>
  <c r="Q26" i="50" l="1"/>
  <c r="W31" i="47" l="1"/>
  <c r="Z4" i="47" l="1"/>
  <c r="Y4" i="47"/>
  <c r="Z51" i="47" l="1"/>
  <c r="Z50" i="47"/>
  <c r="Z49" i="47"/>
  <c r="Y48" i="47"/>
  <c r="Y47" i="47"/>
  <c r="Z41" i="47"/>
  <c r="Z37" i="47"/>
  <c r="Y38" i="47"/>
  <c r="Y37" i="47"/>
  <c r="Q6" i="50" l="1"/>
  <c r="P6" i="50"/>
  <c r="P5" i="40" l="1"/>
  <c r="O5" i="40"/>
  <c r="J9" i="40"/>
  <c r="J6" i="39"/>
  <c r="N58" i="39"/>
  <c r="M58" i="39"/>
  <c r="L58" i="39"/>
  <c r="K58" i="39"/>
  <c r="J58" i="39"/>
  <c r="N57" i="39"/>
  <c r="M57" i="39"/>
  <c r="L57" i="39"/>
  <c r="K57" i="39"/>
  <c r="J57" i="39"/>
  <c r="N55" i="39"/>
  <c r="M55" i="39"/>
  <c r="L55" i="39"/>
  <c r="K55" i="39"/>
  <c r="J55" i="39"/>
  <c r="J28" i="43"/>
  <c r="N29" i="43"/>
  <c r="M29" i="43"/>
  <c r="L29" i="43"/>
  <c r="K29" i="43"/>
  <c r="J29" i="43"/>
  <c r="N28" i="43"/>
  <c r="M28" i="43"/>
  <c r="L28" i="43"/>
  <c r="K28" i="43"/>
  <c r="N26" i="43"/>
  <c r="M26" i="43"/>
  <c r="L26" i="43"/>
  <c r="K26" i="43"/>
  <c r="J26" i="43"/>
  <c r="J25" i="43" l="1"/>
  <c r="J26" i="39"/>
  <c r="L25" i="43"/>
  <c r="J22" i="11" l="1"/>
  <c r="J25" i="11"/>
  <c r="J6" i="11"/>
  <c r="O6" i="11" s="1"/>
  <c r="K6" i="11"/>
  <c r="L6" i="11"/>
  <c r="M6" i="11"/>
  <c r="N6" i="11"/>
  <c r="P6" i="11" l="1"/>
  <c r="J28" i="12"/>
  <c r="N29" i="12"/>
  <c r="M29" i="12"/>
  <c r="L29" i="12"/>
  <c r="K29" i="12"/>
  <c r="J29" i="12"/>
  <c r="N28" i="12"/>
  <c r="M28" i="12"/>
  <c r="L28" i="12"/>
  <c r="K28" i="12"/>
  <c r="N26" i="12"/>
  <c r="M26" i="12"/>
  <c r="L26" i="12"/>
  <c r="K26" i="12"/>
  <c r="J26" i="12"/>
  <c r="S16" i="16" l="1"/>
  <c r="S15" i="16"/>
  <c r="S14" i="16"/>
  <c r="R7" i="16"/>
  <c r="R16" i="16"/>
  <c r="R15" i="16"/>
  <c r="R14" i="16"/>
  <c r="R13" i="16"/>
  <c r="R10" i="16"/>
  <c r="R9" i="16"/>
  <c r="R8" i="16"/>
  <c r="T24" i="15"/>
  <c r="S24" i="15"/>
  <c r="T23" i="15"/>
  <c r="S23" i="15"/>
  <c r="T22" i="15"/>
  <c r="S22" i="15"/>
  <c r="T20" i="15"/>
  <c r="S20" i="15"/>
  <c r="T19" i="15"/>
  <c r="S19" i="15"/>
  <c r="T11" i="15"/>
  <c r="T10" i="15"/>
  <c r="T9" i="15"/>
  <c r="T8" i="15"/>
  <c r="S11" i="15"/>
  <c r="S10" i="15"/>
  <c r="S9" i="15"/>
  <c r="S8" i="15"/>
  <c r="W27" i="47"/>
  <c r="X28" i="47"/>
  <c r="X22" i="19" l="1"/>
  <c r="X21" i="19"/>
  <c r="X18" i="19"/>
  <c r="X17" i="19"/>
  <c r="X20" i="19"/>
  <c r="X19" i="19"/>
  <c r="X15" i="19"/>
  <c r="X14" i="19"/>
  <c r="X12" i="19"/>
  <c r="X11" i="19"/>
  <c r="X9" i="19"/>
  <c r="X8" i="19"/>
  <c r="X6" i="19"/>
  <c r="X5" i="19"/>
  <c r="W22" i="19"/>
  <c r="W21" i="19"/>
  <c r="W20" i="19"/>
  <c r="W19" i="19"/>
  <c r="W18" i="19"/>
  <c r="W17" i="19"/>
  <c r="W15" i="19"/>
  <c r="W14" i="19"/>
  <c r="W12" i="19"/>
  <c r="W11" i="19"/>
  <c r="W9" i="19"/>
  <c r="W8" i="19"/>
  <c r="W6" i="19"/>
  <c r="W5" i="19"/>
  <c r="T25" i="50" l="1"/>
  <c r="T24" i="50"/>
  <c r="T23" i="50"/>
  <c r="T22" i="50"/>
  <c r="T21" i="50"/>
  <c r="T20" i="50"/>
  <c r="T19" i="50"/>
  <c r="S24" i="50"/>
  <c r="S23" i="50"/>
  <c r="S22" i="50"/>
  <c r="S21" i="50"/>
  <c r="S20" i="50"/>
  <c r="S19" i="50"/>
  <c r="S12" i="50"/>
  <c r="T12" i="50"/>
  <c r="T11" i="50"/>
  <c r="T10" i="50"/>
  <c r="T9" i="50"/>
  <c r="T8" i="50"/>
  <c r="T7" i="50"/>
  <c r="S11" i="50"/>
  <c r="S10" i="50"/>
  <c r="S9" i="50"/>
  <c r="S8" i="50"/>
  <c r="S7" i="50"/>
  <c r="Z48" i="47"/>
  <c r="Z47" i="47"/>
  <c r="Z40" i="47"/>
  <c r="Z39" i="47"/>
  <c r="Z38" i="47"/>
  <c r="Y41" i="47"/>
  <c r="Y40" i="47"/>
  <c r="Y39" i="47"/>
  <c r="Z30" i="47"/>
  <c r="Z29" i="47"/>
  <c r="Z28" i="47"/>
  <c r="Z27" i="47"/>
  <c r="X31" i="47"/>
  <c r="X30" i="47"/>
  <c r="Y29" i="47"/>
  <c r="Y28" i="47"/>
  <c r="X27" i="47"/>
  <c r="Y27" i="47" s="1"/>
  <c r="W30" i="47"/>
  <c r="W29" i="47"/>
  <c r="W28" i="47"/>
  <c r="Z21" i="47"/>
  <c r="Z20" i="47"/>
  <c r="Z19" i="47"/>
  <c r="Z18" i="47"/>
  <c r="Z17" i="47"/>
  <c r="Z16" i="47"/>
  <c r="Z15" i="47"/>
  <c r="Z14" i="47"/>
  <c r="Z13" i="47"/>
  <c r="Z12" i="47"/>
  <c r="Z11" i="47"/>
  <c r="Z10" i="47"/>
  <c r="Z9" i="47"/>
  <c r="Z8" i="47"/>
  <c r="Z7" i="47"/>
  <c r="Z6" i="47"/>
  <c r="Z5" i="47"/>
  <c r="X21" i="47"/>
  <c r="X20" i="47"/>
  <c r="X18" i="47"/>
  <c r="X17" i="47"/>
  <c r="X16" i="47"/>
  <c r="X15" i="47"/>
  <c r="X14" i="47"/>
  <c r="X9" i="47"/>
  <c r="X5" i="47"/>
  <c r="Y5" i="47" s="1"/>
  <c r="X4" i="47"/>
  <c r="W21" i="47"/>
  <c r="W20" i="47"/>
  <c r="W19" i="47"/>
  <c r="W18" i="47"/>
  <c r="W17" i="47"/>
  <c r="W16" i="47"/>
  <c r="W15" i="47"/>
  <c r="W14" i="47"/>
  <c r="W13" i="47"/>
  <c r="W12" i="47"/>
  <c r="W11" i="47"/>
  <c r="W10" i="47"/>
  <c r="W8" i="47"/>
  <c r="W7" i="47"/>
  <c r="W6" i="47"/>
  <c r="W5" i="47"/>
  <c r="W9" i="47"/>
  <c r="W4" i="47"/>
  <c r="J25" i="12" l="1"/>
  <c r="Y51" i="47" l="1"/>
  <c r="Y50" i="47"/>
  <c r="Y49" i="47"/>
  <c r="O6" i="50"/>
  <c r="X19" i="47" l="1"/>
  <c r="Y19" i="47" s="1"/>
  <c r="Y16" i="47"/>
  <c r="X10" i="47"/>
  <c r="Y10" i="47" s="1"/>
  <c r="P26" i="50" l="1"/>
  <c r="T26" i="50" s="1"/>
  <c r="O26" i="50"/>
  <c r="N26" i="50"/>
  <c r="M26" i="50"/>
  <c r="S26" i="50" s="1"/>
  <c r="L26" i="50"/>
  <c r="K26" i="50"/>
  <c r="J26" i="50"/>
  <c r="N6" i="50"/>
  <c r="M6" i="50"/>
  <c r="S6" i="50" s="1"/>
  <c r="L6" i="50"/>
  <c r="K6" i="50"/>
  <c r="J6" i="50"/>
  <c r="P10" i="10" l="1"/>
  <c r="J10" i="10" l="1"/>
  <c r="N29" i="39" l="1"/>
  <c r="M29" i="39"/>
  <c r="L29" i="39"/>
  <c r="K29" i="39"/>
  <c r="J29" i="39"/>
  <c r="N28" i="39"/>
  <c r="M28" i="39"/>
  <c r="L28" i="39"/>
  <c r="K28" i="39"/>
  <c r="J28" i="39"/>
  <c r="N26" i="39"/>
  <c r="M26" i="39"/>
  <c r="L26" i="39"/>
  <c r="K26" i="39"/>
  <c r="N24" i="39"/>
  <c r="M24" i="39"/>
  <c r="L24" i="39"/>
  <c r="K24" i="39"/>
  <c r="J24" i="39"/>
  <c r="N23" i="39"/>
  <c r="M23" i="39"/>
  <c r="L23" i="39"/>
  <c r="K23" i="39"/>
  <c r="J23" i="39"/>
  <c r="N21" i="39"/>
  <c r="M21" i="39"/>
  <c r="L21" i="39"/>
  <c r="K21" i="39"/>
  <c r="J21" i="39"/>
  <c r="N19" i="39"/>
  <c r="M19" i="39"/>
  <c r="L19" i="39"/>
  <c r="K19" i="39"/>
  <c r="J19" i="39"/>
  <c r="N18" i="39"/>
  <c r="M18" i="39"/>
  <c r="L18" i="39"/>
  <c r="K18" i="39"/>
  <c r="J18" i="39"/>
  <c r="N16" i="39"/>
  <c r="M16" i="39"/>
  <c r="L16" i="39"/>
  <c r="K16" i="39"/>
  <c r="J16" i="39"/>
  <c r="N14" i="39"/>
  <c r="M14" i="39"/>
  <c r="L14" i="39"/>
  <c r="K14" i="39"/>
  <c r="J14" i="39"/>
  <c r="N13" i="39"/>
  <c r="M13" i="39"/>
  <c r="L13" i="39"/>
  <c r="K13" i="39"/>
  <c r="J13" i="39"/>
  <c r="N11" i="39"/>
  <c r="M11" i="39"/>
  <c r="L11" i="39"/>
  <c r="K11" i="39"/>
  <c r="J11" i="39"/>
  <c r="N9" i="39"/>
  <c r="M9" i="39"/>
  <c r="L9" i="39"/>
  <c r="K9" i="39"/>
  <c r="J9" i="39"/>
  <c r="N8" i="39"/>
  <c r="M8" i="39"/>
  <c r="L8" i="39"/>
  <c r="K8" i="39"/>
  <c r="J8" i="39"/>
  <c r="N6" i="39"/>
  <c r="M6" i="39"/>
  <c r="L6" i="39"/>
  <c r="K6" i="39"/>
  <c r="J34" i="39"/>
  <c r="K34" i="39"/>
  <c r="J18" i="36"/>
  <c r="K18" i="36"/>
  <c r="J5" i="39" l="1"/>
  <c r="J25" i="39"/>
  <c r="J36" i="39"/>
  <c r="K36" i="39"/>
  <c r="N54" i="39" l="1"/>
  <c r="M54" i="39"/>
  <c r="L54" i="39"/>
  <c r="K54" i="39"/>
  <c r="J54" i="39"/>
  <c r="N49" i="39"/>
  <c r="M49" i="39"/>
  <c r="L49" i="39"/>
  <c r="K49" i="39"/>
  <c r="J49" i="39"/>
  <c r="N44" i="39"/>
  <c r="M44" i="39"/>
  <c r="L44" i="39"/>
  <c r="K44" i="39"/>
  <c r="J44" i="39"/>
  <c r="N39" i="39"/>
  <c r="M39" i="39"/>
  <c r="L39" i="39"/>
  <c r="K39" i="39"/>
  <c r="J39" i="39"/>
  <c r="N34" i="39"/>
  <c r="M34" i="39"/>
  <c r="L34" i="39"/>
  <c r="N25" i="39"/>
  <c r="M25" i="39"/>
  <c r="L25" i="39"/>
  <c r="K25" i="39"/>
  <c r="J27" i="39"/>
  <c r="N20" i="39"/>
  <c r="N22" i="39" s="1"/>
  <c r="M20" i="39"/>
  <c r="L20" i="39"/>
  <c r="L22" i="39" s="1"/>
  <c r="K20" i="39"/>
  <c r="J20" i="39"/>
  <c r="J22" i="39" s="1"/>
  <c r="N15" i="39"/>
  <c r="M15" i="39"/>
  <c r="L15" i="39"/>
  <c r="K15" i="39"/>
  <c r="J15" i="39"/>
  <c r="N10" i="39"/>
  <c r="N12" i="39" s="1"/>
  <c r="M10" i="39"/>
  <c r="L10" i="39"/>
  <c r="L12" i="39" s="1"/>
  <c r="K10" i="39"/>
  <c r="J10" i="39"/>
  <c r="J12" i="39" s="1"/>
  <c r="N5" i="39"/>
  <c r="N7" i="39" s="1"/>
  <c r="M5" i="39"/>
  <c r="L5" i="39"/>
  <c r="L7" i="39" s="1"/>
  <c r="K5" i="39"/>
  <c r="J7" i="39"/>
  <c r="N25" i="43"/>
  <c r="M25" i="43"/>
  <c r="L27" i="43"/>
  <c r="K25" i="43"/>
  <c r="J27" i="43"/>
  <c r="N20" i="43"/>
  <c r="M20" i="43"/>
  <c r="M22" i="43" s="1"/>
  <c r="L20" i="43"/>
  <c r="K20" i="43"/>
  <c r="J20" i="43"/>
  <c r="N15" i="43"/>
  <c r="M15" i="43"/>
  <c r="L15" i="43"/>
  <c r="K15" i="43"/>
  <c r="J15" i="43"/>
  <c r="N10" i="43"/>
  <c r="M10" i="43"/>
  <c r="L10" i="43"/>
  <c r="K10" i="43"/>
  <c r="J10" i="43"/>
  <c r="N5" i="43"/>
  <c r="M5" i="43"/>
  <c r="L5" i="43"/>
  <c r="K5" i="43"/>
  <c r="J5" i="43"/>
  <c r="N25" i="36"/>
  <c r="M25" i="36"/>
  <c r="L25" i="36"/>
  <c r="K25" i="36"/>
  <c r="J25" i="36"/>
  <c r="N18" i="36"/>
  <c r="M18" i="36"/>
  <c r="L18" i="36"/>
  <c r="N14" i="36"/>
  <c r="M14" i="36"/>
  <c r="L14" i="36"/>
  <c r="L24" i="36" s="1"/>
  <c r="K14" i="36"/>
  <c r="J14" i="36"/>
  <c r="J24" i="36" s="1"/>
  <c r="N10" i="36"/>
  <c r="M10" i="36"/>
  <c r="M23" i="36" s="1"/>
  <c r="L10" i="36"/>
  <c r="L23" i="36" s="1"/>
  <c r="K10" i="36"/>
  <c r="J10" i="36"/>
  <c r="N6" i="36"/>
  <c r="M6" i="36"/>
  <c r="L6" i="36"/>
  <c r="L22" i="36" s="1"/>
  <c r="K6" i="36"/>
  <c r="J6" i="36"/>
  <c r="J22" i="36" s="1"/>
  <c r="N25" i="35"/>
  <c r="M25" i="35"/>
  <c r="L25" i="35"/>
  <c r="K25" i="35"/>
  <c r="J25" i="35"/>
  <c r="N18" i="35"/>
  <c r="M18" i="35"/>
  <c r="L18" i="35"/>
  <c r="K18" i="35"/>
  <c r="J18" i="35"/>
  <c r="N14" i="35"/>
  <c r="M14" i="35"/>
  <c r="L14" i="35"/>
  <c r="L24" i="35" s="1"/>
  <c r="K14" i="35"/>
  <c r="J14" i="35"/>
  <c r="J24" i="35" s="1"/>
  <c r="N10" i="35"/>
  <c r="M10" i="35"/>
  <c r="M23" i="35" s="1"/>
  <c r="L10" i="35"/>
  <c r="L23" i="35" s="1"/>
  <c r="K10" i="35"/>
  <c r="J10" i="35"/>
  <c r="J23" i="35" s="1"/>
  <c r="N6" i="35"/>
  <c r="N22" i="35" s="1"/>
  <c r="M6" i="35"/>
  <c r="L6" i="35"/>
  <c r="L22" i="35" s="1"/>
  <c r="K6" i="35"/>
  <c r="J6" i="35"/>
  <c r="J22" i="35" s="1"/>
  <c r="N52" i="38"/>
  <c r="M52" i="38"/>
  <c r="L52" i="38"/>
  <c r="K52" i="38"/>
  <c r="J52" i="38"/>
  <c r="N45" i="38"/>
  <c r="M45" i="38"/>
  <c r="L45" i="38"/>
  <c r="K45" i="38"/>
  <c r="J45" i="38"/>
  <c r="N41" i="38"/>
  <c r="M41" i="38"/>
  <c r="L41" i="38"/>
  <c r="L51" i="38" s="1"/>
  <c r="K41" i="38"/>
  <c r="J41" i="38"/>
  <c r="J51" i="38" s="1"/>
  <c r="N37" i="38"/>
  <c r="M37" i="38"/>
  <c r="M50" i="38" s="1"/>
  <c r="L37" i="38"/>
  <c r="L50" i="38" s="1"/>
  <c r="K37" i="38"/>
  <c r="J37" i="38"/>
  <c r="N33" i="38"/>
  <c r="M33" i="38"/>
  <c r="L33" i="38"/>
  <c r="L49" i="38" s="1"/>
  <c r="K33" i="38"/>
  <c r="J33" i="38"/>
  <c r="J49" i="38" s="1"/>
  <c r="N25" i="38"/>
  <c r="M25" i="38"/>
  <c r="L25" i="38"/>
  <c r="K25" i="38"/>
  <c r="J25" i="38"/>
  <c r="N18" i="38"/>
  <c r="M18" i="38"/>
  <c r="L18" i="38"/>
  <c r="K18" i="38"/>
  <c r="J18" i="38"/>
  <c r="N14" i="38"/>
  <c r="M14" i="38"/>
  <c r="L14" i="38"/>
  <c r="L24" i="38" s="1"/>
  <c r="K14" i="38"/>
  <c r="K24" i="38" s="1"/>
  <c r="J14" i="38"/>
  <c r="J24" i="38" s="1"/>
  <c r="N10" i="38"/>
  <c r="M10" i="38"/>
  <c r="L10" i="38"/>
  <c r="L23" i="38" s="1"/>
  <c r="K10" i="38"/>
  <c r="K23" i="38" s="1"/>
  <c r="J10" i="38"/>
  <c r="J23" i="38" s="1"/>
  <c r="N6" i="38"/>
  <c r="N22" i="38" s="1"/>
  <c r="M6" i="38"/>
  <c r="L6" i="38"/>
  <c r="L22" i="38" s="1"/>
  <c r="K6" i="38"/>
  <c r="J6" i="38"/>
  <c r="J22" i="38" s="1"/>
  <c r="N25" i="42"/>
  <c r="M25" i="42"/>
  <c r="L25" i="42"/>
  <c r="K25" i="42"/>
  <c r="J25" i="42"/>
  <c r="N18" i="42"/>
  <c r="M18" i="42"/>
  <c r="L18" i="42"/>
  <c r="K18" i="42"/>
  <c r="J18" i="42"/>
  <c r="N14" i="42"/>
  <c r="M14" i="42"/>
  <c r="L14" i="42"/>
  <c r="L24" i="42" s="1"/>
  <c r="K14" i="42"/>
  <c r="J14" i="42"/>
  <c r="J24" i="42" s="1"/>
  <c r="N10" i="42"/>
  <c r="M10" i="42"/>
  <c r="L10" i="42"/>
  <c r="L23" i="42" s="1"/>
  <c r="K10" i="42"/>
  <c r="J10" i="42"/>
  <c r="J23" i="42" s="1"/>
  <c r="N6" i="42"/>
  <c r="N22" i="42" s="1"/>
  <c r="M6" i="42"/>
  <c r="L6" i="42"/>
  <c r="K6" i="42"/>
  <c r="J6" i="42"/>
  <c r="J22" i="42" s="1"/>
  <c r="J21" i="42" s="1"/>
  <c r="N27" i="39" l="1"/>
  <c r="J17" i="39"/>
  <c r="N17" i="39"/>
  <c r="L27" i="39"/>
  <c r="L17" i="39"/>
  <c r="L56" i="39"/>
  <c r="J56" i="39"/>
  <c r="N56" i="39"/>
  <c r="N27" i="43"/>
  <c r="K27" i="43"/>
  <c r="M27" i="43"/>
  <c r="O18" i="42"/>
  <c r="L22" i="42"/>
  <c r="P6" i="42"/>
  <c r="L5" i="36"/>
  <c r="M23" i="42"/>
  <c r="K24" i="36"/>
  <c r="N41" i="39"/>
  <c r="K24" i="42"/>
  <c r="M51" i="38"/>
  <c r="J46" i="39"/>
  <c r="K51" i="38"/>
  <c r="N51" i="38"/>
  <c r="M24" i="36"/>
  <c r="N5" i="42"/>
  <c r="M22" i="35"/>
  <c r="M24" i="42"/>
  <c r="K23" i="35"/>
  <c r="N24" i="36"/>
  <c r="L46" i="39"/>
  <c r="L41" i="39"/>
  <c r="N24" i="42"/>
  <c r="N46" i="39"/>
  <c r="N5" i="35"/>
  <c r="J51" i="39"/>
  <c r="K24" i="35"/>
  <c r="L51" i="39"/>
  <c r="K5" i="42"/>
  <c r="N24" i="35"/>
  <c r="N24" i="38"/>
  <c r="K50" i="38"/>
  <c r="K5" i="35"/>
  <c r="N49" i="38"/>
  <c r="L36" i="39"/>
  <c r="K23" i="36"/>
  <c r="M12" i="39"/>
  <c r="N36" i="39"/>
  <c r="M22" i="36"/>
  <c r="N51" i="39"/>
  <c r="N22" i="36"/>
  <c r="J41" i="39"/>
  <c r="M24" i="35"/>
  <c r="M22" i="42"/>
  <c r="K23" i="42"/>
  <c r="M27" i="39"/>
  <c r="K27" i="39"/>
  <c r="K22" i="39"/>
  <c r="M22" i="39"/>
  <c r="K17" i="39"/>
  <c r="M17" i="39"/>
  <c r="K12" i="39"/>
  <c r="K7" i="39"/>
  <c r="M7" i="39"/>
  <c r="K56" i="39"/>
  <c r="M56" i="39"/>
  <c r="M51" i="39"/>
  <c r="K51" i="39"/>
  <c r="M46" i="39"/>
  <c r="K46" i="39"/>
  <c r="K41" i="39"/>
  <c r="M41" i="39"/>
  <c r="M36" i="39"/>
  <c r="N22" i="43"/>
  <c r="L22" i="43"/>
  <c r="K22" i="43"/>
  <c r="J22" i="43"/>
  <c r="N17" i="43"/>
  <c r="M17" i="43"/>
  <c r="L17" i="43"/>
  <c r="J17" i="43"/>
  <c r="K17" i="43"/>
  <c r="L12" i="43"/>
  <c r="M12" i="43"/>
  <c r="N12" i="43"/>
  <c r="J12" i="43"/>
  <c r="K12" i="43"/>
  <c r="N7" i="43"/>
  <c r="M7" i="43"/>
  <c r="L7" i="43"/>
  <c r="J7" i="43"/>
  <c r="K7" i="43"/>
  <c r="L21" i="36"/>
  <c r="K5" i="36"/>
  <c r="N5" i="36"/>
  <c r="J5" i="36"/>
  <c r="L5" i="35"/>
  <c r="L21" i="35"/>
  <c r="J5" i="35"/>
  <c r="M49" i="38"/>
  <c r="M22" i="38"/>
  <c r="M23" i="38"/>
  <c r="M24" i="38"/>
  <c r="J32" i="38"/>
  <c r="L5" i="38"/>
  <c r="L32" i="38"/>
  <c r="L48" i="38"/>
  <c r="N32" i="38"/>
  <c r="K32" i="38"/>
  <c r="N5" i="38"/>
  <c r="L21" i="38"/>
  <c r="K5" i="38"/>
  <c r="J5" i="38"/>
  <c r="L21" i="42"/>
  <c r="L5" i="42"/>
  <c r="J5" i="42"/>
  <c r="O5" i="42" s="1"/>
  <c r="M5" i="36"/>
  <c r="K22" i="36"/>
  <c r="J23" i="36"/>
  <c r="J21" i="36" s="1"/>
  <c r="N23" i="36"/>
  <c r="M5" i="35"/>
  <c r="K22" i="35"/>
  <c r="J21" i="35"/>
  <c r="N23" i="35"/>
  <c r="M32" i="38"/>
  <c r="K49" i="38"/>
  <c r="J50" i="38"/>
  <c r="J48" i="38" s="1"/>
  <c r="N50" i="38"/>
  <c r="M5" i="38"/>
  <c r="K22" i="38"/>
  <c r="J21" i="38"/>
  <c r="N23" i="38"/>
  <c r="M5" i="42"/>
  <c r="K22" i="42"/>
  <c r="N23" i="42"/>
  <c r="M21" i="35" l="1"/>
  <c r="K21" i="35"/>
  <c r="N21" i="42"/>
  <c r="N21" i="36"/>
  <c r="N21" i="38"/>
  <c r="M21" i="36"/>
  <c r="N21" i="35"/>
  <c r="K21" i="36"/>
  <c r="K21" i="42"/>
  <c r="N48" i="38"/>
  <c r="M21" i="42"/>
  <c r="M48" i="38"/>
  <c r="K48" i="38"/>
  <c r="K21" i="38"/>
  <c r="M21" i="38"/>
  <c r="Y30" i="47"/>
  <c r="Y21" i="47"/>
  <c r="Y20" i="47"/>
  <c r="Y18" i="47"/>
  <c r="Y17" i="47"/>
  <c r="Y15" i="47"/>
  <c r="Y14" i="47"/>
  <c r="X13" i="47"/>
  <c r="Y13" i="47" s="1"/>
  <c r="X12" i="47"/>
  <c r="Y12" i="47" s="1"/>
  <c r="X11" i="47"/>
  <c r="Y11" i="47" s="1"/>
  <c r="Y9" i="47"/>
  <c r="X8" i="47"/>
  <c r="Y8" i="47" s="1"/>
  <c r="X7" i="47"/>
  <c r="Y7" i="47" s="1"/>
  <c r="X6" i="47"/>
  <c r="Y6" i="47" s="1"/>
  <c r="N17" i="16" l="1"/>
  <c r="N11" i="16"/>
  <c r="N5" i="16"/>
  <c r="N23" i="16" l="1"/>
  <c r="N21" i="15"/>
  <c r="N10" i="10"/>
  <c r="N18" i="15" l="1"/>
  <c r="N25" i="15" s="1"/>
  <c r="O21" i="15" l="1"/>
  <c r="O4" i="15"/>
  <c r="O18" i="15" l="1"/>
  <c r="O25" i="15" s="1"/>
  <c r="O10" i="10" l="1"/>
  <c r="P27" i="38"/>
  <c r="O27" i="38"/>
  <c r="P58" i="39" l="1"/>
  <c r="O58" i="39"/>
  <c r="P57" i="39"/>
  <c r="O57" i="39"/>
  <c r="P55" i="39"/>
  <c r="P53" i="39"/>
  <c r="O53" i="39"/>
  <c r="P52" i="39"/>
  <c r="O52" i="39"/>
  <c r="P50" i="39"/>
  <c r="O50" i="39"/>
  <c r="P49" i="39"/>
  <c r="P48" i="39"/>
  <c r="O48" i="39"/>
  <c r="P47" i="39"/>
  <c r="O47" i="39"/>
  <c r="P45" i="39"/>
  <c r="O45" i="39"/>
  <c r="P44" i="39"/>
  <c r="P43" i="39"/>
  <c r="O43" i="39"/>
  <c r="P42" i="39"/>
  <c r="O42" i="39"/>
  <c r="P40" i="39"/>
  <c r="O40" i="39"/>
  <c r="P39" i="39"/>
  <c r="P38" i="39"/>
  <c r="O38" i="39"/>
  <c r="P37" i="39"/>
  <c r="O37" i="39"/>
  <c r="P35" i="39"/>
  <c r="O35" i="39"/>
  <c r="P34" i="39"/>
  <c r="O36" i="39"/>
  <c r="P24" i="39"/>
  <c r="O24" i="39"/>
  <c r="P23" i="39"/>
  <c r="O23" i="39"/>
  <c r="P21" i="39"/>
  <c r="O21" i="39"/>
  <c r="P19" i="39"/>
  <c r="O19" i="39"/>
  <c r="P18" i="39"/>
  <c r="O18" i="39"/>
  <c r="P16" i="39"/>
  <c r="O16" i="39"/>
  <c r="P14" i="39"/>
  <c r="O14" i="39"/>
  <c r="P13" i="39"/>
  <c r="O13" i="39"/>
  <c r="P11" i="39"/>
  <c r="O11" i="39"/>
  <c r="P9" i="39"/>
  <c r="O9" i="39"/>
  <c r="P8" i="39"/>
  <c r="O8" i="39"/>
  <c r="P6" i="39"/>
  <c r="O6" i="39"/>
  <c r="P24" i="43"/>
  <c r="O24" i="43"/>
  <c r="P23" i="43"/>
  <c r="O23" i="43"/>
  <c r="P21" i="43"/>
  <c r="O21" i="43"/>
  <c r="P19" i="43"/>
  <c r="O19" i="43"/>
  <c r="P18" i="43"/>
  <c r="O18" i="43"/>
  <c r="P16" i="43"/>
  <c r="O16" i="43"/>
  <c r="P14" i="43"/>
  <c r="O14" i="43"/>
  <c r="P13" i="43"/>
  <c r="O13" i="43"/>
  <c r="P11" i="43"/>
  <c r="O11" i="43"/>
  <c r="P9" i="43"/>
  <c r="O9" i="43"/>
  <c r="P8" i="43"/>
  <c r="O8" i="43"/>
  <c r="P6" i="43"/>
  <c r="O6" i="43"/>
  <c r="P23" i="12"/>
  <c r="O23" i="12"/>
  <c r="P21" i="12"/>
  <c r="O21" i="12"/>
  <c r="P18" i="12"/>
  <c r="O18" i="12"/>
  <c r="P16" i="12"/>
  <c r="O16" i="12"/>
  <c r="P14" i="12"/>
  <c r="O14" i="12"/>
  <c r="P13" i="12"/>
  <c r="O13" i="12"/>
  <c r="P11" i="12"/>
  <c r="O11" i="12"/>
  <c r="O9" i="12"/>
  <c r="P8" i="12"/>
  <c r="O8" i="12"/>
  <c r="P6" i="12"/>
  <c r="O6" i="12"/>
  <c r="P27" i="36"/>
  <c r="O27" i="36"/>
  <c r="P16" i="36"/>
  <c r="O16" i="36"/>
  <c r="P15" i="36"/>
  <c r="O15" i="36"/>
  <c r="P12" i="36"/>
  <c r="O12" i="36"/>
  <c r="P11" i="36"/>
  <c r="O11" i="36"/>
  <c r="O10" i="36"/>
  <c r="P9" i="36"/>
  <c r="O9" i="36"/>
  <c r="P8" i="36"/>
  <c r="O8" i="36"/>
  <c r="P7" i="36"/>
  <c r="O7" i="36"/>
  <c r="P6" i="36"/>
  <c r="P27" i="35"/>
  <c r="O27" i="35"/>
  <c r="P25" i="35"/>
  <c r="O25" i="35"/>
  <c r="P16" i="35"/>
  <c r="O16" i="35"/>
  <c r="P12" i="35"/>
  <c r="O12" i="35"/>
  <c r="P11" i="35"/>
  <c r="O11" i="35"/>
  <c r="P9" i="35"/>
  <c r="O9" i="35"/>
  <c r="P7" i="35"/>
  <c r="O7" i="35"/>
  <c r="P54" i="38"/>
  <c r="O54" i="38"/>
  <c r="P44" i="38"/>
  <c r="O44" i="38"/>
  <c r="P40" i="38"/>
  <c r="O40" i="38"/>
  <c r="P35" i="38"/>
  <c r="O35" i="38"/>
  <c r="P25" i="38"/>
  <c r="P20" i="38"/>
  <c r="O20" i="38"/>
  <c r="P19" i="38"/>
  <c r="O19" i="38"/>
  <c r="P17" i="38"/>
  <c r="O17" i="38"/>
  <c r="P16" i="38"/>
  <c r="O16" i="38"/>
  <c r="P15" i="38"/>
  <c r="O15" i="38"/>
  <c r="P13" i="38"/>
  <c r="O13" i="38"/>
  <c r="P12" i="38"/>
  <c r="O12" i="38"/>
  <c r="P11" i="38"/>
  <c r="O11" i="38"/>
  <c r="P9" i="38"/>
  <c r="O9" i="38"/>
  <c r="P8" i="38"/>
  <c r="O8" i="38"/>
  <c r="P7" i="38"/>
  <c r="O7" i="38"/>
  <c r="P27" i="42"/>
  <c r="O27" i="42"/>
  <c r="P20" i="42"/>
  <c r="O20" i="42"/>
  <c r="P19" i="42"/>
  <c r="O19" i="42"/>
  <c r="P17" i="42"/>
  <c r="O17" i="42"/>
  <c r="P16" i="42"/>
  <c r="O16" i="42"/>
  <c r="P15" i="42"/>
  <c r="O15" i="42"/>
  <c r="P13" i="42"/>
  <c r="O13" i="42"/>
  <c r="P12" i="42"/>
  <c r="O12" i="42"/>
  <c r="P11" i="42"/>
  <c r="O11" i="42"/>
  <c r="P9" i="42"/>
  <c r="O9" i="42"/>
  <c r="P8" i="42"/>
  <c r="O8" i="42"/>
  <c r="P7" i="42"/>
  <c r="O7" i="42"/>
  <c r="N25" i="11"/>
  <c r="M25" i="11"/>
  <c r="L25" i="11"/>
  <c r="P25" i="11" s="1"/>
  <c r="K25" i="11"/>
  <c r="O25" i="11" s="1"/>
  <c r="N18" i="11"/>
  <c r="M18" i="11"/>
  <c r="L18" i="11"/>
  <c r="K18" i="11"/>
  <c r="J18" i="11"/>
  <c r="N14" i="11"/>
  <c r="M14" i="11"/>
  <c r="L14" i="11"/>
  <c r="K14" i="11"/>
  <c r="J14" i="11"/>
  <c r="N10" i="11"/>
  <c r="N5" i="11" s="1"/>
  <c r="M10" i="11"/>
  <c r="M5" i="11" s="1"/>
  <c r="L10" i="11"/>
  <c r="K10" i="11"/>
  <c r="K5" i="11" s="1"/>
  <c r="J10" i="11"/>
  <c r="L24" i="11" l="1"/>
  <c r="P14" i="11"/>
  <c r="O10" i="11"/>
  <c r="J23" i="11"/>
  <c r="O14" i="11"/>
  <c r="J24" i="11"/>
  <c r="P10" i="11"/>
  <c r="L5" i="11"/>
  <c r="P5" i="11" s="1"/>
  <c r="L23" i="11"/>
  <c r="P23" i="11" s="1"/>
  <c r="J21" i="11"/>
  <c r="J5" i="11"/>
  <c r="O5" i="11" s="1"/>
  <c r="N24" i="11"/>
  <c r="N22" i="12"/>
  <c r="N23" i="11"/>
  <c r="N17" i="12"/>
  <c r="K23" i="11"/>
  <c r="N12" i="12"/>
  <c r="K24" i="11"/>
  <c r="J17" i="12"/>
  <c r="K22" i="11"/>
  <c r="O22" i="11" s="1"/>
  <c r="L17" i="12"/>
  <c r="M24" i="11"/>
  <c r="J12" i="12"/>
  <c r="M22" i="11"/>
  <c r="L12" i="12"/>
  <c r="J22" i="12"/>
  <c r="K7" i="12"/>
  <c r="J7" i="12"/>
  <c r="L7" i="12"/>
  <c r="M7" i="12"/>
  <c r="M22" i="12"/>
  <c r="N7" i="12"/>
  <c r="K17" i="12"/>
  <c r="M17" i="12"/>
  <c r="K22" i="12"/>
  <c r="M12" i="12"/>
  <c r="O25" i="38"/>
  <c r="P6" i="35"/>
  <c r="O22" i="39"/>
  <c r="O29" i="39"/>
  <c r="P26" i="39"/>
  <c r="P20" i="39"/>
  <c r="P15" i="39"/>
  <c r="O17" i="39"/>
  <c r="P10" i="39"/>
  <c r="O28" i="39"/>
  <c r="P29" i="39"/>
  <c r="P5" i="39"/>
  <c r="P20" i="43"/>
  <c r="P22" i="43"/>
  <c r="O22" i="43"/>
  <c r="P15" i="43"/>
  <c r="O17" i="43"/>
  <c r="O29" i="43"/>
  <c r="P29" i="43"/>
  <c r="P10" i="43"/>
  <c r="P12" i="43"/>
  <c r="O12" i="43"/>
  <c r="O28" i="43"/>
  <c r="P5" i="43"/>
  <c r="O7" i="43"/>
  <c r="P26" i="43"/>
  <c r="P7" i="43"/>
  <c r="P20" i="12"/>
  <c r="P29" i="12"/>
  <c r="O10" i="12"/>
  <c r="K25" i="12"/>
  <c r="O29" i="12"/>
  <c r="M25" i="12"/>
  <c r="O28" i="12"/>
  <c r="P26" i="12"/>
  <c r="L25" i="12"/>
  <c r="O25" i="36"/>
  <c r="P25" i="36"/>
  <c r="P24" i="36"/>
  <c r="O5" i="36"/>
  <c r="P5" i="36"/>
  <c r="P22" i="36"/>
  <c r="O14" i="35"/>
  <c r="P23" i="35"/>
  <c r="O6" i="35"/>
  <c r="P18" i="38"/>
  <c r="O18" i="38"/>
  <c r="O14" i="38"/>
  <c r="O10" i="38"/>
  <c r="P5" i="38"/>
  <c r="P6" i="38"/>
  <c r="O52" i="38"/>
  <c r="P52" i="38"/>
  <c r="P41" i="38"/>
  <c r="O41" i="38"/>
  <c r="O51" i="38"/>
  <c r="P25" i="42"/>
  <c r="O25" i="42"/>
  <c r="P18" i="42"/>
  <c r="O10" i="42"/>
  <c r="P36" i="39"/>
  <c r="P41" i="39"/>
  <c r="P46" i="39"/>
  <c r="P51" i="39"/>
  <c r="O41" i="39"/>
  <c r="O46" i="39"/>
  <c r="O51" i="39"/>
  <c r="O55" i="39"/>
  <c r="O34" i="39"/>
  <c r="O39" i="39"/>
  <c r="O44" i="39"/>
  <c r="O49" i="39"/>
  <c r="O54" i="39"/>
  <c r="O26" i="39"/>
  <c r="O5" i="39"/>
  <c r="O10" i="39"/>
  <c r="O15" i="39"/>
  <c r="O20" i="39"/>
  <c r="P28" i="39"/>
  <c r="P17" i="43"/>
  <c r="O26" i="43"/>
  <c r="O5" i="43"/>
  <c r="O10" i="43"/>
  <c r="O15" i="43"/>
  <c r="O20" i="43"/>
  <c r="P28" i="43"/>
  <c r="O15" i="12"/>
  <c r="O5" i="12"/>
  <c r="P10" i="12"/>
  <c r="K12" i="12"/>
  <c r="P15" i="12"/>
  <c r="L22" i="12"/>
  <c r="N25" i="12"/>
  <c r="O26" i="12"/>
  <c r="P5" i="12"/>
  <c r="P28" i="12"/>
  <c r="O20" i="12"/>
  <c r="O22" i="36"/>
  <c r="P23" i="36"/>
  <c r="O14" i="36"/>
  <c r="P14" i="36"/>
  <c r="O23" i="36"/>
  <c r="O6" i="36"/>
  <c r="P10" i="36"/>
  <c r="P24" i="35"/>
  <c r="O24" i="35"/>
  <c r="P5" i="35"/>
  <c r="O10" i="35"/>
  <c r="P14" i="35"/>
  <c r="O23" i="35"/>
  <c r="P10" i="35"/>
  <c r="P33" i="38"/>
  <c r="O37" i="38"/>
  <c r="P37" i="38"/>
  <c r="P51" i="38"/>
  <c r="O33" i="38"/>
  <c r="P23" i="38"/>
  <c r="P10" i="38"/>
  <c r="P22" i="38"/>
  <c r="P14" i="38"/>
  <c r="O24" i="38"/>
  <c r="O6" i="38"/>
  <c r="P22" i="42"/>
  <c r="P14" i="42"/>
  <c r="P10" i="42"/>
  <c r="O6" i="42"/>
  <c r="O23" i="42"/>
  <c r="O14" i="42"/>
  <c r="L22" i="11"/>
  <c r="P22" i="11" s="1"/>
  <c r="M23" i="11"/>
  <c r="N22" i="11"/>
  <c r="O23" i="11" l="1"/>
  <c r="O24" i="11"/>
  <c r="P24" i="11"/>
  <c r="K21" i="11"/>
  <c r="O21" i="11" s="1"/>
  <c r="P22" i="12"/>
  <c r="P17" i="12"/>
  <c r="P12" i="12"/>
  <c r="M21" i="11"/>
  <c r="N21" i="11"/>
  <c r="O17" i="12"/>
  <c r="O22" i="12"/>
  <c r="P7" i="12"/>
  <c r="O7" i="12"/>
  <c r="O12" i="12"/>
  <c r="P23" i="42"/>
  <c r="P22" i="39"/>
  <c r="P17" i="39"/>
  <c r="O12" i="39"/>
  <c r="P12" i="39"/>
  <c r="P7" i="39"/>
  <c r="O7" i="39"/>
  <c r="O25" i="39"/>
  <c r="P25" i="39"/>
  <c r="O25" i="43"/>
  <c r="P25" i="43"/>
  <c r="K27" i="12"/>
  <c r="L27" i="12"/>
  <c r="M27" i="12"/>
  <c r="N27" i="12"/>
  <c r="O25" i="12"/>
  <c r="P21" i="36"/>
  <c r="O24" i="36"/>
  <c r="O21" i="36"/>
  <c r="O5" i="35"/>
  <c r="P24" i="38"/>
  <c r="O23" i="38"/>
  <c r="O22" i="38"/>
  <c r="O5" i="38"/>
  <c r="P21" i="38"/>
  <c r="O50" i="38"/>
  <c r="P50" i="38"/>
  <c r="O49" i="38"/>
  <c r="P49" i="38"/>
  <c r="P32" i="38"/>
  <c r="O32" i="38"/>
  <c r="O48" i="38"/>
  <c r="O24" i="42"/>
  <c r="P24" i="42"/>
  <c r="O22" i="42"/>
  <c r="P5" i="42"/>
  <c r="O21" i="42"/>
  <c r="P54" i="39"/>
  <c r="O56" i="39"/>
  <c r="P56" i="39"/>
  <c r="P27" i="43"/>
  <c r="O27" i="43"/>
  <c r="P25" i="12"/>
  <c r="J27" i="12"/>
  <c r="P21" i="35"/>
  <c r="P22" i="35"/>
  <c r="O22" i="35"/>
  <c r="O21" i="35"/>
  <c r="L21" i="11"/>
  <c r="P21" i="11" s="1"/>
  <c r="O21" i="38" l="1"/>
  <c r="O27" i="39"/>
  <c r="P27" i="39"/>
  <c r="O27" i="12"/>
  <c r="P27" i="12"/>
  <c r="P48" i="38"/>
  <c r="P21" i="42"/>
  <c r="M4" i="15" l="1"/>
  <c r="N4" i="15"/>
  <c r="P17" i="16" l="1"/>
  <c r="O17" i="16"/>
  <c r="M17" i="16"/>
  <c r="P11" i="16"/>
  <c r="O11" i="16"/>
  <c r="M11" i="16"/>
  <c r="P5" i="16"/>
  <c r="O5" i="16"/>
  <c r="M5" i="16"/>
  <c r="Q21" i="15"/>
  <c r="Q4" i="15"/>
  <c r="R11" i="16" l="1"/>
  <c r="Q18" i="15"/>
  <c r="M23" i="16"/>
  <c r="O23" i="16"/>
  <c r="P23" i="16"/>
  <c r="Q25" i="15" l="1"/>
  <c r="K5" i="16"/>
  <c r="M10" i="10" l="1"/>
  <c r="L17" i="16" l="1"/>
  <c r="L11" i="16"/>
  <c r="L5" i="16"/>
  <c r="M21" i="15"/>
  <c r="S21" i="15" s="1"/>
  <c r="M18" i="15" l="1"/>
  <c r="S18" i="15" s="1"/>
  <c r="L23" i="16"/>
  <c r="M25" i="15"/>
  <c r="S25" i="15" s="1"/>
  <c r="L10" i="10"/>
  <c r="K10" i="10"/>
  <c r="K17" i="16"/>
  <c r="K11" i="16"/>
  <c r="L21" i="15"/>
  <c r="L4" i="15"/>
  <c r="K4" i="15"/>
  <c r="K21" i="15"/>
  <c r="K18" i="15" s="1"/>
  <c r="K25" i="15" s="1"/>
  <c r="O25" i="40"/>
  <c r="J17" i="16"/>
  <c r="J11" i="16"/>
  <c r="J5" i="16"/>
  <c r="N29" i="40"/>
  <c r="N19" i="40"/>
  <c r="N9" i="40"/>
  <c r="P27" i="40"/>
  <c r="O27" i="40"/>
  <c r="P18" i="40"/>
  <c r="O18" i="40"/>
  <c r="P17" i="40"/>
  <c r="O17" i="40"/>
  <c r="M29" i="40"/>
  <c r="L29" i="40"/>
  <c r="K29" i="40"/>
  <c r="J29" i="40"/>
  <c r="M19" i="40"/>
  <c r="L19" i="40"/>
  <c r="K19" i="40"/>
  <c r="J19" i="40"/>
  <c r="M9" i="40"/>
  <c r="L9" i="40"/>
  <c r="K9" i="40"/>
  <c r="I17" i="16"/>
  <c r="I11" i="16"/>
  <c r="I5" i="16"/>
  <c r="J21" i="15"/>
  <c r="J4" i="15"/>
  <c r="P28" i="40"/>
  <c r="O28" i="40"/>
  <c r="P26" i="40"/>
  <c r="O26" i="40"/>
  <c r="P25" i="40"/>
  <c r="P16" i="40"/>
  <c r="O16" i="40"/>
  <c r="P15" i="40"/>
  <c r="O15" i="40"/>
  <c r="P8" i="40"/>
  <c r="O8" i="40"/>
  <c r="P7" i="40"/>
  <c r="O7" i="40"/>
  <c r="P6" i="40"/>
  <c r="O6" i="40"/>
  <c r="K23" i="16" l="1"/>
  <c r="L18" i="15"/>
  <c r="P19" i="40"/>
  <c r="P9" i="40"/>
  <c r="I23" i="16"/>
  <c r="P29" i="40"/>
  <c r="O19" i="40"/>
  <c r="J23" i="16"/>
  <c r="J18" i="15"/>
  <c r="O9" i="40"/>
  <c r="O29" i="40"/>
  <c r="L25" i="15" l="1"/>
  <c r="J25" i="15"/>
  <c r="P21" i="15" l="1"/>
  <c r="T21" i="15" l="1"/>
  <c r="P18" i="15"/>
  <c r="T18" i="15" s="1"/>
  <c r="P25" i="15" l="1"/>
  <c r="T25" i="15" s="1"/>
</calcChain>
</file>

<file path=xl/sharedStrings.xml><?xml version="1.0" encoding="utf-8"?>
<sst xmlns="http://schemas.openxmlformats.org/spreadsheetml/2006/main" count="1293" uniqueCount="399">
  <si>
    <t>Individual</t>
    <phoneticPr fontId="7" type="noConversion"/>
  </si>
  <si>
    <t>Group</t>
    <phoneticPr fontId="7" type="noConversion"/>
  </si>
  <si>
    <t>Retirement-related</t>
    <phoneticPr fontId="7" type="noConversion"/>
  </si>
  <si>
    <t>월초 대신 월납환산? --&gt; 어차피 APE 쓰는 마당에 월초보다 월납환산이 더 적절한 지표일 수도</t>
  </si>
  <si>
    <t>Individual+Group</t>
    <phoneticPr fontId="7" type="noConversion"/>
  </si>
  <si>
    <t>Total (General acc. + Separate acc.)</t>
    <phoneticPr fontId="7" type="noConversion"/>
  </si>
  <si>
    <t>General Account</t>
    <phoneticPr fontId="7" type="noConversion"/>
  </si>
  <si>
    <t>Premium Income by Product-type (2/2)</t>
    <phoneticPr fontId="7" type="noConversion"/>
  </si>
  <si>
    <t>(KRW mn)</t>
    <phoneticPr fontId="7" type="noConversion"/>
  </si>
  <si>
    <t>Separate Account</t>
    <phoneticPr fontId="7" type="noConversion"/>
  </si>
  <si>
    <t>APE by Product-type (1/2)</t>
    <phoneticPr fontId="7" type="noConversion"/>
  </si>
  <si>
    <t>APE by Product-type (1/2)</t>
    <phoneticPr fontId="7" type="noConversion"/>
  </si>
  <si>
    <t>Total (General acc. + Separate acc.)</t>
    <phoneticPr fontId="7" type="noConversion"/>
  </si>
  <si>
    <t>(KRW mn)</t>
    <phoneticPr fontId="7" type="noConversion"/>
  </si>
  <si>
    <t>Individual</t>
    <phoneticPr fontId="7" type="noConversion"/>
  </si>
  <si>
    <t>Group</t>
    <phoneticPr fontId="7" type="noConversion"/>
  </si>
  <si>
    <t>Individual+Group</t>
    <phoneticPr fontId="7" type="noConversion"/>
  </si>
  <si>
    <t>Retirement-related</t>
    <phoneticPr fontId="7" type="noConversion"/>
  </si>
  <si>
    <t>Premium Income by Product-type (2/2)</t>
    <phoneticPr fontId="7" type="noConversion"/>
  </si>
  <si>
    <t>General Account</t>
    <phoneticPr fontId="7" type="noConversion"/>
  </si>
  <si>
    <t>Separate Account</t>
    <phoneticPr fontId="7" type="noConversion"/>
  </si>
  <si>
    <t xml:space="preserve"> </t>
    <phoneticPr fontId="7" type="noConversion"/>
  </si>
  <si>
    <t>(단위 십억원)</t>
    <phoneticPr fontId="7" type="noConversion"/>
  </si>
  <si>
    <t>YoY</t>
    <phoneticPr fontId="7" type="noConversion"/>
  </si>
  <si>
    <t>QoQ</t>
    <phoneticPr fontId="7" type="noConversion"/>
  </si>
  <si>
    <t>≥ 6.0%</t>
    <phoneticPr fontId="7" type="noConversion"/>
  </si>
  <si>
    <t>＜ 6.0%</t>
    <phoneticPr fontId="7" type="noConversion"/>
  </si>
  <si>
    <t>Disclaimer &amp; Contact Information</t>
    <phoneticPr fontId="7" type="noConversion"/>
  </si>
  <si>
    <t>재무현황 (Financial Highlights)</t>
    <phoneticPr fontId="7" type="noConversion"/>
  </si>
  <si>
    <t>상품별 수입보험료 (Premium Income)</t>
    <phoneticPr fontId="7" type="noConversion"/>
  </si>
  <si>
    <t>상품별 초회보험료 (Initial Premium)</t>
    <phoneticPr fontId="7" type="noConversion"/>
  </si>
  <si>
    <t>상품별 초년도보험료 (First Year Premium)</t>
    <phoneticPr fontId="7" type="noConversion"/>
  </si>
  <si>
    <t>채널별 APE (Annualized Premium Equivalent (APE))</t>
    <phoneticPr fontId="7" type="noConversion"/>
  </si>
  <si>
    <t>상품별 APE (Annualized Premium Equivalent (APE))</t>
    <phoneticPr fontId="7" type="noConversion"/>
  </si>
  <si>
    <t>채널별 수입보험료 (Premium Income)</t>
    <phoneticPr fontId="7" type="noConversion"/>
  </si>
  <si>
    <t>채널별 초년도보험료 (First Year Premium)</t>
    <phoneticPr fontId="7" type="noConversion"/>
  </si>
  <si>
    <t>채권 (Bond)</t>
    <phoneticPr fontId="7" type="noConversion"/>
  </si>
  <si>
    <t>재무상태표 (Balance Sheet - KIFRS)</t>
    <phoneticPr fontId="7" type="noConversion"/>
  </si>
  <si>
    <t>손익계산서 (Income Statement - KIFRS)</t>
    <phoneticPr fontId="7" type="noConversion"/>
  </si>
  <si>
    <t xml:space="preserve">                        IR Factsheet</t>
    <phoneticPr fontId="7" type="noConversion"/>
  </si>
  <si>
    <t>재무 안정성 (Financial Stability)</t>
    <phoneticPr fontId="7" type="noConversion"/>
  </si>
  <si>
    <t>생산성 / 경영효율 (Productivity / Operating Efficiency)</t>
    <phoneticPr fontId="7" type="noConversion"/>
  </si>
  <si>
    <t>(Unit: KRW bn)</t>
    <phoneticPr fontId="7" type="noConversion"/>
  </si>
  <si>
    <t>(단위: 십억원)</t>
    <phoneticPr fontId="7" type="noConversion"/>
  </si>
  <si>
    <t>운용자산 (Invested Assets)</t>
    <phoneticPr fontId="7" type="noConversion"/>
  </si>
  <si>
    <t>부채총계 (Total Liabilities)</t>
    <phoneticPr fontId="7" type="noConversion"/>
  </si>
  <si>
    <t>자본총계 (Total Shareholders' Equity)</t>
    <phoneticPr fontId="7" type="noConversion"/>
  </si>
  <si>
    <t>수입보험료 (Premium Income)</t>
    <phoneticPr fontId="7" type="noConversion"/>
  </si>
  <si>
    <t>일반계정 (General Account)</t>
    <phoneticPr fontId="7" type="noConversion"/>
  </si>
  <si>
    <t>영업이익 (Operating Profit)</t>
    <phoneticPr fontId="7" type="noConversion"/>
  </si>
  <si>
    <t>당기순이익 (Net Income)</t>
    <phoneticPr fontId="7" type="noConversion"/>
  </si>
  <si>
    <t>운용자산 이익율(Net Investment Yield)</t>
    <phoneticPr fontId="7" type="noConversion"/>
  </si>
  <si>
    <t>BPS (단위 원) (BPS (KRW))</t>
    <phoneticPr fontId="7" type="noConversion"/>
  </si>
  <si>
    <t>EPS (단위 원) (EPS (KRW))</t>
    <phoneticPr fontId="7" type="noConversion"/>
  </si>
  <si>
    <t>총자산이익율 (Retrun on Asset)</t>
    <phoneticPr fontId="7" type="noConversion"/>
  </si>
  <si>
    <t>총자본이익율 (Return on Equity)</t>
    <phoneticPr fontId="7" type="noConversion"/>
  </si>
  <si>
    <t>(KRW bn)</t>
    <phoneticPr fontId="7" type="noConversion"/>
  </si>
  <si>
    <t>단위 십억원 (KRW bn)</t>
    <phoneticPr fontId="7" type="noConversion"/>
  </si>
  <si>
    <t>사망 (Death)</t>
    <phoneticPr fontId="7" type="noConversion"/>
  </si>
  <si>
    <t>재무안정성 (Financial Stability Index)</t>
    <phoneticPr fontId="7" type="noConversion"/>
  </si>
  <si>
    <t>지급여력금액 (Available Capital) (A)</t>
    <phoneticPr fontId="7" type="noConversion"/>
  </si>
  <si>
    <t>지급여력기준금액 (Required Capital) (B)</t>
    <phoneticPr fontId="7" type="noConversion"/>
  </si>
  <si>
    <t>보험위험액 (Insurance Risk)</t>
    <phoneticPr fontId="7" type="noConversion"/>
  </si>
  <si>
    <t>시장위험액 (Market Risk)</t>
    <phoneticPr fontId="7" type="noConversion"/>
  </si>
  <si>
    <t>신용위험액 (Credit Risk)</t>
    <phoneticPr fontId="7" type="noConversion"/>
  </si>
  <si>
    <t>운영위험액 (Operation Risk)</t>
    <phoneticPr fontId="7" type="noConversion"/>
  </si>
  <si>
    <t>책임준비금 (Premium Reserve Breakdown)</t>
    <phoneticPr fontId="7" type="noConversion"/>
  </si>
  <si>
    <t>연동이율 (Floating rate)</t>
    <phoneticPr fontId="7" type="noConversion"/>
  </si>
  <si>
    <t>고정이율 (Fixed rate)</t>
    <phoneticPr fontId="7" type="noConversion"/>
  </si>
  <si>
    <t>부담이율 (Crediting rate)</t>
    <phoneticPr fontId="7" type="noConversion"/>
  </si>
  <si>
    <t>운용자산 이익율 (Net Investment Yield) (F)</t>
    <phoneticPr fontId="7" type="noConversion"/>
  </si>
  <si>
    <r>
      <t>스프레드 (Spread) (F)</t>
    </r>
    <r>
      <rPr>
        <b/>
        <sz val="8"/>
        <color indexed="60"/>
        <rFont val="맑은 고딕"/>
        <family val="3"/>
        <charset val="129"/>
        <scheme val="major"/>
      </rPr>
      <t>－(E)</t>
    </r>
    <phoneticPr fontId="7" type="noConversion"/>
  </si>
  <si>
    <t>생산성/경영효율 (Productivity / Operating Efficiency)</t>
    <phoneticPr fontId="7" type="noConversion"/>
  </si>
  <si>
    <t>신계약 비율 (New Business ratio)</t>
    <phoneticPr fontId="7" type="noConversion"/>
  </si>
  <si>
    <t>특별계정 (Separate Account)</t>
    <phoneticPr fontId="7" type="noConversion"/>
  </si>
  <si>
    <t>효력상실해약 비율 (Lapses &amp; Surrenders Ratio)</t>
    <phoneticPr fontId="7" type="noConversion"/>
  </si>
  <si>
    <t>13회차 (13th month)</t>
    <phoneticPr fontId="7" type="noConversion"/>
  </si>
  <si>
    <t>25회차 (25th month)</t>
    <phoneticPr fontId="7" type="noConversion"/>
  </si>
  <si>
    <t>전속설계사 (# of Tied Agents)</t>
    <phoneticPr fontId="7" type="noConversion"/>
  </si>
  <si>
    <t>상품별 APE (APE by Product-type)</t>
    <phoneticPr fontId="7" type="noConversion"/>
  </si>
  <si>
    <t>합계 (일반계정 + 특별계정) (Total (General acc. + Separate acc.))</t>
    <phoneticPr fontId="7" type="noConversion"/>
  </si>
  <si>
    <t>단위 십억원 (KRW bn)</t>
    <phoneticPr fontId="7" type="noConversion"/>
  </si>
  <si>
    <t>Accumulated Data</t>
    <phoneticPr fontId="7" type="noConversion"/>
  </si>
  <si>
    <t>Quarterly Data</t>
    <phoneticPr fontId="7" type="noConversion"/>
  </si>
  <si>
    <t>개인보험 (Individual)</t>
    <phoneticPr fontId="7" type="noConversion"/>
  </si>
  <si>
    <t>보장성보험 (Protection-type)</t>
    <phoneticPr fontId="7" type="noConversion"/>
  </si>
  <si>
    <t>종신/CI/정기 (Whole life/CI/Term life)</t>
    <phoneticPr fontId="7" type="noConversion"/>
  </si>
  <si>
    <t>변액종신/CI (Variable whole life/CI)</t>
    <phoneticPr fontId="7" type="noConversion"/>
  </si>
  <si>
    <t>기타보장 (Other protection-type)</t>
    <phoneticPr fontId="7" type="noConversion"/>
  </si>
  <si>
    <t>연금보험 (Annuities)</t>
    <phoneticPr fontId="7" type="noConversion"/>
  </si>
  <si>
    <t>금리확정형 (Fixed-rate)</t>
    <phoneticPr fontId="7" type="noConversion"/>
  </si>
  <si>
    <t>금리연동형 (Floating-rate)</t>
    <phoneticPr fontId="7" type="noConversion"/>
  </si>
  <si>
    <t>변액연금 (Variable)</t>
    <phoneticPr fontId="7" type="noConversion"/>
  </si>
  <si>
    <t>저축보험 (Savings)</t>
    <phoneticPr fontId="7" type="noConversion"/>
  </si>
  <si>
    <t>변액저축 (Variable)</t>
    <phoneticPr fontId="7" type="noConversion"/>
  </si>
  <si>
    <t>단체보험 (Group)</t>
    <phoneticPr fontId="7" type="noConversion"/>
  </si>
  <si>
    <t>단체보장 (Protection-type)</t>
    <phoneticPr fontId="7" type="noConversion"/>
  </si>
  <si>
    <t>단체저축 (Savings)</t>
    <phoneticPr fontId="7" type="noConversion"/>
  </si>
  <si>
    <t>개인보험 + 단체보험 (Individual+Group)</t>
    <phoneticPr fontId="7" type="noConversion"/>
  </si>
  <si>
    <t>연금보험 (Annuities)</t>
    <phoneticPr fontId="7" type="noConversion"/>
  </si>
  <si>
    <t>퇴직관련 보험 (Retirement-related)</t>
    <phoneticPr fontId="7" type="noConversion"/>
  </si>
  <si>
    <t>퇴직보험 (Retirement insurance)</t>
    <phoneticPr fontId="7" type="noConversion"/>
  </si>
  <si>
    <t>퇴직연금 (Corporate pension)</t>
    <phoneticPr fontId="7" type="noConversion"/>
  </si>
  <si>
    <t>합계 (일반계정 + 특별계정) (Total (General acc. + Separate acc.))</t>
    <phoneticPr fontId="7" type="noConversion"/>
  </si>
  <si>
    <t>상품별 수입보험료 (Premium Income by Product type)</t>
    <phoneticPr fontId="7" type="noConversion"/>
  </si>
  <si>
    <t>상품별 초회보험료 (Initial Premium by Product-type)</t>
    <phoneticPr fontId="7" type="noConversion"/>
  </si>
  <si>
    <t>합계 (일반계정 + 특별계정) (Total (General acc. + Separate acc.)</t>
    <phoneticPr fontId="7" type="noConversion"/>
  </si>
  <si>
    <t>상품별 초년도보험료 (First-year Premium by Product-type)</t>
    <phoneticPr fontId="7" type="noConversion"/>
  </si>
  <si>
    <t>채널별 APE (APE by Distribution Channel)</t>
    <phoneticPr fontId="7" type="noConversion"/>
  </si>
  <si>
    <t>개인 (Tied Agent)</t>
    <phoneticPr fontId="7" type="noConversion"/>
  </si>
  <si>
    <t>보장성보험 (Protection-type)</t>
    <phoneticPr fontId="7" type="noConversion"/>
  </si>
  <si>
    <t>% 보장성보험 (% Protection-type)</t>
    <phoneticPr fontId="7" type="noConversion"/>
  </si>
  <si>
    <t>연금보험 (Annuities)</t>
    <phoneticPr fontId="7" type="noConversion"/>
  </si>
  <si>
    <t>저축보험 (Savings)</t>
    <phoneticPr fontId="7" type="noConversion"/>
  </si>
  <si>
    <t>다이렉트 (Tele Marketing)</t>
    <phoneticPr fontId="7" type="noConversion"/>
  </si>
  <si>
    <t>GA (General Agency)</t>
    <phoneticPr fontId="7" type="noConversion"/>
  </si>
  <si>
    <t>방카슈랑스 (Bancassurance)</t>
    <phoneticPr fontId="7" type="noConversion"/>
  </si>
  <si>
    <t>합계 (Total)</t>
    <phoneticPr fontId="7" type="noConversion"/>
  </si>
  <si>
    <t>채널별 수입보험료 (Premium Income by Distribution Channel)</t>
    <phoneticPr fontId="7" type="noConversion"/>
  </si>
  <si>
    <t>채널별 초년도 보험료 (First-year Premium by Distribution Channel)</t>
    <phoneticPr fontId="7" type="noConversion"/>
  </si>
  <si>
    <r>
      <t>[</t>
    </r>
    <r>
      <rPr>
        <b/>
        <sz val="9"/>
        <color theme="1"/>
        <rFont val="돋움"/>
        <family val="3"/>
        <charset val="129"/>
      </rPr>
      <t>일시납</t>
    </r>
    <r>
      <rPr>
        <b/>
        <sz val="9"/>
        <color theme="1"/>
        <rFont val="Arial"/>
        <family val="2"/>
      </rPr>
      <t xml:space="preserve"> - Single premium]</t>
    </r>
    <phoneticPr fontId="7" type="noConversion"/>
  </si>
  <si>
    <r>
      <t>[</t>
    </r>
    <r>
      <rPr>
        <b/>
        <sz val="9"/>
        <color theme="1"/>
        <rFont val="돋움"/>
        <family val="3"/>
        <charset val="129"/>
      </rPr>
      <t>비일시납</t>
    </r>
    <r>
      <rPr>
        <b/>
        <sz val="9"/>
        <color theme="1"/>
        <rFont val="Arial"/>
        <family val="2"/>
      </rPr>
      <t xml:space="preserve"> - Non-single premium]</t>
    </r>
    <phoneticPr fontId="7" type="noConversion"/>
  </si>
  <si>
    <t>단위 십억원,% (KRW bn, %)</t>
    <phoneticPr fontId="7" type="noConversion"/>
  </si>
  <si>
    <t>대출 (Loan Breakdown)</t>
    <phoneticPr fontId="7" type="noConversion"/>
  </si>
  <si>
    <t>자산건전성 (Asset Quality of Loan)</t>
    <phoneticPr fontId="7" type="noConversion"/>
  </si>
  <si>
    <t>대출채권 (Total Loan)</t>
    <phoneticPr fontId="7" type="noConversion"/>
  </si>
  <si>
    <t>정상 (Normal)</t>
    <phoneticPr fontId="7" type="noConversion"/>
  </si>
  <si>
    <t>요주의 (Precautionary)</t>
    <phoneticPr fontId="7" type="noConversion"/>
  </si>
  <si>
    <t>고정이하 (Non Performing Loan (NPL))</t>
    <phoneticPr fontId="7" type="noConversion"/>
  </si>
  <si>
    <t>고정 (Substandard)</t>
    <phoneticPr fontId="7" type="noConversion"/>
  </si>
  <si>
    <t>회수의문 (Doubtful)</t>
    <phoneticPr fontId="7" type="noConversion"/>
  </si>
  <si>
    <t>추정손실 (Estimated Loss)</t>
    <phoneticPr fontId="7" type="noConversion"/>
  </si>
  <si>
    <t>NPL(고정이하) 비율 (NPL ratio)</t>
    <phoneticPr fontId="7" type="noConversion"/>
  </si>
  <si>
    <t>채권 (Bond Breakdown)</t>
    <phoneticPr fontId="7" type="noConversion"/>
  </si>
  <si>
    <t>보험약관대출금 (Policy Loan)</t>
    <phoneticPr fontId="7" type="noConversion"/>
  </si>
  <si>
    <t>콜론 (Call Loan)</t>
    <phoneticPr fontId="7" type="noConversion"/>
  </si>
  <si>
    <t>유가증권담보대출금 (Loans on Securities)</t>
    <phoneticPr fontId="7" type="noConversion"/>
  </si>
  <si>
    <t>신용대출금 (Unsecured Loan)</t>
    <phoneticPr fontId="7" type="noConversion"/>
  </si>
  <si>
    <t>지급보증대출금 (Loans on Acceptance and Guarantee)</t>
    <phoneticPr fontId="7" type="noConversion"/>
  </si>
  <si>
    <t>기타대출금 (Other Loans)</t>
    <phoneticPr fontId="7" type="noConversion"/>
  </si>
  <si>
    <t>부동산담보대출금 (Housing Collateral Loan)</t>
    <phoneticPr fontId="7" type="noConversion"/>
  </si>
  <si>
    <t>퇴직관련 보험 (Retirement-related)</t>
    <phoneticPr fontId="7" type="noConversion"/>
  </si>
  <si>
    <t>단위:원 (KRW)</t>
  </si>
  <si>
    <t>지급여력비율 (K-ICS ratio) (A)÷(B)</t>
  </si>
  <si>
    <t>&lt; IFRS9 기준 &gt;</t>
    <phoneticPr fontId="7" type="noConversion"/>
  </si>
  <si>
    <t>상품별 수입보험료 (Premium Income by Product-type(GA+SA)</t>
    <phoneticPr fontId="7" type="noConversion"/>
  </si>
  <si>
    <t>채널별 수입보험료 (Premium Income by Distribution Channel (GA+SA)</t>
    <phoneticPr fontId="7" type="noConversion"/>
  </si>
  <si>
    <t>대출 (Loan)/ 자산건전성 (Asset Quality of Loan)</t>
    <phoneticPr fontId="7" type="noConversion"/>
  </si>
  <si>
    <t>CSM 상각 (Amortization of CSM)</t>
    <phoneticPr fontId="7" type="noConversion"/>
  </si>
  <si>
    <t>RA 상각  (Amortization of RA)</t>
    <phoneticPr fontId="7" type="noConversion"/>
  </si>
  <si>
    <t>IFRS17, IFRS9</t>
    <phoneticPr fontId="7" type="noConversion"/>
  </si>
  <si>
    <t>&lt;K-ICS 기준&gt;</t>
    <phoneticPr fontId="7" type="noConversion"/>
  </si>
  <si>
    <t>상각후원가측정유가증권 (AC)</t>
    <phoneticPr fontId="7" type="noConversion"/>
  </si>
  <si>
    <t>기타포괄손익-공정가치측정유가증권 (FVOCI)</t>
    <phoneticPr fontId="7" type="noConversion"/>
  </si>
  <si>
    <t xml:space="preserve">당기손익-공정가치측정유가증권 (FVPL) </t>
    <phoneticPr fontId="7" type="noConversion"/>
  </si>
  <si>
    <t>재무현황 (Financial Highlights)</t>
  </si>
  <si>
    <t>보험손익 (Insurance Profit)</t>
    <phoneticPr fontId="7" type="noConversion"/>
  </si>
  <si>
    <t>투자손익 (Investment Profit)</t>
    <phoneticPr fontId="7" type="noConversion"/>
  </si>
  <si>
    <t>영업외손익(Non-Operating Profit)</t>
    <phoneticPr fontId="7" type="noConversion"/>
  </si>
  <si>
    <t>법인세비용차감전순이익 (Earnings Before Income Tax)</t>
    <phoneticPr fontId="7" type="noConversion"/>
  </si>
  <si>
    <t>예실차 (Difference between estimated and actual)</t>
    <phoneticPr fontId="7" type="noConversion"/>
  </si>
  <si>
    <t>기타 (Others)</t>
  </si>
  <si>
    <t>기타 (Others)</t>
    <phoneticPr fontId="7" type="noConversion"/>
  </si>
  <si>
    <t>요약 재무상태표 (Selected Balance Sheet)</t>
    <phoneticPr fontId="7" type="noConversion"/>
  </si>
  <si>
    <t>요약 손익계산서 (Selected Income Statement)</t>
    <phoneticPr fontId="7" type="noConversion"/>
  </si>
  <si>
    <t>신계약 CSM (New Business CSM)</t>
  </si>
  <si>
    <t>신계약 CSM (New Business CSM)</t>
    <phoneticPr fontId="7" type="noConversion"/>
  </si>
  <si>
    <t>(단위 십억원, %)</t>
    <phoneticPr fontId="7" type="noConversion"/>
  </si>
  <si>
    <t>(KRW bn, %)</t>
    <phoneticPr fontId="7" type="noConversion"/>
  </si>
  <si>
    <t>건강 (Health)</t>
    <phoneticPr fontId="7" type="noConversion"/>
  </si>
  <si>
    <t>보장성 (Protection-type)</t>
    <phoneticPr fontId="7" type="noConversion"/>
  </si>
  <si>
    <t>RA, CSM, BEL Movement</t>
  </si>
  <si>
    <t>BEL</t>
    <phoneticPr fontId="7" type="noConversion"/>
  </si>
  <si>
    <t>주요지표 (Key Index)</t>
  </si>
  <si>
    <t>재무 안정성 (Financial Stability)</t>
  </si>
  <si>
    <t>생산성 / 경영효율 (Productivity / Operating Efficiency)</t>
  </si>
  <si>
    <t>상품별 수입보험료 (Premium by Product-type)</t>
  </si>
  <si>
    <t>상품별 APE (Annualized Premium Equivalent (APE))</t>
  </si>
  <si>
    <t>상품별 수입보험료 (Premium Income)</t>
  </si>
  <si>
    <t>상품별 초회보험료 (Initial Premium)</t>
  </si>
  <si>
    <t>상품별 초년도보험료 (First Year Premium)</t>
  </si>
  <si>
    <t>채널별 수입보험료 (Premium by Distribution Channel)</t>
  </si>
  <si>
    <t>채널별 APE (Annualized Premium Equivalent (APE))</t>
  </si>
  <si>
    <t>채널별 수입보험료 (Premium Income)</t>
  </si>
  <si>
    <t>채널별 초년도보험료 (First Year Premium)</t>
  </si>
  <si>
    <t>투자영업 현황 (Investment)</t>
  </si>
  <si>
    <t>대출 (Loan)/ 자산건전성 (Asset Quality of Loan)</t>
  </si>
  <si>
    <t>채권 (Bond)</t>
  </si>
  <si>
    <t>재무제표 (Full Financial Statements)</t>
  </si>
  <si>
    <t>이자부리  (Unwinding)</t>
  </si>
  <si>
    <t>RA</t>
    <phoneticPr fontId="7" type="noConversion"/>
  </si>
  <si>
    <t>기말 RA (Ending RA)</t>
    <phoneticPr fontId="7" type="noConversion"/>
  </si>
  <si>
    <t>기시 RA (Beginning RA)</t>
    <phoneticPr fontId="7" type="noConversion"/>
  </si>
  <si>
    <t>CSM</t>
    <phoneticPr fontId="7" type="noConversion"/>
  </si>
  <si>
    <t>기시 CSM (Beginning CSM)</t>
    <phoneticPr fontId="7" type="noConversion"/>
  </si>
  <si>
    <t>CSM 상각  (Amortization of CSM)</t>
    <phoneticPr fontId="7" type="noConversion"/>
  </si>
  <si>
    <t>기말 CSM (Ending CSM)</t>
    <phoneticPr fontId="7" type="noConversion"/>
  </si>
  <si>
    <t>기시 BEL (Beginning BEL)</t>
    <phoneticPr fontId="7" type="noConversion"/>
  </si>
  <si>
    <t>기말 BEL (Ending BEL)</t>
    <phoneticPr fontId="7" type="noConversion"/>
  </si>
  <si>
    <t>신계약  (New business)</t>
    <phoneticPr fontId="7" type="noConversion"/>
  </si>
  <si>
    <t>당기 현금흐름 (Cashflow)</t>
    <phoneticPr fontId="7" type="noConversion"/>
  </si>
  <si>
    <t>BEL, RA, CSM Movement</t>
    <phoneticPr fontId="7" type="noConversion"/>
  </si>
  <si>
    <t>자산총계 (Total Assets)</t>
    <phoneticPr fontId="7" type="noConversion"/>
  </si>
  <si>
    <t>신계약CSM (New Business CSM)</t>
    <phoneticPr fontId="7" type="noConversion"/>
  </si>
  <si>
    <t>NPL 비율 (NPL Ratio)</t>
    <phoneticPr fontId="7" type="noConversion"/>
  </si>
  <si>
    <t xml:space="preserve">단위 십억원, % </t>
    <phoneticPr fontId="7" type="noConversion"/>
  </si>
  <si>
    <t>국채 (Government Bonds)</t>
  </si>
  <si>
    <t>특수채 (Special Bonds)</t>
  </si>
  <si>
    <t>금융채 (Financial Bonds)</t>
  </si>
  <si>
    <t>회사채 (Corporate Bonds)</t>
  </si>
  <si>
    <t>해외채권(Overseas Bonds)</t>
  </si>
  <si>
    <t>K-ICS 비율 (K-ICS Ratio)</t>
    <phoneticPr fontId="7" type="noConversion"/>
  </si>
  <si>
    <t>요약재무상태표 (Selected Balance sheet)</t>
    <phoneticPr fontId="7" type="noConversion"/>
  </si>
  <si>
    <t>요약손익계산서 (Selected Income Statement)</t>
    <phoneticPr fontId="7" type="noConversion"/>
  </si>
  <si>
    <t>FY23</t>
    <phoneticPr fontId="7" type="noConversion"/>
  </si>
  <si>
    <t>IFRS17, IFRS9</t>
  </si>
  <si>
    <t>FY24</t>
    <phoneticPr fontId="7" type="noConversion"/>
  </si>
  <si>
    <t>증감</t>
    <phoneticPr fontId="7" type="noConversion"/>
  </si>
  <si>
    <t>증감</t>
    <phoneticPr fontId="7" type="noConversion"/>
  </si>
  <si>
    <t>FY24</t>
    <phoneticPr fontId="7" type="noConversion"/>
  </si>
  <si>
    <t>※ 보험약관대출금은 부채차감 항목으로 반영</t>
    <phoneticPr fontId="7" type="noConversion"/>
  </si>
  <si>
    <t>APE 대비 신계약 CSM 배수 (New Business CSM Margin compared to New Business APE)</t>
    <phoneticPr fontId="7" type="noConversion"/>
  </si>
  <si>
    <t>신계약 CSM 배수 (New Business CSM Margin)</t>
    <phoneticPr fontId="7" type="noConversion"/>
  </si>
  <si>
    <t>월초P 대비 신계약 CSM 배수 (New Business CSM Margin compared to Monthly initial premium)</t>
    <phoneticPr fontId="7" type="noConversion"/>
  </si>
  <si>
    <t>Accumulated</t>
    <phoneticPr fontId="7" type="noConversion"/>
  </si>
  <si>
    <t>Accumulated</t>
    <phoneticPr fontId="7" type="noConversion"/>
  </si>
  <si>
    <t>요약재무상태표 (Selected Balance sheet)</t>
  </si>
  <si>
    <t>요약손익계산서 (Selected Income Statement)</t>
  </si>
  <si>
    <t>FY2024.12월</t>
    <phoneticPr fontId="7" type="noConversion"/>
  </si>
  <si>
    <t>손해율</t>
    <phoneticPr fontId="7" type="noConversion"/>
  </si>
  <si>
    <t>위험보험료</t>
    <phoneticPr fontId="7" type="noConversion"/>
  </si>
  <si>
    <t>사고보험금</t>
    <phoneticPr fontId="7" type="noConversion"/>
  </si>
  <si>
    <t>IBNR비용</t>
    <phoneticPr fontId="7" type="noConversion"/>
  </si>
  <si>
    <t>IBNR제외시 손해율</t>
    <phoneticPr fontId="7" type="noConversion"/>
  </si>
  <si>
    <t>(단위 십억원, 명, %)</t>
    <phoneticPr fontId="7" type="noConversion"/>
  </si>
  <si>
    <t>(KRW bn, persons, %)</t>
    <phoneticPr fontId="7" type="noConversion"/>
  </si>
  <si>
    <t>저축성 (Savings/Annuities)</t>
    <phoneticPr fontId="7" type="noConversion"/>
  </si>
  <si>
    <t>FY25</t>
  </si>
  <si>
    <t>FY25</t>
    <phoneticPr fontId="7" type="noConversion"/>
  </si>
  <si>
    <t>전체 유지율 (Persistency Ratio)</t>
    <phoneticPr fontId="7" type="noConversion"/>
  </si>
  <si>
    <t>보장성 유지율 (Protection-type Persistency Ratio)</t>
    <phoneticPr fontId="7" type="noConversion"/>
  </si>
  <si>
    <r>
      <t>*단체</t>
    </r>
    <r>
      <rPr>
        <sz val="8"/>
        <color theme="1"/>
        <rFont val="돋움"/>
        <family val="2"/>
        <charset val="129"/>
      </rPr>
      <t>, 퇴직 제외</t>
    </r>
    <phoneticPr fontId="7" type="noConversion"/>
  </si>
  <si>
    <t>*단체, 퇴직 제외</t>
  </si>
  <si>
    <t>*2 공통 경과조치 적용 후 기준</t>
  </si>
  <si>
    <t>*2 공통 경과조치 적용 후 기준</t>
    <phoneticPr fontId="7" type="noConversion"/>
  </si>
  <si>
    <t>연  결  손 익 계 산 서 (Income Statement) - K-IFRS</t>
    <phoneticPr fontId="7" type="noConversion"/>
  </si>
  <si>
    <t>연  결  재 무 상 태 표 (Balance Sheet) - K-IFRS</t>
    <phoneticPr fontId="7" type="noConversion"/>
  </si>
  <si>
    <t>As of Dec 31, 2024(Consolidated)</t>
    <phoneticPr fontId="7" type="noConversion"/>
  </si>
  <si>
    <t>보험부채_CSM (Contract Service Margin)</t>
    <phoneticPr fontId="7" type="noConversion"/>
  </si>
  <si>
    <t>자산 (Assets)</t>
  </si>
  <si>
    <t xml:space="preserve">  2. 기타포괄손익공정가치측정유가증권 (Financial assets at fair value through other comprehensive income)</t>
    <phoneticPr fontId="45" type="noConversion"/>
  </si>
  <si>
    <t xml:space="preserve">  1. 순확정급여자산(Net defined benefit assets)</t>
  </si>
  <si>
    <t xml:space="preserve">  3. 이연법인세자산 (Deferred tax assets)</t>
  </si>
  <si>
    <t xml:space="preserve">  4. 그밖의기타자산 (Others)</t>
  </si>
  <si>
    <t>부채 (Liabilities)</t>
  </si>
  <si>
    <t xml:space="preserve">  1. 당기손익인식금융부채 (Financial liabilities at fair value through profit or loss)</t>
  </si>
  <si>
    <t xml:space="preserve">  1. 충당부채 (Provisions)</t>
  </si>
  <si>
    <t xml:space="preserve">  2. 순확정급여채무 (Net defined benefit liabilities)</t>
  </si>
  <si>
    <t xml:space="preserve">  3. 당기법인세부채 (Current tax liabilities)</t>
  </si>
  <si>
    <t xml:space="preserve">  4. 이연법인세부채 (Deferred tax liabilities)</t>
  </si>
  <si>
    <t xml:space="preserve">  5. 그밖의기타부채 (Others)</t>
  </si>
  <si>
    <t>자본 (Shareholders' equity)</t>
  </si>
  <si>
    <t>연결재무상태표 (Consolidated Balance Sheet - KIFRS)</t>
    <phoneticPr fontId="7" type="noConversion"/>
  </si>
  <si>
    <t>연결손익계산서 (Consolidated Income Statement - KIFRS)</t>
    <phoneticPr fontId="7" type="noConversion"/>
  </si>
  <si>
    <t xml:space="preserve">                                 As of December. 2025</t>
    <phoneticPr fontId="7" type="noConversion"/>
  </si>
  <si>
    <t>*1 K-ICS Ratio : 2025.4Q 비율은 추정치로 추후 업데이트 예정</t>
    <phoneticPr fontId="7" type="noConversion"/>
  </si>
  <si>
    <t xml:space="preserve">FY24 </t>
  </si>
  <si>
    <t xml:space="preserve">FY25 </t>
  </si>
  <si>
    <t>FY2025.12월</t>
    <phoneticPr fontId="7" type="noConversion"/>
  </si>
  <si>
    <t>For the 12 months Ends Dec 31, 2025(Consolidated)</t>
    <phoneticPr fontId="7" type="noConversion"/>
  </si>
  <si>
    <t>For the 12 months Ends Dec 31, 2024(Consolidated)</t>
    <phoneticPr fontId="7" type="noConversion"/>
  </si>
  <si>
    <t>As of Dec 31, 2025(Consolidated)</t>
    <phoneticPr fontId="7" type="noConversion"/>
  </si>
  <si>
    <t>Ⅲ. 투자계약부채 (Investment contract liabilities)</t>
    <phoneticPr fontId="7" type="noConversion"/>
  </si>
  <si>
    <t>Ⅰ.자산총계 (Total assets)</t>
    <phoneticPr fontId="7" type="noConversion"/>
  </si>
  <si>
    <t xml:space="preserve"> ⅰ.현금및현금성자산 (Cash and cash equivalents)</t>
    <phoneticPr fontId="7" type="noConversion"/>
  </si>
  <si>
    <t>ⅰ. 현금및현금성자산 (Cash and cash equivalents)</t>
    <phoneticPr fontId="7" type="noConversion"/>
  </si>
  <si>
    <t>ⅱ. 금융자산 (Financial assets)</t>
    <phoneticPr fontId="7" type="noConversion"/>
  </si>
  <si>
    <t>FVPL (Financial assets at fair value through profit or loss)</t>
    <phoneticPr fontId="7" type="noConversion"/>
  </si>
  <si>
    <t>FVOCI (Financial assets at fair value through other comprehensive income)</t>
    <phoneticPr fontId="7" type="noConversion"/>
  </si>
  <si>
    <t>AC (Financial assets at amortized cost)</t>
    <phoneticPr fontId="7" type="noConversion"/>
  </si>
  <si>
    <t>ⅲ. 관계기업투자자산 (Investments accounted for using equity method)</t>
    <phoneticPr fontId="7" type="noConversion"/>
  </si>
  <si>
    <t>ⅳ. 유형자산 (Property, plant and equipment)</t>
    <phoneticPr fontId="7" type="noConversion"/>
  </si>
  <si>
    <t>ⅴ. 투자부동산 (Investment properties)</t>
    <phoneticPr fontId="7" type="noConversion"/>
  </si>
  <si>
    <r>
      <rPr>
        <sz val="8"/>
        <rFont val="맑은 고딕"/>
        <family val="3"/>
        <charset val="129"/>
      </rPr>
      <t xml:space="preserve">ⅵ. </t>
    </r>
    <r>
      <rPr>
        <sz val="8"/>
        <rFont val="맑은 고딕"/>
        <family val="3"/>
        <charset val="129"/>
        <scheme val="major"/>
      </rPr>
      <t>무형자산 (Intangible assets other than goodwill)</t>
    </r>
    <phoneticPr fontId="7" type="noConversion"/>
  </si>
  <si>
    <r>
      <rPr>
        <sz val="8"/>
        <rFont val="맑은 고딕"/>
        <family val="3"/>
        <charset val="129"/>
      </rPr>
      <t xml:space="preserve">ⅶ. </t>
    </r>
    <r>
      <rPr>
        <sz val="8"/>
        <rFont val="맑은 고딕"/>
        <family val="3"/>
        <charset val="129"/>
        <scheme val="major"/>
      </rPr>
      <t>기타자산 (Other assets)</t>
    </r>
    <phoneticPr fontId="7" type="noConversion"/>
  </si>
  <si>
    <t>ⅷ. 재보험계약자산 (Reinsurance contracts assets)</t>
    <phoneticPr fontId="7" type="noConversion"/>
  </si>
  <si>
    <t>Ⅱ. 부채총계 (Total liabilities)</t>
    <phoneticPr fontId="7" type="noConversion"/>
  </si>
  <si>
    <t>ⅰ. 보험계약부채 (Insurance contracts issued that are liabilities)</t>
    <phoneticPr fontId="7" type="noConversion"/>
  </si>
  <si>
    <t>CSM (Contract service margin)</t>
    <phoneticPr fontId="7" type="noConversion"/>
  </si>
  <si>
    <t>ⅱ. 투자계약부채 (Investment contracts liabilities)</t>
    <phoneticPr fontId="7" type="noConversion"/>
  </si>
  <si>
    <t>ⅲ. 금융부채 (Financial liabilities)</t>
    <phoneticPr fontId="7" type="noConversion"/>
  </si>
  <si>
    <t>사채 (Borrowings)</t>
    <phoneticPr fontId="7" type="noConversion"/>
  </si>
  <si>
    <t>ⅳ. 기타부채 (Other liabilities)</t>
    <phoneticPr fontId="7" type="noConversion"/>
  </si>
  <si>
    <t>ⅴ. 재보험계약부채 (Reinsurance contracts assets)</t>
    <phoneticPr fontId="7" type="noConversion"/>
  </si>
  <si>
    <t>Ⅲ. 자본총계 (Total Shareholders' Equity)</t>
    <phoneticPr fontId="7" type="noConversion"/>
  </si>
  <si>
    <t>ⅰ. 자본금 (Issued capital)</t>
    <phoneticPr fontId="7" type="noConversion"/>
  </si>
  <si>
    <t>ⅱ. 자본잉여금 (Capital surplus)</t>
    <phoneticPr fontId="7" type="noConversion"/>
  </si>
  <si>
    <t>ⅲ. 신종자본증권 (Hybrid bonds)</t>
    <phoneticPr fontId="7" type="noConversion"/>
  </si>
  <si>
    <t>ⅴ. 자본조정 (Capital Adjustments)</t>
    <phoneticPr fontId="7" type="noConversion"/>
  </si>
  <si>
    <t>ⅵ. 기타포괄손익누계액 (Accumulated other comprehensive income)</t>
    <phoneticPr fontId="7" type="noConversion"/>
  </si>
  <si>
    <t>ⅳ. 이익잉여금 (Retained earnings)</t>
    <phoneticPr fontId="7" type="noConversion"/>
  </si>
  <si>
    <t>자본과부채총계 (Total Shareholders' Equity and liabilities)</t>
    <phoneticPr fontId="7" type="noConversion"/>
  </si>
  <si>
    <t>보험손익 (Insurance service result)</t>
    <phoneticPr fontId="7" type="noConversion"/>
  </si>
  <si>
    <t>이자(배당)손익 (Interest(dividend) income or expense)</t>
    <phoneticPr fontId="7" type="noConversion"/>
  </si>
  <si>
    <t>비이자손익(Non-Interest profit)</t>
    <phoneticPr fontId="7" type="noConversion"/>
  </si>
  <si>
    <t>보험금융손익 (Insurance financial expense)</t>
  </si>
  <si>
    <t>영업이익(또는영업손실) ((Profit (loss) from operating activities)</t>
    <phoneticPr fontId="7" type="noConversion"/>
  </si>
  <si>
    <t>영업외손익 (Non-operating profit or loss)</t>
    <phoneticPr fontId="7" type="noConversion"/>
  </si>
  <si>
    <t>법인세비용차감전순이익 (Profit (loss) before income taxes)</t>
    <phoneticPr fontId="7" type="noConversion"/>
  </si>
  <si>
    <t xml:space="preserve">  1. 당기손익공정가치측정금융자산 (Financial assets at fair value through profit or loss)</t>
    <phoneticPr fontId="45" type="noConversion"/>
  </si>
  <si>
    <t xml:space="preserve">  3. 상각후원가측정금융자산 (Financial assets at amortized cost)</t>
    <phoneticPr fontId="45" type="noConversion"/>
  </si>
  <si>
    <t xml:space="preserve">  4. 위험회피목적파생상품자산 (Derivative financial assets held for hedging)</t>
    <phoneticPr fontId="45" type="noConversion"/>
  </si>
  <si>
    <t>Ⅲ. 관계기업투자주식 (Investments accounted for using equity method)</t>
    <phoneticPr fontId="7" type="noConversion"/>
  </si>
  <si>
    <t>Ⅳ. 유형자산 (Property, plant and equipment)</t>
    <phoneticPr fontId="7" type="noConversion"/>
  </si>
  <si>
    <t>Ⅴ. 투자부동산 (Invesment properties)</t>
    <phoneticPr fontId="7" type="noConversion"/>
  </si>
  <si>
    <t>Ⅵ. 무형자산 (Intangible assets other than goodwill)</t>
    <phoneticPr fontId="7" type="noConversion"/>
  </si>
  <si>
    <t>Ⅶ. 기타자산 (Other assets)</t>
    <phoneticPr fontId="7" type="noConversion"/>
  </si>
  <si>
    <t xml:space="preserve">  2. 당기법인세자산 (Current tax assets)</t>
    <phoneticPr fontId="7" type="noConversion"/>
  </si>
  <si>
    <t>Ⅷ. 보험계약자산 (Insurance contract assets)</t>
    <phoneticPr fontId="7" type="noConversion"/>
  </si>
  <si>
    <t>Ⅸ. 재보험계약자산 (Reinsurance contract assets)</t>
    <phoneticPr fontId="7" type="noConversion"/>
  </si>
  <si>
    <t>Ⅰ. 보험계약부채 (Insurance contracts issued that are liabilities)</t>
    <phoneticPr fontId="7" type="noConversion"/>
  </si>
  <si>
    <t>Ⅱ. 재보험계약부채 (Reinsurance contracts held that are liabilities)</t>
    <phoneticPr fontId="7" type="noConversion"/>
  </si>
  <si>
    <t>Ⅳ. 금융부채 (Financial liabilities)</t>
    <phoneticPr fontId="7" type="noConversion"/>
  </si>
  <si>
    <t xml:space="preserve">  2. 사채 (Borrowings)</t>
    <phoneticPr fontId="7" type="noConversion"/>
  </si>
  <si>
    <t xml:space="preserve">  3. 기타금융부채 (Other financial liabilities)</t>
    <phoneticPr fontId="45" type="noConversion"/>
  </si>
  <si>
    <t xml:space="preserve">  4. 위험회피목적파생상품부채 (Derivative financial liabilities held for hedging)</t>
    <phoneticPr fontId="45" type="noConversion"/>
  </si>
  <si>
    <t>Ⅴ. 기타부채 (Other liabilities)</t>
    <phoneticPr fontId="7" type="noConversion"/>
  </si>
  <si>
    <t>Ⅰ. 자본금 (Issued capital)</t>
    <phoneticPr fontId="7" type="noConversion"/>
  </si>
  <si>
    <t>Ⅲ. 신종자본증권 (Hybrid bonds)</t>
    <phoneticPr fontId="7" type="noConversion"/>
  </si>
  <si>
    <t>자본과 부채총계 (Total Shareholders' Equity and liabilities)</t>
    <phoneticPr fontId="7" type="noConversion"/>
  </si>
  <si>
    <t/>
  </si>
  <si>
    <t>Ⅰ. 보험손익 (Insurance service result)</t>
    <phoneticPr fontId="7" type="noConversion"/>
  </si>
  <si>
    <t xml:space="preserve">  1. 보험영업수익 (Operating income, insurance)</t>
    <phoneticPr fontId="7" type="noConversion"/>
  </si>
  <si>
    <t xml:space="preserve">    (1) 보험수익 (Insurance revenue)</t>
    <phoneticPr fontId="7" type="noConversion"/>
  </si>
  <si>
    <t xml:space="preserve">       가. 예상 발생보험금 (Expected incurred claims)</t>
    <phoneticPr fontId="7" type="noConversion"/>
  </si>
  <si>
    <t xml:space="preserve">       나. 예상 손해조사비용 (Expected claims investigation cost)</t>
    <phoneticPr fontId="7" type="noConversion"/>
  </si>
  <si>
    <t xml:space="preserve">       다. 예상 유지비용 (Expected maintenance cost)</t>
    <phoneticPr fontId="7" type="noConversion"/>
  </si>
  <si>
    <t xml:space="preserve">       라. 예상 투자관리비용 (Expected investment management cost)</t>
    <phoneticPr fontId="7" type="noConversion"/>
  </si>
  <si>
    <t xml:space="preserve">       마. 위험조정 변동 (Changes in the risk adjustment)</t>
    <phoneticPr fontId="7" type="noConversion"/>
  </si>
  <si>
    <t xml:space="preserve">       바. 제공된 서비스의 보험계약마진 (CSM recognized in profit or loss for service provided)</t>
    <phoneticPr fontId="7" type="noConversion"/>
  </si>
  <si>
    <t xml:space="preserve">       사. 보험취득현금흐름 기간배분 (Insurance acquisition cash flows amortization)</t>
    <phoneticPr fontId="7" type="noConversion"/>
  </si>
  <si>
    <t xml:space="preserve">       아. 손실요소 배분액 (Allocation on revenue from onerous contract)</t>
    <phoneticPr fontId="7" type="noConversion"/>
  </si>
  <si>
    <t xml:space="preserve">    (2) 재보험수익 (Income from amounts recovered from reinsurer)</t>
    <phoneticPr fontId="7" type="noConversion"/>
  </si>
  <si>
    <t xml:space="preserve">  2. 보험서비스비용 (Operating expense, insurance)</t>
    <phoneticPr fontId="7" type="noConversion"/>
  </si>
  <si>
    <t xml:space="preserve">    (1) 보험비용 (Insurance service expenses from insurance contracts issued)</t>
    <phoneticPr fontId="7" type="noConversion"/>
  </si>
  <si>
    <t xml:space="preserve">       가. 실제 발생보험금 (Actual incurred claims)</t>
    <phoneticPr fontId="7" type="noConversion"/>
  </si>
  <si>
    <t xml:space="preserve">       나. 실제 손해조사비용 (Actual incurred claims)</t>
    <phoneticPr fontId="7" type="noConversion"/>
  </si>
  <si>
    <t xml:space="preserve">       다. 실제 유지비용 (Actual maintenance cost)</t>
    <phoneticPr fontId="7" type="noConversion"/>
  </si>
  <si>
    <t xml:space="preserve">       라. 실제 투자관리비용 (Actual investment management cost)</t>
    <phoneticPr fontId="7" type="noConversion"/>
  </si>
  <si>
    <t xml:space="preserve">       마. 손실부담계약 전환입 (Reversal of losses on onerous contracts)</t>
    <phoneticPr fontId="7" type="noConversion"/>
  </si>
  <si>
    <t xml:space="preserve">       바. 발생사고요소 변동 (Changes that relate to past sevice-adjustmens)</t>
    <phoneticPr fontId="7" type="noConversion"/>
  </si>
  <si>
    <t xml:space="preserve">       아. 손실요소 배분액 (Allocation on expense from onerous contract)</t>
    <phoneticPr fontId="7" type="noConversion"/>
  </si>
  <si>
    <t xml:space="preserve">       자. 기타 (Others)</t>
    <phoneticPr fontId="7" type="noConversion"/>
  </si>
  <si>
    <t xml:space="preserve">    (2) 재보험비용 (Expenses from allocation of premiums paid to reinsurer)</t>
    <phoneticPr fontId="7" type="noConversion"/>
  </si>
  <si>
    <t xml:space="preserve">    (3) 기타사업비용 (Other operating expense, insurance)</t>
    <phoneticPr fontId="7" type="noConversion"/>
  </si>
  <si>
    <t>Ⅱ. 투자손익 (Net Investment Income)</t>
    <phoneticPr fontId="7" type="noConversion"/>
  </si>
  <si>
    <t xml:space="preserve">  1. 투자영업수익 (Operating income, investment)</t>
    <phoneticPr fontId="7" type="noConversion"/>
  </si>
  <si>
    <t xml:space="preserve">    (1) 보험금융수익 (Insurance finance income)</t>
    <phoneticPr fontId="7" type="noConversion"/>
  </si>
  <si>
    <t xml:space="preserve">    (2) 재보험금융수익 (Finance income from reinsurance contracts held)</t>
    <phoneticPr fontId="7" type="noConversion"/>
  </si>
  <si>
    <t xml:space="preserve">    (3) 이자수익 (Interest income)</t>
    <phoneticPr fontId="7" type="noConversion"/>
  </si>
  <si>
    <t xml:space="preserve">    (4) 배당금수익 (Dividend income)</t>
    <phoneticPr fontId="7" type="noConversion"/>
  </si>
  <si>
    <t xml:space="preserve">    (5) 당기손익-공정가치측정금융상품관련이익 (Gains from financial instruments at fair value through profit or loss)</t>
    <phoneticPr fontId="7" type="noConversion"/>
  </si>
  <si>
    <t xml:space="preserve">    (6) 기타포괄손익-공정가치측정금융상품관련이익 (Gains from financial instruments at fair value through OCI)</t>
    <phoneticPr fontId="7" type="noConversion"/>
  </si>
  <si>
    <t xml:space="preserve">    (7) 상각후원가측정금융상품관련이익 (Gains arising from derecognition of financial instruments measured at amortized cost)</t>
    <phoneticPr fontId="7" type="noConversion"/>
  </si>
  <si>
    <t xml:space="preserve">    (8) 신용손실충당금 환입액 (Reversals of impairment losses of financial assets)</t>
    <phoneticPr fontId="7" type="noConversion"/>
  </si>
  <si>
    <t xml:space="preserve">    (9) 외화거래이익 (Foreign exchange gains)</t>
    <phoneticPr fontId="7" type="noConversion"/>
  </si>
  <si>
    <t xml:space="preserve">    (10) 파생상품관련수익 (Gains from derivatives)</t>
    <phoneticPr fontId="7" type="noConversion"/>
  </si>
  <si>
    <t xml:space="preserve">    (11) 수수료수익 (Fee and commission income)</t>
    <phoneticPr fontId="7" type="noConversion"/>
  </si>
  <si>
    <t xml:space="preserve">    (12) 기타투자수익 (Other operating income, investment)</t>
    <phoneticPr fontId="7" type="noConversion"/>
  </si>
  <si>
    <t xml:space="preserve">  2. 투자영업비용 (Operating expense, investment)</t>
    <phoneticPr fontId="7" type="noConversion"/>
  </si>
  <si>
    <t xml:space="preserve">    (1) 보험금융비용 (Insurance finance expense)</t>
    <phoneticPr fontId="7" type="noConversion"/>
  </si>
  <si>
    <t xml:space="preserve">    (2) 이자비용 (Interest expense)</t>
    <phoneticPr fontId="7" type="noConversion"/>
  </si>
  <si>
    <t xml:space="preserve">    (3) 당기손익-공정가치측정금융상품관련손실 (Losses from financial instruments at fair value through profit or loss)</t>
    <phoneticPr fontId="7" type="noConversion"/>
  </si>
  <si>
    <t xml:space="preserve">    (4) 기타포괄손익-공정가치측정금융상품관련손실 (Losses from financial instruments at fair value through OCI)</t>
    <phoneticPr fontId="7" type="noConversion"/>
  </si>
  <si>
    <t xml:space="preserve">    (5) 상각후원가측정금융상품관련손실 (Losses arising from derecognition of financial instruments measured at amortized cost)</t>
    <phoneticPr fontId="7" type="noConversion"/>
  </si>
  <si>
    <t xml:space="preserve">    (6) 신용손실충당금 전입액 (Additional impairment losses of financial assets)</t>
    <phoneticPr fontId="7" type="noConversion"/>
  </si>
  <si>
    <t xml:space="preserve">    (7) 외화거래손실 (Foreign exchange losses)</t>
    <phoneticPr fontId="7" type="noConversion"/>
  </si>
  <si>
    <t xml:space="preserve">    (8) 파생상품관련비용 (Losses from derivatives)</t>
    <phoneticPr fontId="7" type="noConversion"/>
  </si>
  <si>
    <t xml:space="preserve">    (9) 재산관리비 (Investment administrative expense)</t>
    <phoneticPr fontId="7" type="noConversion"/>
  </si>
  <si>
    <t xml:space="preserve">    (10) 기타투자비용 (Other operating expense, investment)</t>
    <phoneticPr fontId="7" type="noConversion"/>
  </si>
  <si>
    <t>Ⅲ. 영업이익(손실) (Profit (loss) from operating activities)</t>
    <phoneticPr fontId="7" type="noConversion"/>
  </si>
  <si>
    <t>Ⅳ. 영업외수익 (Non-operating Income)</t>
    <phoneticPr fontId="7" type="noConversion"/>
  </si>
  <si>
    <t>Ⅴ. 영업외비용 (Non-operating expense)</t>
    <phoneticPr fontId="7" type="noConversion"/>
  </si>
  <si>
    <t>Ⅵ. 법인세차감전순이익 (Profit (loss) before income taxes)</t>
    <phoneticPr fontId="7" type="noConversion"/>
  </si>
  <si>
    <t>Ⅶ. 법인세비용 (Income tax expenses)</t>
    <phoneticPr fontId="7" type="noConversion"/>
  </si>
  <si>
    <t>Ⅷ. 당기순이익(손실) (Net Income)</t>
    <phoneticPr fontId="7" type="noConversion"/>
  </si>
  <si>
    <t>n.a.</t>
    <phoneticPr fontId="7" type="noConversion"/>
  </si>
  <si>
    <t>Ⅱ. 금융자산 (Financial assets)</t>
    <phoneticPr fontId="7" type="noConversion"/>
  </si>
  <si>
    <t>Ⅰ. 현금및현금성자산 (Cash and cash equivalents)</t>
    <phoneticPr fontId="7" type="noConversion"/>
  </si>
  <si>
    <t>자산 총계 (Total assets)</t>
    <phoneticPr fontId="7" type="noConversion"/>
  </si>
  <si>
    <t>부채 총계 (Total liabilities)</t>
    <phoneticPr fontId="7" type="noConversion"/>
  </si>
  <si>
    <t>자본 총계 (Total shareholders' equity)</t>
    <phoneticPr fontId="7" type="noConversion"/>
  </si>
  <si>
    <t>Ⅱ. 자본잉여금 (Capital surplus)</t>
    <phoneticPr fontId="7" type="noConversion"/>
  </si>
  <si>
    <t>Ⅳ. 자본조정 (Capital adjustments)</t>
    <phoneticPr fontId="7" type="noConversion"/>
  </si>
  <si>
    <t>Ⅴ. 기타포괄손익누계액 (Accumulated other comprehensive income)</t>
    <phoneticPr fontId="7" type="noConversion"/>
  </si>
  <si>
    <t>Ⅵ. 이익잉여금 (Retained earnings)</t>
    <phoneticPr fontId="7" type="noConversion"/>
  </si>
  <si>
    <t>자리</t>
    <phoneticPr fontId="7" type="noConversion"/>
  </si>
  <si>
    <t>보험금예실차 (Claims experience variance)</t>
    <phoneticPr fontId="7" type="noConversion"/>
  </si>
  <si>
    <t>사업비예실차 (Expense experience variance)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</si>
</sst>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 #,##0_-;_-* &quot;-&quot;_-;_-@_-"/>
    <numFmt numFmtId="43" formatCode="_-* #,##0.00_-;\-* #,##0.00_-;_-* &quot;-&quot;??_-;_-@_-"/>
    <numFmt numFmtId="176" formatCode="#,##0.0_);[Red]\(#,##0.0\)"/>
    <numFmt numFmtId="177" formatCode="0.0%"/>
    <numFmt numFmtId="178" formatCode="mmm\ \'yy"/>
    <numFmt numFmtId="179" formatCode="#,##0_);[Red]\(#,##0\)"/>
    <numFmt numFmtId="180" formatCode="0.0_ "/>
    <numFmt numFmtId="181" formatCode="#,##0_ "/>
    <numFmt numFmtId="182" formatCode="#,##0.0_);\(#,##0.0\)"/>
    <numFmt numFmtId="183" formatCode="#,##0.0_ "/>
    <numFmt numFmtId="184" formatCode="#,##0_ ;[Red]\-#,##0\ "/>
    <numFmt numFmtId="185" formatCode="0.0%\P"/>
    <numFmt numFmtId="186" formatCode="#,##0_);\(#,##0\)"/>
    <numFmt numFmtId="187" formatCode="_-* #,##0.0_-;\-* #,##0.0_-;_-* &quot;-&quot;_-;_-@_-"/>
    <numFmt numFmtId="188" formatCode="_-[$€-2]* #,##0.00_-;\-[$€-2]* #,##0.00_-;_-[$€-2]* &quot;-&quot;??_-"/>
    <numFmt numFmtId="189" formatCode="_ * #,##0_ ;_ * \-#,##0_ ;_ * &quot;-&quot;_ ;_ @_ "/>
    <numFmt numFmtId="190" formatCode="_ * #,##0.00_ ;_ * \-#,##0.00_ ;_ * &quot;-&quot;??_ ;_ @_ "/>
    <numFmt numFmtId="191" formatCode="&quot;₩&quot;#,##0;[Red]&quot;₩&quot;\-#,##0"/>
    <numFmt numFmtId="192" formatCode="#,##0.0"/>
    <numFmt numFmtId="193" formatCode="0.00_ "/>
    <numFmt numFmtId="194" formatCode="#,##0.0&quot;배&quot;"/>
    <numFmt numFmtId="195" formatCode="0.00%\P"/>
    <numFmt numFmtId="196" formatCode="0.0"/>
    <numFmt numFmtId="197" formatCode="_-* #,##0.00_-;\-* #,##0.00_-;_-* &quot;-&quot;_-;_-@_-"/>
    <numFmt numFmtId="198" formatCode="0.000%"/>
    <numFmt numFmtId="199" formatCode="0.0_);[Red]\(0.0\)"/>
  </numFmts>
  <fonts count="155">
    <font>
      <sz val="9"/>
      <color theme="1"/>
      <name val="맑은 고딕"/>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9"/>
      <name val="Arial"/>
      <family val="2"/>
    </font>
    <font>
      <b/>
      <sz val="9"/>
      <name val="Arial Black"/>
      <family val="2"/>
    </font>
    <font>
      <b/>
      <sz val="8"/>
      <name val="맑은 고딕"/>
      <family val="3"/>
      <charset val="129"/>
    </font>
    <font>
      <b/>
      <sz val="8"/>
      <name val="Arial"/>
      <family val="2"/>
    </font>
    <font>
      <sz val="8"/>
      <name val="Arial"/>
      <family val="2"/>
    </font>
    <font>
      <i/>
      <sz val="8"/>
      <name val="Arial"/>
      <family val="2"/>
    </font>
    <font>
      <b/>
      <sz val="13"/>
      <name val="맑은 고딕"/>
      <family val="3"/>
      <charset val="129"/>
    </font>
    <font>
      <sz val="13"/>
      <name val="맑은 고딕"/>
      <family val="3"/>
      <charset val="129"/>
    </font>
    <font>
      <b/>
      <sz val="18"/>
      <name val="맑은 고딕"/>
      <family val="3"/>
      <charset val="129"/>
    </font>
    <font>
      <sz val="18"/>
      <name val="맑은 고딕"/>
      <family val="3"/>
      <charset val="129"/>
    </font>
    <font>
      <sz val="9"/>
      <color theme="1"/>
      <name val="맑은 고딕"/>
      <family val="3"/>
      <charset val="129"/>
    </font>
    <font>
      <sz val="9"/>
      <color theme="1"/>
      <name val="Arial"/>
      <family val="2"/>
    </font>
    <font>
      <sz val="9"/>
      <color theme="0"/>
      <name val="Arial"/>
      <family val="2"/>
    </font>
    <font>
      <b/>
      <sz val="9"/>
      <color theme="1"/>
      <name val="Arial"/>
      <family val="2"/>
    </font>
    <font>
      <b/>
      <sz val="14"/>
      <color theme="1"/>
      <name val="Arial"/>
      <family val="2"/>
    </font>
    <font>
      <b/>
      <sz val="9"/>
      <color theme="0"/>
      <name val="Arial Black"/>
      <family val="2"/>
    </font>
    <font>
      <b/>
      <sz val="11"/>
      <color theme="1"/>
      <name val="Arial Black"/>
      <family val="2"/>
    </font>
    <font>
      <b/>
      <sz val="14"/>
      <color theme="1"/>
      <name val="Arial Black"/>
      <family val="2"/>
    </font>
    <font>
      <b/>
      <sz val="8"/>
      <color theme="1"/>
      <name val="Arial"/>
      <family val="2"/>
    </font>
    <font>
      <sz val="8"/>
      <color theme="1"/>
      <name val="Arial"/>
      <family val="2"/>
    </font>
    <font>
      <b/>
      <sz val="8"/>
      <color rgb="FFC00000"/>
      <name val="Arial"/>
      <family val="2"/>
    </font>
    <font>
      <b/>
      <sz val="8"/>
      <color theme="1"/>
      <name val="맑은 고딕"/>
      <family val="3"/>
      <charset val="129"/>
    </font>
    <font>
      <b/>
      <sz val="8"/>
      <color rgb="FFC00000"/>
      <name val="맑은 고딕"/>
      <family val="3"/>
      <charset val="129"/>
    </font>
    <font>
      <sz val="9"/>
      <color theme="1"/>
      <name val="Arial Black"/>
      <family val="2"/>
    </font>
    <font>
      <i/>
      <sz val="9"/>
      <color theme="1"/>
      <name val="Arial"/>
      <family val="2"/>
    </font>
    <font>
      <i/>
      <sz val="8"/>
      <color rgb="FFC00000"/>
      <name val="Arial"/>
      <family val="2"/>
    </font>
    <font>
      <sz val="13"/>
      <color theme="1"/>
      <name val="맑은 고딕"/>
      <family val="3"/>
      <charset val="129"/>
    </font>
    <font>
      <b/>
      <sz val="9"/>
      <color theme="4" tint="-0.249977111117893"/>
      <name val="Arial Black"/>
      <family val="2"/>
    </font>
    <font>
      <sz val="9"/>
      <color theme="4" tint="-0.249977111117893"/>
      <name val="Arial"/>
      <family val="2"/>
    </font>
    <font>
      <sz val="18"/>
      <color theme="1"/>
      <name val="맑은 고딕"/>
      <family val="3"/>
      <charset val="129"/>
    </font>
    <font>
      <sz val="11"/>
      <name val="돋움"/>
      <family val="3"/>
      <charset val="129"/>
    </font>
    <font>
      <sz val="10"/>
      <name val="굴림"/>
      <family val="3"/>
      <charset val="129"/>
    </font>
    <font>
      <sz val="10"/>
      <color theme="1"/>
      <name val="Arial"/>
      <family val="2"/>
    </font>
    <font>
      <sz val="11"/>
      <color theme="1"/>
      <name val="맑은 고딕"/>
      <family val="3"/>
      <charset val="129"/>
      <scheme val="minor"/>
    </font>
    <font>
      <sz val="8"/>
      <color rgb="FFC00000"/>
      <name val="Arial"/>
      <family val="2"/>
    </font>
    <font>
      <sz val="8"/>
      <color theme="1"/>
      <name val="맑은 고딕"/>
      <family val="3"/>
      <charset val="129"/>
    </font>
    <font>
      <b/>
      <sz val="8"/>
      <name val="맑은 고딕"/>
      <family val="3"/>
      <charset val="129"/>
      <scheme val="minor"/>
    </font>
    <font>
      <sz val="8"/>
      <name val="맑은 고딕"/>
      <family val="3"/>
      <charset val="129"/>
      <scheme val="minor"/>
    </font>
    <font>
      <b/>
      <sz val="40"/>
      <color theme="0"/>
      <name val="HY강B"/>
      <family val="1"/>
      <charset val="129"/>
    </font>
    <font>
      <b/>
      <sz val="9"/>
      <color theme="0"/>
      <name val="돋움"/>
      <family val="3"/>
      <charset val="129"/>
    </font>
    <font>
      <b/>
      <sz val="14"/>
      <color theme="1"/>
      <name val="맑은 고딕"/>
      <family val="3"/>
      <charset val="129"/>
      <scheme val="major"/>
    </font>
    <font>
      <b/>
      <sz val="8"/>
      <color theme="1"/>
      <name val="맑은 고딕"/>
      <family val="3"/>
      <charset val="129"/>
      <scheme val="major"/>
    </font>
    <font>
      <b/>
      <sz val="8"/>
      <name val="맑은 고딕"/>
      <family val="3"/>
      <charset val="129"/>
      <scheme val="major"/>
    </font>
    <font>
      <sz val="8"/>
      <name val="맑은 고딕"/>
      <family val="3"/>
      <charset val="129"/>
      <scheme val="major"/>
    </font>
    <font>
      <b/>
      <sz val="8"/>
      <color rgb="FFC00000"/>
      <name val="맑은 고딕"/>
      <family val="3"/>
      <charset val="129"/>
      <scheme val="major"/>
    </font>
    <font>
      <b/>
      <sz val="14"/>
      <color theme="1"/>
      <name val="맑은 고딕"/>
      <family val="3"/>
      <charset val="129"/>
      <scheme val="minor"/>
    </font>
    <font>
      <b/>
      <sz val="8"/>
      <color theme="1"/>
      <name val="맑은 고딕"/>
      <family val="3"/>
      <charset val="129"/>
      <scheme val="minor"/>
    </font>
    <font>
      <sz val="8"/>
      <color theme="1"/>
      <name val="맑은 고딕"/>
      <family val="3"/>
      <charset val="129"/>
      <scheme val="minor"/>
    </font>
    <font>
      <b/>
      <sz val="8"/>
      <color indexed="60"/>
      <name val="맑은 고딕"/>
      <family val="3"/>
      <charset val="129"/>
      <scheme val="major"/>
    </font>
    <font>
      <b/>
      <sz val="9"/>
      <color theme="1"/>
      <name val="맑은 고딕"/>
      <family val="3"/>
      <charset val="129"/>
      <scheme val="major"/>
    </font>
    <font>
      <sz val="9"/>
      <color theme="1"/>
      <name val="맑은 고딕"/>
      <family val="3"/>
      <charset val="129"/>
      <scheme val="major"/>
    </font>
    <font>
      <sz val="8"/>
      <color theme="1"/>
      <name val="맑은 고딕"/>
      <family val="3"/>
      <charset val="129"/>
      <scheme val="major"/>
    </font>
    <font>
      <b/>
      <sz val="9"/>
      <color theme="1"/>
      <name val="맑은 고딕"/>
      <family val="3"/>
      <charset val="129"/>
      <scheme val="minor"/>
    </font>
    <font>
      <sz val="9"/>
      <color theme="1"/>
      <name val="맑은 고딕"/>
      <family val="3"/>
      <charset val="129"/>
      <scheme val="minor"/>
    </font>
    <font>
      <b/>
      <sz val="8"/>
      <color rgb="FFC00000"/>
      <name val="맑은 고딕"/>
      <family val="3"/>
      <charset val="129"/>
      <scheme val="minor"/>
    </font>
    <font>
      <i/>
      <sz val="8"/>
      <name val="맑은 고딕"/>
      <family val="3"/>
      <charset val="129"/>
      <scheme val="minor"/>
    </font>
    <font>
      <i/>
      <sz val="8"/>
      <color rgb="FFC00000"/>
      <name val="맑은 고딕"/>
      <family val="3"/>
      <charset val="129"/>
      <scheme val="minor"/>
    </font>
    <font>
      <b/>
      <sz val="9"/>
      <color theme="1"/>
      <name val="돋움"/>
      <family val="3"/>
      <charset val="129"/>
    </font>
    <font>
      <u/>
      <sz val="9"/>
      <color theme="10"/>
      <name val="맑은 고딕"/>
      <family val="3"/>
      <charset val="129"/>
    </font>
    <font>
      <u/>
      <sz val="9"/>
      <color theme="0"/>
      <name val="맑은 고딕"/>
      <family val="3"/>
      <charset val="129"/>
    </font>
    <font>
      <sz val="9"/>
      <color theme="0"/>
      <name val="Arial Black"/>
      <family val="2"/>
    </font>
    <font>
      <sz val="8"/>
      <color theme="1"/>
      <name val="돋움"/>
      <family val="3"/>
      <charset val="129"/>
    </font>
    <font>
      <b/>
      <sz val="8"/>
      <name val="Arial Black"/>
      <family val="2"/>
    </font>
    <font>
      <sz val="8"/>
      <color theme="4" tint="-0.249977111117893"/>
      <name val="Arial"/>
      <family val="2"/>
    </font>
    <font>
      <b/>
      <sz val="8"/>
      <color theme="4" tint="-0.249977111117893"/>
      <name val="Arial Black"/>
      <family val="2"/>
    </font>
    <font>
      <b/>
      <u/>
      <sz val="8"/>
      <color theme="10"/>
      <name val="맑은 고딕"/>
      <family val="3"/>
      <charset val="129"/>
    </font>
    <font>
      <b/>
      <sz val="8"/>
      <color theme="4" tint="-0.249977111117893"/>
      <name val="Arial"/>
      <family val="2"/>
    </font>
    <font>
      <b/>
      <sz val="9"/>
      <color theme="4" tint="-0.249977111117893"/>
      <name val="Arial"/>
      <family val="2"/>
    </font>
    <font>
      <sz val="9"/>
      <color theme="1"/>
      <name val="맑은 고딕"/>
      <family val="2"/>
      <charset val="129"/>
      <scheme val="minor"/>
    </font>
    <font>
      <sz val="10"/>
      <color indexed="8"/>
      <name val="Arial"/>
      <family val="2"/>
    </font>
    <font>
      <sz val="11"/>
      <color rgb="FF000000"/>
      <name val="맑은 고딕"/>
      <family val="3"/>
      <charset val="129"/>
    </font>
    <font>
      <b/>
      <sz val="13"/>
      <color theme="1"/>
      <name val="맑은 고딕"/>
      <family val="3"/>
      <charset val="129"/>
    </font>
    <font>
      <b/>
      <sz val="14"/>
      <color rgb="FFFFFFFF"/>
      <name val="맑은 고딕"/>
      <family val="3"/>
      <charset val="129"/>
    </font>
    <font>
      <sz val="10"/>
      <name val="맑은 고딕"/>
      <family val="3"/>
      <charset val="129"/>
    </font>
    <font>
      <sz val="12"/>
      <name val="맑은 고딕"/>
      <family val="3"/>
      <charset val="129"/>
    </font>
    <font>
      <b/>
      <sz val="11"/>
      <name val="맑은 고딕"/>
      <family val="3"/>
      <charset val="129"/>
    </font>
    <font>
      <sz val="11"/>
      <name val="맑은 고딕"/>
      <family val="3"/>
      <charset val="129"/>
    </font>
    <font>
      <sz val="10"/>
      <color rgb="FF000000"/>
      <name val="맑은 고딕"/>
      <family val="3"/>
      <charset val="129"/>
    </font>
    <font>
      <b/>
      <sz val="11"/>
      <color rgb="FF000000"/>
      <name val="맑은 고딕"/>
      <family val="3"/>
      <charset val="129"/>
    </font>
    <font>
      <b/>
      <sz val="10"/>
      <color rgb="FF000000"/>
      <name val="맑은 고딕"/>
      <family val="3"/>
      <charset val="129"/>
    </font>
    <font>
      <b/>
      <sz val="11"/>
      <name val="맑은 고딕"/>
      <family val="3"/>
      <charset val="129"/>
      <scheme val="minor"/>
    </font>
    <font>
      <sz val="11"/>
      <name val="맑은 고딕"/>
      <family val="3"/>
      <charset val="129"/>
      <scheme val="minor"/>
    </font>
    <font>
      <b/>
      <sz val="11"/>
      <color theme="1"/>
      <name val="맑은 고딕"/>
      <family val="3"/>
      <charset val="129"/>
      <scheme val="minor"/>
    </font>
    <font>
      <sz val="8"/>
      <name val="맑은 고딕"/>
      <family val="2"/>
      <charset val="129"/>
    </font>
    <font>
      <sz val="9"/>
      <color theme="1"/>
      <name val="맑은 고딕"/>
      <family val="2"/>
      <charset val="129"/>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8"/>
      <color theme="3"/>
      <name val="맑은 고딕"/>
      <family val="2"/>
      <charset val="129"/>
      <scheme val="major"/>
    </font>
    <font>
      <sz val="11"/>
      <color rgb="FF9C6500"/>
      <name val="맑은 고딕"/>
      <family val="2"/>
      <charset val="129"/>
      <scheme val="minor"/>
    </font>
    <font>
      <sz val="11"/>
      <color theme="1"/>
      <name val="굴림"/>
      <family val="2"/>
      <charset val="129"/>
    </font>
    <font>
      <sz val="11"/>
      <color theme="1"/>
      <name val="굴림"/>
      <family val="3"/>
      <charset val="129"/>
    </font>
    <font>
      <sz val="10"/>
      <name val="MS Sans Serif"/>
      <family val="2"/>
    </font>
    <font>
      <sz val="12"/>
      <name val="바탕체"/>
      <family val="1"/>
      <charset val="129"/>
    </font>
    <font>
      <sz val="10"/>
      <name val="Arial"/>
      <family val="2"/>
    </font>
    <font>
      <b/>
      <sz val="12"/>
      <name val="Arial"/>
      <family val="2"/>
    </font>
    <font>
      <b/>
      <sz val="11"/>
      <name val="Helv"/>
      <family val="2"/>
    </font>
    <font>
      <b/>
      <sz val="8"/>
      <color rgb="FF000000"/>
      <name val="맑은 고딕"/>
      <family val="3"/>
      <charset val="129"/>
    </font>
    <font>
      <sz val="9"/>
      <color theme="1"/>
      <name val="바탕"/>
      <family val="2"/>
      <charset val="129"/>
    </font>
    <font>
      <sz val="9"/>
      <color theme="1"/>
      <name val="Arial"/>
      <family val="3"/>
      <charset val="129"/>
    </font>
    <font>
      <b/>
      <sz val="9"/>
      <color theme="1"/>
      <name val="맑은 고딕"/>
      <family val="3"/>
      <charset val="129"/>
    </font>
    <font>
      <sz val="8"/>
      <color rgb="FFC00000"/>
      <name val="맑은 고딕"/>
      <family val="3"/>
      <charset val="129"/>
      <scheme val="major"/>
    </font>
    <font>
      <b/>
      <sz val="10"/>
      <color theme="0"/>
      <name val="맑은 고딕"/>
      <family val="3"/>
      <charset val="129"/>
      <scheme val="minor"/>
    </font>
    <font>
      <b/>
      <sz val="12"/>
      <color theme="1"/>
      <name val="맑은 고딕"/>
      <family val="3"/>
      <charset val="129"/>
      <scheme val="minor"/>
    </font>
    <font>
      <sz val="11"/>
      <color theme="1"/>
      <name val="맑은 고딕"/>
      <family val="2"/>
      <charset val="129"/>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b/>
      <sz val="10"/>
      <color theme="1"/>
      <name val="Arial"/>
      <family val="2"/>
    </font>
    <font>
      <b/>
      <i/>
      <sz val="14"/>
      <color theme="1"/>
      <name val="Arial"/>
      <family val="2"/>
    </font>
    <font>
      <b/>
      <sz val="14"/>
      <name val="Arial"/>
      <family val="2"/>
    </font>
    <font>
      <b/>
      <sz val="14"/>
      <color rgb="FFC00000"/>
      <name val="Arial"/>
      <family val="2"/>
    </font>
    <font>
      <sz val="8"/>
      <color rgb="FFC00000"/>
      <name val="맑은 고딕"/>
      <family val="3"/>
      <charset val="129"/>
    </font>
    <font>
      <sz val="8"/>
      <color theme="1"/>
      <name val="맑은 고딕"/>
      <family val="2"/>
      <charset val="129"/>
    </font>
    <font>
      <b/>
      <sz val="14"/>
      <color theme="1"/>
      <name val="맑은 고딕"/>
      <family val="2"/>
      <charset val="129"/>
    </font>
    <font>
      <sz val="9"/>
      <color theme="1"/>
      <name val="돋움"/>
      <family val="2"/>
      <charset val="129"/>
    </font>
    <font>
      <sz val="8"/>
      <color theme="1"/>
      <name val="돋움"/>
      <family val="2"/>
      <charset val="129"/>
    </font>
    <font>
      <b/>
      <sz val="8"/>
      <color rgb="FFC00000"/>
      <name val="맑은 고딕"/>
      <family val="2"/>
      <charset val="129"/>
    </font>
    <font>
      <sz val="9"/>
      <color theme="1"/>
      <name val="Arial"/>
      <family val="3"/>
    </font>
    <font>
      <sz val="7.5"/>
      <color rgb="FF5E5E5E"/>
      <name val="Arial"/>
      <family val="2"/>
    </font>
    <font>
      <i/>
      <sz val="7.5"/>
      <color rgb="FF5E5E5E"/>
      <name val="Arial"/>
      <family val="2"/>
    </font>
    <font>
      <b/>
      <sz val="7.5"/>
      <color rgb="FF5E5E5E"/>
      <name val="Arial"/>
      <family val="2"/>
    </font>
    <font>
      <b/>
      <i/>
      <sz val="7.5"/>
      <color rgb="FF5E5E5E"/>
      <name val="Arial"/>
      <family val="2"/>
    </font>
    <font>
      <sz val="9"/>
      <color rgb="FF000000"/>
      <name val="우리다움 R"/>
      <family val="3"/>
      <charset val="129"/>
    </font>
  </fonts>
  <fills count="46">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17375D"/>
        <bgColor indexed="64"/>
      </patternFill>
    </fill>
    <fill>
      <patternFill patternType="solid">
        <fgColor rgb="FFF2DDDC"/>
        <bgColor indexed="64"/>
      </patternFill>
    </fill>
    <fill>
      <patternFill patternType="solid">
        <fgColor rgb="FFF2DCDB"/>
        <bgColor indexed="64"/>
      </patternFill>
    </fill>
    <fill>
      <patternFill patternType="solid">
        <fgColor rgb="FF17375E"/>
        <bgColor rgb="FF17375D"/>
      </patternFill>
    </fill>
    <fill>
      <patternFill patternType="solid">
        <fgColor rgb="FFFFFFFF"/>
        <bgColor rgb="FFDBEEF4"/>
      </patternFill>
    </fill>
    <fill>
      <patternFill patternType="solid">
        <fgColor rgb="FFDCE6F2"/>
        <bgColor rgb="FFDBEEF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9CDE5"/>
        <bgColor rgb="FFD8D8D8"/>
      </patternFill>
    </fill>
    <fill>
      <patternFill patternType="solid">
        <fgColor rgb="FF002060"/>
        <bgColor indexed="64"/>
      </patternFill>
    </fill>
    <fill>
      <patternFill patternType="solid">
        <fgColor rgb="FFFFC000"/>
        <bgColor indexed="64"/>
      </patternFill>
    </fill>
  </fills>
  <borders count="57">
    <border>
      <left/>
      <right/>
      <top/>
      <bottom/>
      <diagonal/>
    </border>
    <border>
      <left/>
      <right/>
      <top style="thin">
        <color indexed="64"/>
      </top>
      <bottom/>
      <diagonal/>
    </border>
    <border>
      <left/>
      <right/>
      <top/>
      <bottom style="thin">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top style="dotted">
        <color indexed="64"/>
      </top>
      <bottom style="hair">
        <color indexed="64"/>
      </bottom>
      <diagonal/>
    </border>
    <border>
      <left style="thin">
        <color indexed="64"/>
      </left>
      <right/>
      <top style="dotted">
        <color indexed="64"/>
      </top>
      <bottom style="hair">
        <color indexed="64"/>
      </bottom>
      <diagonal/>
    </border>
    <border>
      <left style="thin">
        <color indexed="64"/>
      </left>
      <right/>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thin">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style="thin">
        <color indexed="64"/>
      </left>
      <right/>
      <top style="thin">
        <color indexed="64"/>
      </top>
      <bottom/>
      <diagonal/>
    </border>
    <border>
      <left style="thin">
        <color indexed="64"/>
      </left>
      <right/>
      <top style="dotted">
        <color indexed="64"/>
      </top>
      <bottom style="dotted">
        <color indexed="64"/>
      </bottom>
      <diagonal/>
    </border>
    <border>
      <left/>
      <right/>
      <top style="thin">
        <color indexed="64"/>
      </top>
      <bottom style="thin">
        <color indexed="64"/>
      </bottom>
      <diagonal/>
    </border>
    <border>
      <left/>
      <right/>
      <top style="dotted">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dotted">
        <color indexed="64"/>
      </bottom>
      <diagonal/>
    </border>
    <border>
      <left/>
      <right style="thin">
        <color indexed="64"/>
      </right>
      <top style="dotted">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bottom style="hair">
        <color auto="1"/>
      </bottom>
      <diagonal/>
    </border>
    <border>
      <left/>
      <right/>
      <top style="hair">
        <color indexed="64"/>
      </top>
      <bottom/>
      <diagonal/>
    </border>
    <border>
      <left/>
      <right style="thin">
        <color indexed="64"/>
      </right>
      <top style="dotted">
        <color indexed="64"/>
      </top>
      <bottom style="thin">
        <color indexed="64"/>
      </bottom>
      <diagonal/>
    </border>
    <border>
      <left/>
      <right style="thin">
        <color indexed="64"/>
      </right>
      <top/>
      <bottom style="hair">
        <color auto="1"/>
      </bottom>
      <diagonal/>
    </border>
    <border>
      <left style="thin">
        <color indexed="64"/>
      </left>
      <right/>
      <top style="dotted">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right style="hair">
        <color indexed="64"/>
      </right>
      <top/>
      <bottom style="hair">
        <color auto="1"/>
      </bottom>
      <diagonal/>
    </border>
    <border>
      <left/>
      <right style="thin">
        <color indexed="64"/>
      </right>
      <top/>
      <bottom style="dotted">
        <color indexed="64"/>
      </bottom>
      <diagonal/>
    </border>
    <border>
      <left/>
      <right style="thin">
        <color indexed="64"/>
      </right>
      <top style="hair">
        <color auto="1"/>
      </top>
      <bottom/>
      <diagonal/>
    </border>
    <border>
      <left/>
      <right style="hair">
        <color indexed="64"/>
      </right>
      <top style="hair">
        <color auto="1"/>
      </top>
      <bottom/>
      <diagonal/>
    </border>
    <border>
      <left style="hair">
        <color indexed="64"/>
      </left>
      <right/>
      <top style="thin">
        <color indexed="64"/>
      </top>
      <bottom/>
      <diagonal/>
    </border>
    <border>
      <left style="thin">
        <color indexed="64"/>
      </left>
      <right/>
      <top style="hair">
        <color indexed="64"/>
      </top>
      <bottom/>
      <diagonal/>
    </border>
    <border>
      <left style="thin">
        <color indexed="64"/>
      </left>
      <right/>
      <top/>
      <bottom style="hair">
        <color auto="1"/>
      </bottom>
      <diagonal/>
    </border>
  </borders>
  <cellStyleXfs count="1065">
    <xf numFmtId="0" fontId="0" fillId="0" borderId="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0" fontId="38" fillId="0" borderId="0">
      <alignment vertical="center"/>
    </xf>
    <xf numFmtId="0" fontId="39" fillId="0" borderId="0">
      <alignment vertical="center"/>
    </xf>
    <xf numFmtId="0" fontId="38" fillId="0" borderId="0">
      <alignment vertical="center"/>
    </xf>
    <xf numFmtId="0" fontId="40" fillId="0" borderId="0">
      <alignment vertical="center"/>
    </xf>
    <xf numFmtId="41" fontId="40" fillId="0" borderId="0" applyFont="0" applyFill="0" applyBorder="0" applyAlignment="0" applyProtection="0">
      <alignment vertical="center"/>
    </xf>
    <xf numFmtId="0" fontId="41" fillId="0" borderId="0">
      <alignment vertical="center"/>
    </xf>
    <xf numFmtId="0" fontId="40" fillId="0" borderId="0">
      <alignment vertical="center"/>
    </xf>
    <xf numFmtId="0" fontId="66" fillId="0" borderId="0" applyNumberFormat="0" applyFill="0" applyBorder="0" applyAlignment="0" applyProtection="0">
      <alignment vertical="top"/>
      <protection locked="0"/>
    </xf>
    <xf numFmtId="0" fontId="6" fillId="0" borderId="0">
      <alignment vertical="center"/>
    </xf>
    <xf numFmtId="41" fontId="38" fillId="0" borderId="0" applyFont="0" applyFill="0" applyBorder="0" applyAlignment="0" applyProtection="0">
      <alignment vertical="center"/>
    </xf>
    <xf numFmtId="188" fontId="5" fillId="0" borderId="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4" fillId="0" borderId="0">
      <alignment vertical="center"/>
    </xf>
    <xf numFmtId="41" fontId="18" fillId="0" borderId="0" applyFont="0" applyFill="0" applyBorder="0" applyAlignment="0" applyProtection="0">
      <alignment vertical="center"/>
    </xf>
    <xf numFmtId="41" fontId="40" fillId="0" borderId="0" applyFont="0" applyFill="0" applyBorder="0" applyAlignment="0" applyProtection="0">
      <alignment vertical="center"/>
    </xf>
    <xf numFmtId="0" fontId="3" fillId="0" borderId="0">
      <alignment vertical="center"/>
    </xf>
    <xf numFmtId="41" fontId="38" fillId="0" borderId="0" applyFont="0" applyFill="0" applyBorder="0" applyAlignment="0" applyProtection="0">
      <alignment vertical="center"/>
    </xf>
    <xf numFmtId="188" fontId="3" fillId="0" borderId="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3" fillId="0" borderId="0">
      <alignment vertical="center"/>
    </xf>
    <xf numFmtId="0" fontId="93" fillId="0" borderId="32" applyNumberFormat="0" applyFill="0" applyAlignment="0" applyProtection="0">
      <alignment vertical="center"/>
    </xf>
    <xf numFmtId="0" fontId="94" fillId="0" borderId="33" applyNumberFormat="0" applyFill="0" applyAlignment="0" applyProtection="0">
      <alignment vertical="center"/>
    </xf>
    <xf numFmtId="0" fontId="95" fillId="0" borderId="34" applyNumberFormat="0" applyFill="0" applyAlignment="0" applyProtection="0">
      <alignment vertical="center"/>
    </xf>
    <xf numFmtId="0" fontId="95" fillId="0" borderId="0" applyNumberFormat="0" applyFill="0" applyBorder="0" applyAlignment="0" applyProtection="0">
      <alignment vertical="center"/>
    </xf>
    <xf numFmtId="0" fontId="96" fillId="12" borderId="0" applyNumberFormat="0" applyBorder="0" applyAlignment="0" applyProtection="0">
      <alignment vertical="center"/>
    </xf>
    <xf numFmtId="0" fontId="97" fillId="13" borderId="0" applyNumberFormat="0" applyBorder="0" applyAlignment="0" applyProtection="0">
      <alignment vertical="center"/>
    </xf>
    <xf numFmtId="0" fontId="98" fillId="15" borderId="35" applyNumberFormat="0" applyAlignment="0" applyProtection="0">
      <alignment vertical="center"/>
    </xf>
    <xf numFmtId="0" fontId="99" fillId="16" borderId="36" applyNumberFormat="0" applyAlignment="0" applyProtection="0">
      <alignment vertical="center"/>
    </xf>
    <xf numFmtId="0" fontId="100" fillId="16" borderId="35" applyNumberFormat="0" applyAlignment="0" applyProtection="0">
      <alignment vertical="center"/>
    </xf>
    <xf numFmtId="0" fontId="101" fillId="0" borderId="37" applyNumberFormat="0" applyFill="0" applyAlignment="0" applyProtection="0">
      <alignment vertical="center"/>
    </xf>
    <xf numFmtId="0" fontId="102" fillId="17" borderId="38" applyNumberFormat="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40" applyNumberFormat="0" applyFill="0" applyAlignment="0" applyProtection="0">
      <alignment vertical="center"/>
    </xf>
    <xf numFmtId="0" fontId="106"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106" fillId="23" borderId="0" applyNumberFormat="0" applyBorder="0" applyAlignment="0" applyProtection="0">
      <alignment vertical="center"/>
    </xf>
    <xf numFmtId="0" fontId="2" fillId="24" borderId="0" applyNumberFormat="0" applyBorder="0" applyAlignment="0" applyProtection="0">
      <alignment vertical="center"/>
    </xf>
    <xf numFmtId="0" fontId="2" fillId="25" borderId="0" applyNumberFormat="0" applyBorder="0" applyAlignment="0" applyProtection="0">
      <alignment vertical="center"/>
    </xf>
    <xf numFmtId="0" fontId="106" fillId="27" borderId="0" applyNumberFormat="0" applyBorder="0" applyAlignment="0" applyProtection="0">
      <alignment vertical="center"/>
    </xf>
    <xf numFmtId="0" fontId="2" fillId="28" borderId="0" applyNumberFormat="0" applyBorder="0" applyAlignment="0" applyProtection="0">
      <alignment vertical="center"/>
    </xf>
    <xf numFmtId="0" fontId="2" fillId="29" borderId="0" applyNumberFormat="0" applyBorder="0" applyAlignment="0" applyProtection="0">
      <alignment vertical="center"/>
    </xf>
    <xf numFmtId="0" fontId="106" fillId="31" borderId="0" applyNumberFormat="0" applyBorder="0" applyAlignment="0" applyProtection="0">
      <alignment vertical="center"/>
    </xf>
    <xf numFmtId="0" fontId="2" fillId="32" borderId="0" applyNumberFormat="0" applyBorder="0" applyAlignment="0" applyProtection="0">
      <alignment vertical="center"/>
    </xf>
    <xf numFmtId="0" fontId="2" fillId="33" borderId="0" applyNumberFormat="0" applyBorder="0" applyAlignment="0" applyProtection="0">
      <alignment vertical="center"/>
    </xf>
    <xf numFmtId="0" fontId="106" fillId="35" borderId="0" applyNumberFormat="0" applyBorder="0" applyAlignment="0" applyProtection="0">
      <alignment vertical="center"/>
    </xf>
    <xf numFmtId="0" fontId="2" fillId="36" borderId="0" applyNumberFormat="0" applyBorder="0" applyAlignment="0" applyProtection="0">
      <alignment vertical="center"/>
    </xf>
    <xf numFmtId="0" fontId="2" fillId="37" borderId="0" applyNumberFormat="0" applyBorder="0" applyAlignment="0" applyProtection="0">
      <alignment vertical="center"/>
    </xf>
    <xf numFmtId="0" fontId="106" fillId="39" borderId="0" applyNumberFormat="0" applyBorder="0" applyAlignment="0" applyProtection="0">
      <alignment vertical="center"/>
    </xf>
    <xf numFmtId="0" fontId="2" fillId="40" borderId="0" applyNumberFormat="0" applyBorder="0" applyAlignment="0" applyProtection="0">
      <alignment vertical="center"/>
    </xf>
    <xf numFmtId="0" fontId="2" fillId="4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07" fillId="0" borderId="0" applyNumberFormat="0" applyFill="0" applyBorder="0" applyAlignment="0" applyProtection="0">
      <alignment vertical="center"/>
    </xf>
    <xf numFmtId="41" fontId="77" fillId="0" borderId="0" applyFont="0" applyFill="0" applyBorder="0" applyAlignment="0" applyProtection="0">
      <alignment vertical="center"/>
    </xf>
    <xf numFmtId="0" fontId="108" fillId="14" borderId="0" applyNumberFormat="0" applyBorder="0" applyAlignment="0" applyProtection="0">
      <alignment vertical="center"/>
    </xf>
    <xf numFmtId="188" fontId="2" fillId="0" borderId="0">
      <alignment vertical="center"/>
    </xf>
    <xf numFmtId="0" fontId="2" fillId="18" borderId="39" applyNumberFormat="0" applyFont="0" applyAlignment="0" applyProtection="0">
      <alignment vertical="center"/>
    </xf>
    <xf numFmtId="0" fontId="106" fillId="22" borderId="0" applyNumberFormat="0" applyBorder="0" applyAlignment="0" applyProtection="0">
      <alignment vertical="center"/>
    </xf>
    <xf numFmtId="0" fontId="106" fillId="26" borderId="0" applyNumberFormat="0" applyBorder="0" applyAlignment="0" applyProtection="0">
      <alignment vertical="center"/>
    </xf>
    <xf numFmtId="0" fontId="106" fillId="30" borderId="0" applyNumberFormat="0" applyBorder="0" applyAlignment="0" applyProtection="0">
      <alignment vertical="center"/>
    </xf>
    <xf numFmtId="41" fontId="77" fillId="0" borderId="0" applyFont="0" applyFill="0" applyBorder="0" applyAlignment="0" applyProtection="0">
      <alignment vertical="center"/>
    </xf>
    <xf numFmtId="0" fontId="106" fillId="34" borderId="0" applyNumberFormat="0" applyBorder="0" applyAlignment="0" applyProtection="0">
      <alignment vertical="center"/>
    </xf>
    <xf numFmtId="0" fontId="106" fillId="38" borderId="0" applyNumberFormat="0" applyBorder="0" applyAlignment="0" applyProtection="0">
      <alignment vertical="center"/>
    </xf>
    <xf numFmtId="41" fontId="38" fillId="0" borderId="0" applyFont="0" applyFill="0" applyBorder="0" applyAlignment="0" applyProtection="0">
      <alignment vertical="center"/>
    </xf>
    <xf numFmtId="0" fontId="106" fillId="42" borderId="0" applyNumberFormat="0" applyBorder="0" applyAlignment="0" applyProtection="0">
      <alignment vertical="center"/>
    </xf>
    <xf numFmtId="0" fontId="110" fillId="0" borderId="0">
      <alignment vertical="center"/>
    </xf>
    <xf numFmtId="0" fontId="114" fillId="0" borderId="41" applyNumberFormat="0" applyAlignment="0" applyProtection="0">
      <alignment horizontal="left" vertical="center"/>
    </xf>
    <xf numFmtId="0" fontId="41" fillId="0" borderId="0">
      <alignment vertical="center"/>
    </xf>
    <xf numFmtId="0" fontId="109" fillId="0" borderId="0">
      <alignment vertical="center"/>
    </xf>
    <xf numFmtId="41" fontId="38" fillId="0" borderId="0" applyFont="0" applyFill="0" applyBorder="0" applyAlignment="0" applyProtection="0"/>
    <xf numFmtId="41"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8" fillId="0" borderId="0">
      <alignment vertical="center"/>
    </xf>
    <xf numFmtId="41" fontId="39" fillId="0" borderId="0" applyFont="0" applyFill="0" applyBorder="0" applyAlignment="0" applyProtection="0">
      <alignment vertical="center"/>
    </xf>
    <xf numFmtId="0" fontId="38"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 fillId="0" borderId="0">
      <alignment vertical="center"/>
    </xf>
    <xf numFmtId="0" fontId="41" fillId="0" borderId="0">
      <alignment vertical="center"/>
    </xf>
    <xf numFmtId="0" fontId="38" fillId="0" borderId="0"/>
    <xf numFmtId="41" fontId="38" fillId="0" borderId="0" applyFont="0" applyFill="0" applyBorder="0" applyAlignment="0" applyProtection="0"/>
    <xf numFmtId="189" fontId="38" fillId="0" borderId="0" applyFont="0" applyFill="0" applyBorder="0" applyAlignment="0" applyProtection="0"/>
    <xf numFmtId="190" fontId="112" fillId="0" borderId="0" applyFont="0" applyFill="0" applyBorder="0" applyAlignment="0" applyProtection="0"/>
    <xf numFmtId="0" fontId="115" fillId="0" borderId="0"/>
    <xf numFmtId="0" fontId="112" fillId="0" borderId="0" applyFont="0" applyFill="0" applyBorder="0" applyAlignment="0" applyProtection="0"/>
    <xf numFmtId="0" fontId="113" fillId="0" borderId="0"/>
    <xf numFmtId="0" fontId="113" fillId="0" borderId="0" applyFont="0" applyFill="0" applyBorder="0" applyAlignment="0" applyProtection="0"/>
    <xf numFmtId="10" fontId="113" fillId="0" borderId="0" applyFont="0" applyFill="0" applyBorder="0" applyAlignment="0" applyProtection="0"/>
    <xf numFmtId="0" fontId="38" fillId="0" borderId="0"/>
    <xf numFmtId="0" fontId="114" fillId="0" borderId="16">
      <alignment horizontal="left" vertical="center"/>
    </xf>
    <xf numFmtId="191" fontId="111" fillId="0" borderId="0" applyFont="0" applyFill="0" applyBorder="0" applyAlignment="0" applyProtection="0"/>
    <xf numFmtId="3" fontId="111"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0" fontId="38" fillId="0" borderId="0"/>
    <xf numFmtId="41" fontId="38" fillId="0" borderId="0" applyFont="0" applyFill="0" applyBorder="0" applyAlignment="0" applyProtection="0"/>
    <xf numFmtId="41" fontId="38" fillId="0" borderId="0" applyFont="0" applyFill="0" applyBorder="0" applyAlignment="0" applyProtection="0"/>
    <xf numFmtId="0" fontId="38" fillId="0" borderId="0"/>
    <xf numFmtId="41" fontId="38" fillId="0" borderId="0" applyFont="0" applyFill="0" applyBorder="0" applyAlignment="0" applyProtection="0"/>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40" fillId="0" borderId="0" applyFont="0" applyFill="0" applyBorder="0" applyAlignment="0" applyProtection="0">
      <alignment vertical="center"/>
    </xf>
    <xf numFmtId="41" fontId="18" fillId="0" borderId="0" applyFont="0" applyFill="0" applyBorder="0" applyAlignment="0" applyProtection="0">
      <alignment vertical="center"/>
    </xf>
    <xf numFmtId="0" fontId="38" fillId="0" borderId="0"/>
    <xf numFmtId="41" fontId="38" fillId="0" borderId="0" applyFont="0" applyFill="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8" fillId="14" borderId="0" applyNumberFormat="0" applyBorder="0" applyAlignment="0" applyProtection="0">
      <alignment vertical="center"/>
    </xf>
    <xf numFmtId="0" fontId="134" fillId="0" borderId="32"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23" fillId="0" borderId="0">
      <alignment vertical="center"/>
    </xf>
    <xf numFmtId="9" fontId="38" fillId="0" borderId="0" applyFon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38"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8" fillId="0" borderId="0" applyFont="0" applyFill="0" applyBorder="0" applyAlignment="0" applyProtection="0">
      <alignment vertical="center"/>
    </xf>
  </cellStyleXfs>
  <cellXfs count="859">
    <xf numFmtId="0" fontId="0" fillId="0" borderId="0" xfId="0">
      <alignment vertical="center"/>
    </xf>
    <xf numFmtId="0" fontId="19" fillId="0" borderId="0" xfId="0" applyFont="1">
      <alignment vertical="center"/>
    </xf>
    <xf numFmtId="0" fontId="21" fillId="0" borderId="0" xfId="0" applyFont="1">
      <alignment vertical="center"/>
    </xf>
    <xf numFmtId="0" fontId="22" fillId="0" borderId="0" xfId="0" applyFont="1">
      <alignment vertical="center"/>
    </xf>
    <xf numFmtId="0" fontId="22" fillId="0" borderId="0" xfId="0" applyFont="1" applyAlignment="1"/>
    <xf numFmtId="0" fontId="24" fillId="0" borderId="0" xfId="0" applyFont="1">
      <alignment vertical="center"/>
    </xf>
    <xf numFmtId="0" fontId="25" fillId="0" borderId="0" xfId="0" applyFont="1">
      <alignment vertical="center"/>
    </xf>
    <xf numFmtId="0" fontId="27" fillId="0" borderId="0" xfId="0" applyFont="1">
      <alignment vertical="center"/>
    </xf>
    <xf numFmtId="0" fontId="26" fillId="2" borderId="2" xfId="0" applyFont="1" applyFill="1" applyBorder="1">
      <alignment vertical="center"/>
    </xf>
    <xf numFmtId="0" fontId="28" fillId="0" borderId="3" xfId="0" applyFont="1" applyBorder="1">
      <alignment vertical="center"/>
    </xf>
    <xf numFmtId="177" fontId="28" fillId="0" borderId="4" xfId="0" applyNumberFormat="1" applyFont="1" applyBorder="1">
      <alignment vertical="center"/>
    </xf>
    <xf numFmtId="177" fontId="28" fillId="0" borderId="4" xfId="1" applyNumberFormat="1" applyFont="1" applyBorder="1">
      <alignment vertical="center"/>
    </xf>
    <xf numFmtId="177" fontId="26" fillId="0" borderId="6" xfId="0" applyNumberFormat="1" applyFont="1" applyBorder="1">
      <alignment vertical="center"/>
    </xf>
    <xf numFmtId="177" fontId="26" fillId="0" borderId="6" xfId="1" applyNumberFormat="1" applyFont="1" applyBorder="1">
      <alignment vertical="center"/>
    </xf>
    <xf numFmtId="177" fontId="27" fillId="0" borderId="7" xfId="0" applyNumberFormat="1" applyFont="1" applyBorder="1">
      <alignment vertical="center"/>
    </xf>
    <xf numFmtId="177" fontId="27" fillId="0" borderId="7" xfId="1" applyNumberFormat="1" applyFont="1" applyBorder="1">
      <alignment vertical="center"/>
    </xf>
    <xf numFmtId="177" fontId="26" fillId="0" borderId="9" xfId="0" applyNumberFormat="1" applyFont="1" applyBorder="1">
      <alignment vertical="center"/>
    </xf>
    <xf numFmtId="177" fontId="26" fillId="0" borderId="9" xfId="1" applyNumberFormat="1" applyFont="1" applyBorder="1">
      <alignment vertical="center"/>
    </xf>
    <xf numFmtId="0" fontId="27" fillId="0" borderId="2" xfId="0" applyFont="1" applyBorder="1">
      <alignment vertical="center"/>
    </xf>
    <xf numFmtId="177" fontId="27" fillId="0" borderId="10" xfId="0" applyNumberFormat="1" applyFont="1" applyBorder="1">
      <alignment vertical="center"/>
    </xf>
    <xf numFmtId="177" fontId="27" fillId="0" borderId="10" xfId="1" applyNumberFormat="1" applyFont="1" applyBorder="1">
      <alignment vertical="center"/>
    </xf>
    <xf numFmtId="176" fontId="27" fillId="0" borderId="0" xfId="0" applyNumberFormat="1" applyFont="1">
      <alignment vertical="center"/>
    </xf>
    <xf numFmtId="177" fontId="27" fillId="0" borderId="0" xfId="0" applyNumberFormat="1" applyFont="1">
      <alignment vertical="center"/>
    </xf>
    <xf numFmtId="177" fontId="27" fillId="0" borderId="0" xfId="1" applyNumberFormat="1" applyFont="1" applyFill="1" applyBorder="1">
      <alignment vertical="center"/>
    </xf>
    <xf numFmtId="0" fontId="29" fillId="2" borderId="0" xfId="0" applyFont="1" applyFill="1" applyAlignment="1">
      <alignment horizontal="right" vertical="center"/>
    </xf>
    <xf numFmtId="0" fontId="31" fillId="0" borderId="0" xfId="0" applyFont="1">
      <alignment vertical="center"/>
    </xf>
    <xf numFmtId="177" fontId="28" fillId="0" borderId="7" xfId="0" applyNumberFormat="1" applyFont="1" applyBorder="1">
      <alignment vertical="center"/>
    </xf>
    <xf numFmtId="177" fontId="28" fillId="0" borderId="7" xfId="1" applyNumberFormat="1" applyFont="1" applyBorder="1">
      <alignment vertical="center"/>
    </xf>
    <xf numFmtId="176" fontId="11" fillId="0" borderId="1" xfId="0" applyNumberFormat="1" applyFont="1" applyBorder="1">
      <alignment vertical="center"/>
    </xf>
    <xf numFmtId="176" fontId="11" fillId="3" borderId="1" xfId="0" applyNumberFormat="1" applyFont="1" applyFill="1" applyBorder="1">
      <alignment vertical="center"/>
    </xf>
    <xf numFmtId="177" fontId="11" fillId="0" borderId="14" xfId="0" applyNumberFormat="1" applyFont="1" applyBorder="1">
      <alignment vertical="center"/>
    </xf>
    <xf numFmtId="177" fontId="11" fillId="0" borderId="14" xfId="1" applyNumberFormat="1" applyFont="1" applyBorder="1">
      <alignment vertical="center"/>
    </xf>
    <xf numFmtId="176" fontId="12" fillId="0" borderId="0" xfId="0" applyNumberFormat="1" applyFont="1">
      <alignment vertical="center"/>
    </xf>
    <xf numFmtId="176" fontId="12" fillId="3" borderId="0" xfId="0" applyNumberFormat="1" applyFont="1" applyFill="1">
      <alignment vertical="center"/>
    </xf>
    <xf numFmtId="177" fontId="12" fillId="0" borderId="7" xfId="0" applyNumberFormat="1" applyFont="1" applyBorder="1">
      <alignment vertical="center"/>
    </xf>
    <xf numFmtId="177" fontId="12" fillId="0" borderId="7" xfId="1" applyNumberFormat="1" applyFont="1" applyBorder="1">
      <alignment vertical="center"/>
    </xf>
    <xf numFmtId="176" fontId="12" fillId="0" borderId="2" xfId="0" applyNumberFormat="1" applyFont="1" applyBorder="1">
      <alignment vertical="center"/>
    </xf>
    <xf numFmtId="176" fontId="12" fillId="3" borderId="2" xfId="0" applyNumberFormat="1" applyFont="1" applyFill="1" applyBorder="1">
      <alignment vertical="center"/>
    </xf>
    <xf numFmtId="177" fontId="12" fillId="0" borderId="10" xfId="0" applyNumberFormat="1" applyFont="1" applyBorder="1">
      <alignment vertical="center"/>
    </xf>
    <xf numFmtId="177" fontId="12" fillId="0" borderId="10" xfId="1" applyNumberFormat="1" applyFont="1" applyBorder="1">
      <alignment vertical="center"/>
    </xf>
    <xf numFmtId="0" fontId="32" fillId="0" borderId="0" xfId="0" applyFont="1">
      <alignment vertical="center"/>
    </xf>
    <xf numFmtId="177" fontId="12" fillId="0" borderId="0" xfId="1" applyNumberFormat="1" applyFont="1" applyBorder="1">
      <alignment vertical="center"/>
    </xf>
    <xf numFmtId="176" fontId="12" fillId="0" borderId="0" xfId="1" applyNumberFormat="1" applyFont="1" applyBorder="1">
      <alignment vertical="center"/>
    </xf>
    <xf numFmtId="0" fontId="9" fillId="0" borderId="0" xfId="0" applyFont="1">
      <alignment vertical="center"/>
    </xf>
    <xf numFmtId="0" fontId="8" fillId="0" borderId="0" xfId="0" applyFont="1">
      <alignment vertical="center"/>
    </xf>
    <xf numFmtId="0" fontId="34" fillId="0" borderId="0" xfId="0" applyFont="1">
      <alignment vertical="center"/>
    </xf>
    <xf numFmtId="0" fontId="14" fillId="0" borderId="0" xfId="0" applyFont="1" applyAlignment="1">
      <alignment horizontal="centerContinuous" vertical="center"/>
    </xf>
    <xf numFmtId="0" fontId="15" fillId="0" borderId="0" xfId="0" applyFont="1" applyAlignment="1">
      <alignment horizontal="centerContinuous" vertical="center"/>
    </xf>
    <xf numFmtId="0" fontId="34" fillId="0" borderId="0" xfId="0" applyFont="1" applyAlignment="1">
      <alignment horizontal="centerContinuous" vertical="center"/>
    </xf>
    <xf numFmtId="0" fontId="35" fillId="0" borderId="0" xfId="0" applyFont="1">
      <alignment vertical="center"/>
    </xf>
    <xf numFmtId="0" fontId="36" fillId="0" borderId="0" xfId="0" applyFont="1">
      <alignment vertical="center"/>
    </xf>
    <xf numFmtId="0" fontId="16" fillId="0" borderId="0" xfId="0" applyFont="1" applyAlignment="1">
      <alignment horizontal="centerContinuous" vertical="center"/>
    </xf>
    <xf numFmtId="0" fontId="17" fillId="0" borderId="0" xfId="0" applyFont="1" applyAlignment="1">
      <alignment horizontal="centerContinuous" vertical="center"/>
    </xf>
    <xf numFmtId="0" fontId="37" fillId="0" borderId="0" xfId="0" applyFont="1" applyAlignment="1">
      <alignment horizontal="centerContinuous" vertical="center"/>
    </xf>
    <xf numFmtId="0" fontId="37" fillId="0" borderId="0" xfId="0" applyFont="1">
      <alignment vertical="center"/>
    </xf>
    <xf numFmtId="41" fontId="19" fillId="0" borderId="0" xfId="2" applyFont="1">
      <alignment vertical="center"/>
    </xf>
    <xf numFmtId="177" fontId="12" fillId="0" borderId="2" xfId="1" applyNumberFormat="1" applyFont="1" applyBorder="1">
      <alignment vertical="center"/>
    </xf>
    <xf numFmtId="0" fontId="21" fillId="2" borderId="0" xfId="0" applyFont="1" applyFill="1">
      <alignment vertical="center"/>
    </xf>
    <xf numFmtId="0" fontId="19" fillId="2" borderId="0" xfId="0" applyFont="1" applyFill="1">
      <alignment vertical="center"/>
    </xf>
    <xf numFmtId="0" fontId="19" fillId="2" borderId="21" xfId="0" applyFont="1" applyFill="1" applyBorder="1">
      <alignment vertical="center"/>
    </xf>
    <xf numFmtId="10" fontId="19" fillId="0" borderId="0" xfId="0" applyNumberFormat="1" applyFont="1">
      <alignment vertical="center"/>
    </xf>
    <xf numFmtId="176" fontId="12" fillId="0" borderId="22" xfId="0" applyNumberFormat="1" applyFont="1" applyBorder="1">
      <alignment vertical="center"/>
    </xf>
    <xf numFmtId="180" fontId="19" fillId="0" borderId="0" xfId="0" applyNumberFormat="1" applyFont="1">
      <alignment vertical="center"/>
    </xf>
    <xf numFmtId="176" fontId="11" fillId="0" borderId="23" xfId="0" applyNumberFormat="1" applyFont="1" applyBorder="1">
      <alignment vertical="center"/>
    </xf>
    <xf numFmtId="176" fontId="12" fillId="0" borderId="21" xfId="0" applyNumberFormat="1" applyFont="1" applyBorder="1">
      <alignment vertical="center"/>
    </xf>
    <xf numFmtId="183" fontId="28" fillId="0" borderId="19" xfId="2" applyNumberFormat="1" applyFont="1" applyBorder="1">
      <alignment vertical="center"/>
    </xf>
    <xf numFmtId="183" fontId="26" fillId="0" borderId="20" xfId="2" applyNumberFormat="1" applyFont="1" applyBorder="1">
      <alignment vertical="center"/>
    </xf>
    <xf numFmtId="183" fontId="27" fillId="0" borderId="21" xfId="2" applyNumberFormat="1" applyFont="1" applyBorder="1">
      <alignment vertical="center"/>
    </xf>
    <xf numFmtId="183" fontId="27" fillId="0" borderId="22" xfId="2" applyNumberFormat="1" applyFont="1" applyBorder="1">
      <alignment vertical="center"/>
    </xf>
    <xf numFmtId="176" fontId="19" fillId="0" borderId="0" xfId="0" applyNumberFormat="1" applyFont="1">
      <alignment vertical="center"/>
    </xf>
    <xf numFmtId="177" fontId="19" fillId="0" borderId="0" xfId="0" applyNumberFormat="1" applyFont="1">
      <alignment vertical="center"/>
    </xf>
    <xf numFmtId="177" fontId="33" fillId="0" borderId="11" xfId="1" applyNumberFormat="1" applyFont="1" applyBorder="1">
      <alignment vertical="center"/>
    </xf>
    <xf numFmtId="177" fontId="33" fillId="0" borderId="24" xfId="1" applyNumberFormat="1" applyFont="1" applyBorder="1">
      <alignment vertical="center"/>
    </xf>
    <xf numFmtId="177" fontId="33" fillId="3" borderId="11" xfId="1" applyNumberFormat="1" applyFont="1" applyFill="1" applyBorder="1">
      <alignment vertical="center"/>
    </xf>
    <xf numFmtId="183" fontId="19" fillId="0" borderId="0" xfId="0" applyNumberFormat="1" applyFont="1">
      <alignment vertical="center"/>
    </xf>
    <xf numFmtId="176" fontId="12" fillId="0" borderId="16" xfId="0" applyNumberFormat="1" applyFont="1" applyBorder="1">
      <alignment vertical="center"/>
    </xf>
    <xf numFmtId="176" fontId="12" fillId="0" borderId="18" xfId="0" applyNumberFormat="1" applyFont="1" applyBorder="1">
      <alignment vertical="center"/>
    </xf>
    <xf numFmtId="177" fontId="12" fillId="0" borderId="29" xfId="0" applyNumberFormat="1" applyFont="1" applyBorder="1">
      <alignment vertical="center"/>
    </xf>
    <xf numFmtId="176" fontId="42" fillId="0" borderId="16" xfId="0" applyNumberFormat="1" applyFont="1" applyBorder="1">
      <alignment vertical="center"/>
    </xf>
    <xf numFmtId="177" fontId="42" fillId="0" borderId="29" xfId="0" applyNumberFormat="1" applyFont="1" applyBorder="1">
      <alignment vertical="center"/>
    </xf>
    <xf numFmtId="176" fontId="43" fillId="0" borderId="0" xfId="0" applyNumberFormat="1" applyFont="1">
      <alignment vertical="center"/>
    </xf>
    <xf numFmtId="0" fontId="48" fillId="0" borderId="0" xfId="0" applyFont="1" applyAlignment="1"/>
    <xf numFmtId="0" fontId="48" fillId="0" borderId="0" xfId="0" applyFont="1">
      <alignment vertical="center"/>
    </xf>
    <xf numFmtId="0" fontId="49" fillId="2" borderId="1" xfId="0" applyFont="1" applyFill="1" applyBorder="1">
      <alignment vertical="center"/>
    </xf>
    <xf numFmtId="0" fontId="49" fillId="2" borderId="0" xfId="0" applyFont="1" applyFill="1">
      <alignment vertical="center"/>
    </xf>
    <xf numFmtId="0" fontId="50" fillId="0" borderId="1" xfId="0" applyFont="1" applyBorder="1">
      <alignment vertical="center"/>
    </xf>
    <xf numFmtId="0" fontId="51" fillId="0" borderId="0" xfId="0" applyFont="1">
      <alignment vertical="center"/>
    </xf>
    <xf numFmtId="0" fontId="50" fillId="0" borderId="0" xfId="0" applyFont="1">
      <alignment vertical="center"/>
    </xf>
    <xf numFmtId="0" fontId="50" fillId="0" borderId="12" xfId="0" applyFont="1" applyBorder="1">
      <alignment vertical="center"/>
    </xf>
    <xf numFmtId="0" fontId="50" fillId="0" borderId="13" xfId="0" applyFont="1" applyBorder="1">
      <alignment vertical="center"/>
    </xf>
    <xf numFmtId="0" fontId="51" fillId="0" borderId="2" xfId="0" applyFont="1" applyBorder="1">
      <alignment vertical="center"/>
    </xf>
    <xf numFmtId="0" fontId="52" fillId="0" borderId="0" xfId="0" applyFont="1">
      <alignment vertical="center"/>
    </xf>
    <xf numFmtId="0" fontId="53" fillId="0" borderId="0" xfId="0" applyFont="1" applyAlignment="1"/>
    <xf numFmtId="0" fontId="53" fillId="0" borderId="0" xfId="0" applyFont="1">
      <alignment vertical="center"/>
    </xf>
    <xf numFmtId="0" fontId="54" fillId="2" borderId="1" xfId="0" applyFont="1" applyFill="1" applyBorder="1">
      <alignment vertical="center"/>
    </xf>
    <xf numFmtId="0" fontId="54" fillId="2" borderId="0" xfId="0" applyFont="1" applyFill="1">
      <alignment vertical="center"/>
    </xf>
    <xf numFmtId="0" fontId="55" fillId="0" borderId="0" xfId="0" applyFont="1">
      <alignment vertical="center"/>
    </xf>
    <xf numFmtId="0" fontId="52" fillId="0" borderId="1" xfId="0" applyFont="1" applyBorder="1">
      <alignment vertical="center"/>
    </xf>
    <xf numFmtId="0" fontId="52" fillId="0" borderId="17" xfId="0" applyFont="1" applyBorder="1">
      <alignment vertical="center"/>
    </xf>
    <xf numFmtId="0" fontId="57" fillId="0" borderId="0" xfId="0" applyFont="1">
      <alignment vertical="center"/>
    </xf>
    <xf numFmtId="0" fontId="58" fillId="0" borderId="0" xfId="0" applyFont="1">
      <alignment vertical="center"/>
    </xf>
    <xf numFmtId="0" fontId="58" fillId="2" borderId="0" xfId="0" applyFont="1" applyFill="1">
      <alignment vertical="center"/>
    </xf>
    <xf numFmtId="0" fontId="58" fillId="2" borderId="21" xfId="0" applyFont="1" applyFill="1" applyBorder="1">
      <alignment vertical="center"/>
    </xf>
    <xf numFmtId="0" fontId="49" fillId="2" borderId="2" xfId="0" applyFont="1" applyFill="1" applyBorder="1">
      <alignment vertical="center"/>
    </xf>
    <xf numFmtId="0" fontId="49" fillId="2" borderId="22" xfId="0" applyFont="1" applyFill="1" applyBorder="1">
      <alignment vertical="center"/>
    </xf>
    <xf numFmtId="0" fontId="52" fillId="0" borderId="3" xfId="0" applyFont="1" applyBorder="1">
      <alignment vertical="center"/>
    </xf>
    <xf numFmtId="0" fontId="49" fillId="0" borderId="5" xfId="0" applyFont="1" applyBorder="1">
      <alignment vertical="center"/>
    </xf>
    <xf numFmtId="0" fontId="59" fillId="0" borderId="0" xfId="0" applyFont="1">
      <alignment vertical="center"/>
    </xf>
    <xf numFmtId="0" fontId="49" fillId="0" borderId="8" xfId="0" applyFont="1" applyBorder="1">
      <alignment vertical="center"/>
    </xf>
    <xf numFmtId="0" fontId="59" fillId="0" borderId="2" xfId="0" applyFont="1" applyBorder="1">
      <alignment vertical="center"/>
    </xf>
    <xf numFmtId="0" fontId="49" fillId="2" borderId="14" xfId="0" applyFont="1" applyFill="1" applyBorder="1" applyAlignment="1">
      <alignment horizontal="center" vertical="center"/>
    </xf>
    <xf numFmtId="0" fontId="60" fillId="0" borderId="0" xfId="0" applyFont="1">
      <alignment vertical="center"/>
    </xf>
    <xf numFmtId="0" fontId="61" fillId="0" borderId="0" xfId="0" applyFont="1">
      <alignment vertical="center"/>
    </xf>
    <xf numFmtId="0" fontId="61" fillId="2" borderId="0" xfId="0" applyFont="1" applyFill="1">
      <alignment vertical="center"/>
    </xf>
    <xf numFmtId="0" fontId="61" fillId="2" borderId="21" xfId="0" applyFont="1" applyFill="1" applyBorder="1">
      <alignment vertical="center"/>
    </xf>
    <xf numFmtId="0" fontId="54" fillId="2" borderId="2" xfId="0" applyFont="1" applyFill="1" applyBorder="1">
      <alignment vertical="center"/>
    </xf>
    <xf numFmtId="0" fontId="54" fillId="2" borderId="22" xfId="0" applyFont="1" applyFill="1" applyBorder="1">
      <alignment vertical="center"/>
    </xf>
    <xf numFmtId="0" fontId="60" fillId="2" borderId="0" xfId="0" applyFont="1" applyFill="1">
      <alignment vertical="center"/>
    </xf>
    <xf numFmtId="0" fontId="44" fillId="0" borderId="1" xfId="0" applyFont="1" applyBorder="1">
      <alignment vertical="center"/>
    </xf>
    <xf numFmtId="0" fontId="44" fillId="0" borderId="23" xfId="0" applyFont="1" applyBorder="1">
      <alignment vertical="center"/>
    </xf>
    <xf numFmtId="0" fontId="45" fillId="0" borderId="0" xfId="0" applyFont="1">
      <alignment vertical="center"/>
    </xf>
    <xf numFmtId="0" fontId="45" fillId="0" borderId="21" xfId="0" applyFont="1" applyBorder="1">
      <alignment vertical="center"/>
    </xf>
    <xf numFmtId="0" fontId="63" fillId="0" borderId="0" xfId="0" applyFont="1">
      <alignment vertical="center"/>
    </xf>
    <xf numFmtId="0" fontId="64" fillId="0" borderId="11" xfId="0" applyFont="1" applyBorder="1">
      <alignment vertical="center"/>
    </xf>
    <xf numFmtId="0" fontId="64" fillId="0" borderId="24" xfId="0" applyFont="1" applyBorder="1">
      <alignment vertical="center"/>
    </xf>
    <xf numFmtId="0" fontId="45" fillId="0" borderId="2" xfId="0" applyFont="1" applyBorder="1">
      <alignment vertical="center"/>
    </xf>
    <xf numFmtId="0" fontId="45" fillId="0" borderId="22" xfId="0" applyFont="1" applyBorder="1">
      <alignment vertical="center"/>
    </xf>
    <xf numFmtId="0" fontId="62" fillId="0" borderId="0" xfId="0" applyFont="1">
      <alignment vertical="center"/>
    </xf>
    <xf numFmtId="0" fontId="62" fillId="0" borderId="21" xfId="0" applyFont="1" applyBorder="1">
      <alignment vertical="center"/>
    </xf>
    <xf numFmtId="0" fontId="44" fillId="0" borderId="16" xfId="0" applyFont="1" applyBorder="1">
      <alignment vertical="center"/>
    </xf>
    <xf numFmtId="0" fontId="44" fillId="0" borderId="18" xfId="0" applyFont="1" applyBorder="1">
      <alignment vertical="center"/>
    </xf>
    <xf numFmtId="0" fontId="62" fillId="0" borderId="16" xfId="0" applyFont="1" applyBorder="1">
      <alignment vertical="center"/>
    </xf>
    <xf numFmtId="0" fontId="62" fillId="0" borderId="18" xfId="0" applyFont="1" applyBorder="1">
      <alignment vertical="center"/>
    </xf>
    <xf numFmtId="0" fontId="53" fillId="0" borderId="2" xfId="0" applyFont="1" applyBorder="1" applyAlignment="1"/>
    <xf numFmtId="0" fontId="44" fillId="0" borderId="0" xfId="0" applyFont="1">
      <alignment vertical="center"/>
    </xf>
    <xf numFmtId="0" fontId="62" fillId="0" borderId="2" xfId="0" applyFont="1" applyBorder="1">
      <alignment vertical="center"/>
    </xf>
    <xf numFmtId="0" fontId="45" fillId="0" borderId="1" xfId="0" applyFont="1" applyBorder="1">
      <alignment vertical="center"/>
    </xf>
    <xf numFmtId="181" fontId="45" fillId="0" borderId="0" xfId="0" applyNumberFormat="1" applyFont="1" applyAlignment="1">
      <alignment horizontal="left" vertical="center"/>
    </xf>
    <xf numFmtId="181" fontId="45" fillId="0" borderId="2" xfId="0" applyNumberFormat="1" applyFont="1" applyBorder="1" applyAlignment="1">
      <alignment horizontal="left" vertical="center"/>
    </xf>
    <xf numFmtId="0" fontId="63" fillId="0" borderId="2" xfId="0" applyFont="1" applyBorder="1">
      <alignment vertical="center"/>
    </xf>
    <xf numFmtId="0" fontId="23" fillId="6" borderId="0" xfId="0" applyFont="1" applyFill="1">
      <alignment vertical="center"/>
    </xf>
    <xf numFmtId="0" fontId="20" fillId="6" borderId="0" xfId="0" applyFont="1" applyFill="1">
      <alignment vertical="center"/>
    </xf>
    <xf numFmtId="0" fontId="47" fillId="6" borderId="0" xfId="0" applyFont="1" applyFill="1">
      <alignment vertical="center"/>
    </xf>
    <xf numFmtId="176" fontId="12" fillId="7" borderId="16" xfId="0" applyNumberFormat="1" applyFont="1" applyFill="1" applyBorder="1">
      <alignment vertical="center"/>
    </xf>
    <xf numFmtId="176" fontId="42" fillId="7" borderId="16" xfId="0" applyNumberFormat="1" applyFont="1" applyFill="1" applyBorder="1">
      <alignment vertical="center"/>
    </xf>
    <xf numFmtId="185" fontId="12" fillId="0" borderId="0" xfId="0" applyNumberFormat="1" applyFont="1">
      <alignment vertical="center"/>
    </xf>
    <xf numFmtId="185" fontId="33" fillId="0" borderId="15" xfId="0" applyNumberFormat="1" applyFont="1" applyBorder="1">
      <alignment vertical="center"/>
    </xf>
    <xf numFmtId="185" fontId="33" fillId="0" borderId="15" xfId="1" applyNumberFormat="1" applyFont="1" applyBorder="1">
      <alignment vertical="center"/>
    </xf>
    <xf numFmtId="185" fontId="27" fillId="0" borderId="0" xfId="1" applyNumberFormat="1" applyFont="1" applyBorder="1">
      <alignment vertical="center"/>
    </xf>
    <xf numFmtId="0" fontId="67" fillId="6" borderId="0" xfId="10" applyFont="1" applyFill="1" applyAlignment="1" applyProtection="1">
      <alignment vertical="center"/>
    </xf>
    <xf numFmtId="0" fontId="68" fillId="6" borderId="0" xfId="0" applyFont="1" applyFill="1">
      <alignment vertical="center"/>
    </xf>
    <xf numFmtId="177" fontId="26" fillId="0" borderId="7" xfId="1" applyNumberFormat="1" applyFont="1" applyBorder="1">
      <alignment vertical="center"/>
    </xf>
    <xf numFmtId="177" fontId="12" fillId="0" borderId="0" xfId="1" applyNumberFormat="1" applyFont="1" applyFill="1" applyBorder="1">
      <alignment vertical="center"/>
    </xf>
    <xf numFmtId="0" fontId="69" fillId="0" borderId="0" xfId="0" applyFont="1">
      <alignment vertical="center"/>
    </xf>
    <xf numFmtId="183" fontId="27" fillId="3" borderId="7" xfId="0" applyNumberFormat="1" applyFont="1" applyFill="1" applyBorder="1">
      <alignment vertical="center"/>
    </xf>
    <xf numFmtId="183" fontId="28" fillId="0" borderId="4" xfId="0" applyNumberFormat="1" applyFont="1" applyBorder="1">
      <alignment vertical="center"/>
    </xf>
    <xf numFmtId="183" fontId="28" fillId="0" borderId="19" xfId="0" applyNumberFormat="1" applyFont="1" applyBorder="1">
      <alignment vertical="center"/>
    </xf>
    <xf numFmtId="183" fontId="28" fillId="3" borderId="4" xfId="0" applyNumberFormat="1" applyFont="1" applyFill="1" applyBorder="1">
      <alignment vertical="center"/>
    </xf>
    <xf numFmtId="183" fontId="28" fillId="0" borderId="3" xfId="0" applyNumberFormat="1" applyFont="1" applyBorder="1">
      <alignment vertical="center"/>
    </xf>
    <xf numFmtId="183" fontId="26" fillId="0" borderId="6" xfId="0" applyNumberFormat="1" applyFont="1" applyBorder="1">
      <alignment vertical="center"/>
    </xf>
    <xf numFmtId="183" fontId="26" fillId="3" borderId="6" xfId="0" applyNumberFormat="1" applyFont="1" applyFill="1" applyBorder="1">
      <alignment vertical="center"/>
    </xf>
    <xf numFmtId="183" fontId="26" fillId="0" borderId="5" xfId="0" applyNumberFormat="1" applyFont="1" applyBorder="1">
      <alignment vertical="center"/>
    </xf>
    <xf numFmtId="183" fontId="27" fillId="0" borderId="7" xfId="0" applyNumberFormat="1" applyFont="1" applyBorder="1">
      <alignment vertical="center"/>
    </xf>
    <xf numFmtId="183" fontId="27" fillId="0" borderId="21" xfId="0" applyNumberFormat="1" applyFont="1" applyBorder="1">
      <alignment vertical="center"/>
    </xf>
    <xf numFmtId="183" fontId="27" fillId="0" borderId="0" xfId="0" applyNumberFormat="1" applyFont="1">
      <alignment vertical="center"/>
    </xf>
    <xf numFmtId="183" fontId="26" fillId="3" borderId="9" xfId="0" applyNumberFormat="1" applyFont="1" applyFill="1" applyBorder="1">
      <alignment vertical="center"/>
    </xf>
    <xf numFmtId="183" fontId="26" fillId="0" borderId="8" xfId="0" applyNumberFormat="1" applyFont="1" applyBorder="1">
      <alignment vertical="center"/>
    </xf>
    <xf numFmtId="183" fontId="27" fillId="0" borderId="10" xfId="0" applyNumberFormat="1" applyFont="1" applyBorder="1">
      <alignment vertical="center"/>
    </xf>
    <xf numFmtId="183" fontId="27" fillId="0" borderId="22" xfId="0" applyNumberFormat="1" applyFont="1" applyBorder="1">
      <alignment vertical="center"/>
    </xf>
    <xf numFmtId="183" fontId="27" fillId="3" borderId="10" xfId="0" applyNumberFormat="1" applyFont="1" applyFill="1" applyBorder="1">
      <alignment vertical="center"/>
    </xf>
    <xf numFmtId="183" fontId="27" fillId="0" borderId="2" xfId="0" applyNumberFormat="1" applyFont="1" applyBorder="1">
      <alignment vertical="center"/>
    </xf>
    <xf numFmtId="183" fontId="27" fillId="0" borderId="31" xfId="0" applyNumberFormat="1" applyFont="1" applyBorder="1">
      <alignment vertical="center"/>
    </xf>
    <xf numFmtId="183" fontId="28" fillId="3" borderId="30" xfId="0" applyNumberFormat="1" applyFont="1" applyFill="1" applyBorder="1">
      <alignment vertical="center"/>
    </xf>
    <xf numFmtId="176" fontId="42" fillId="0" borderId="18" xfId="0" applyNumberFormat="1" applyFont="1" applyBorder="1">
      <alignment vertical="center"/>
    </xf>
    <xf numFmtId="41" fontId="19" fillId="0" borderId="0" xfId="0" applyNumberFormat="1" applyFont="1">
      <alignment vertical="center"/>
    </xf>
    <xf numFmtId="176" fontId="11" fillId="0" borderId="0" xfId="0" applyNumberFormat="1" applyFont="1">
      <alignment vertical="center"/>
    </xf>
    <xf numFmtId="0" fontId="70" fillId="0" borderId="0" xfId="0" applyFont="1">
      <alignment vertical="center"/>
    </xf>
    <xf numFmtId="0" fontId="71" fillId="0" borderId="0" xfId="0" applyFont="1">
      <alignment vertical="center"/>
    </xf>
    <xf numFmtId="0" fontId="72" fillId="0" borderId="0" xfId="0" applyFont="1">
      <alignment vertical="center"/>
    </xf>
    <xf numFmtId="0" fontId="73" fillId="0" borderId="0" xfId="10" applyFont="1" applyFill="1" applyAlignment="1" applyProtection="1">
      <alignment vertical="center"/>
    </xf>
    <xf numFmtId="0" fontId="74" fillId="0" borderId="0" xfId="0" applyFont="1">
      <alignment vertical="center"/>
    </xf>
    <xf numFmtId="0" fontId="75" fillId="0" borderId="0" xfId="0" applyFont="1">
      <alignment vertical="center"/>
    </xf>
    <xf numFmtId="0" fontId="4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29" fillId="2" borderId="0" xfId="0" applyFont="1" applyFill="1">
      <alignment vertical="center"/>
    </xf>
    <xf numFmtId="0" fontId="29" fillId="2" borderId="1" xfId="0" applyFont="1" applyFill="1" applyBorder="1">
      <alignment vertical="center"/>
    </xf>
    <xf numFmtId="178" fontId="29" fillId="2" borderId="18" xfId="0" applyNumberFormat="1" applyFont="1" applyFill="1" applyBorder="1" applyAlignment="1">
      <alignment horizontal="center" vertical="center"/>
    </xf>
    <xf numFmtId="0" fontId="59" fillId="0" borderId="12" xfId="0" applyFont="1" applyBorder="1">
      <alignment vertical="center"/>
    </xf>
    <xf numFmtId="0" fontId="45" fillId="0" borderId="16" xfId="0" applyFont="1" applyBorder="1">
      <alignment vertical="center"/>
    </xf>
    <xf numFmtId="0" fontId="76" fillId="0" borderId="0" xfId="0" applyFont="1" applyAlignment="1"/>
    <xf numFmtId="177" fontId="19" fillId="0" borderId="0" xfId="1" applyNumberFormat="1" applyFont="1">
      <alignment vertical="center"/>
    </xf>
    <xf numFmtId="177" fontId="28" fillId="0" borderId="4" xfId="0" applyNumberFormat="1" applyFont="1" applyBorder="1" applyAlignment="1">
      <alignment horizontal="right" vertical="center"/>
    </xf>
    <xf numFmtId="177" fontId="26" fillId="0" borderId="6" xfId="0" applyNumberFormat="1" applyFont="1" applyBorder="1" applyAlignment="1">
      <alignment horizontal="right" vertical="center"/>
    </xf>
    <xf numFmtId="177" fontId="27" fillId="0" borderId="7" xfId="0" applyNumberFormat="1" applyFont="1" applyBorder="1" applyAlignment="1">
      <alignment horizontal="right" vertical="center"/>
    </xf>
    <xf numFmtId="177" fontId="26" fillId="0" borderId="9" xfId="0" applyNumberFormat="1" applyFont="1" applyBorder="1" applyAlignment="1">
      <alignment horizontal="right" vertical="center"/>
    </xf>
    <xf numFmtId="177" fontId="27" fillId="0" borderId="10" xfId="0" applyNumberFormat="1" applyFont="1" applyBorder="1" applyAlignment="1">
      <alignment horizontal="right" vertical="center"/>
    </xf>
    <xf numFmtId="177" fontId="26" fillId="0" borderId="6" xfId="1" applyNumberFormat="1" applyFont="1" applyBorder="1" applyAlignment="1">
      <alignment horizontal="right" vertical="center"/>
    </xf>
    <xf numFmtId="177" fontId="27" fillId="0" borderId="7" xfId="1" applyNumberFormat="1" applyFont="1" applyBorder="1" applyAlignment="1">
      <alignment horizontal="right" vertical="center"/>
    </xf>
    <xf numFmtId="177" fontId="26" fillId="0" borderId="9" xfId="1" applyNumberFormat="1" applyFont="1" applyBorder="1" applyAlignment="1">
      <alignment horizontal="right" vertical="center"/>
    </xf>
    <xf numFmtId="177" fontId="28" fillId="0" borderId="4" xfId="1" applyNumberFormat="1" applyFont="1" applyBorder="1" applyAlignment="1">
      <alignment horizontal="right" vertical="center"/>
    </xf>
    <xf numFmtId="177" fontId="27" fillId="0" borderId="10" xfId="1" applyNumberFormat="1" applyFont="1" applyBorder="1" applyAlignment="1">
      <alignment horizontal="right" vertical="center"/>
    </xf>
    <xf numFmtId="183" fontId="28" fillId="0" borderId="0" xfId="0" applyNumberFormat="1" applyFont="1">
      <alignment vertical="center"/>
    </xf>
    <xf numFmtId="177" fontId="28" fillId="0" borderId="0" xfId="0" applyNumberFormat="1" applyFont="1" applyAlignment="1">
      <alignment horizontal="right" vertical="center"/>
    </xf>
    <xf numFmtId="183" fontId="26" fillId="0" borderId="0" xfId="0" applyNumberFormat="1" applyFont="1">
      <alignment vertical="center"/>
    </xf>
    <xf numFmtId="177" fontId="26" fillId="0" borderId="0" xfId="0" applyNumberFormat="1" applyFont="1" applyAlignment="1">
      <alignment horizontal="right" vertical="center"/>
    </xf>
    <xf numFmtId="177" fontId="27" fillId="0" borderId="0" xfId="0" applyNumberFormat="1" applyFont="1" applyAlignment="1">
      <alignment horizontal="right" vertical="center"/>
    </xf>
    <xf numFmtId="183" fontId="28" fillId="0" borderId="0" xfId="2" applyNumberFormat="1" applyFont="1" applyFill="1" applyBorder="1">
      <alignment vertical="center"/>
    </xf>
    <xf numFmtId="177" fontId="26" fillId="0" borderId="0" xfId="1" applyNumberFormat="1" applyFont="1" applyFill="1" applyBorder="1">
      <alignment vertical="center"/>
    </xf>
    <xf numFmtId="177" fontId="26" fillId="0" borderId="0" xfId="1" applyNumberFormat="1" applyFont="1" applyFill="1" applyBorder="1" applyAlignment="1">
      <alignment horizontal="right" vertical="center"/>
    </xf>
    <xf numFmtId="177" fontId="27" fillId="0" borderId="0" xfId="1" applyNumberFormat="1" applyFont="1" applyFill="1" applyBorder="1" applyAlignment="1">
      <alignment horizontal="right" vertical="center"/>
    </xf>
    <xf numFmtId="177" fontId="28" fillId="0" borderId="0" xfId="1" applyNumberFormat="1" applyFont="1" applyFill="1" applyBorder="1" applyAlignment="1">
      <alignment horizontal="right" vertical="center"/>
    </xf>
    <xf numFmtId="177" fontId="11" fillId="0" borderId="0" xfId="1" applyNumberFormat="1" applyFont="1" applyFill="1" applyBorder="1">
      <alignment vertical="center"/>
    </xf>
    <xf numFmtId="177" fontId="33" fillId="0" borderId="0" xfId="1" applyNumberFormat="1" applyFont="1" applyFill="1" applyBorder="1">
      <alignment vertical="center"/>
    </xf>
    <xf numFmtId="176" fontId="42" fillId="0" borderId="0" xfId="0" applyNumberFormat="1" applyFont="1">
      <alignment vertical="center"/>
    </xf>
    <xf numFmtId="178" fontId="29" fillId="0" borderId="0" xfId="0" applyNumberFormat="1" applyFont="1" applyAlignment="1">
      <alignment horizontal="center" vertical="center"/>
    </xf>
    <xf numFmtId="0" fontId="79" fillId="0" borderId="0" xfId="0" applyFont="1" applyAlignment="1">
      <alignment horizontal="centerContinuous" vertical="center"/>
    </xf>
    <xf numFmtId="0" fontId="82" fillId="10" borderId="0" xfId="6" applyFont="1" applyFill="1" applyAlignment="1">
      <alignment horizontal="left" wrapText="1"/>
    </xf>
    <xf numFmtId="184" fontId="82" fillId="10" borderId="0" xfId="6" applyNumberFormat="1" applyFont="1" applyFill="1" applyAlignment="1">
      <alignment horizontal="left" wrapText="1"/>
    </xf>
    <xf numFmtId="0" fontId="84" fillId="0" borderId="0" xfId="4" applyFont="1" applyAlignment="1">
      <alignment horizontal="left" vertical="center" wrapText="1"/>
    </xf>
    <xf numFmtId="184" fontId="84" fillId="0" borderId="0" xfId="4" applyNumberFormat="1" applyFont="1" applyAlignment="1">
      <alignment horizontal="right" vertical="center" wrapText="1"/>
    </xf>
    <xf numFmtId="184" fontId="84" fillId="10" borderId="0" xfId="4" applyNumberFormat="1" applyFont="1" applyFill="1" applyAlignment="1">
      <alignment horizontal="right" vertical="center" wrapText="1"/>
    </xf>
    <xf numFmtId="184" fontId="81" fillId="0" borderId="0" xfId="4" applyNumberFormat="1" applyFont="1" applyAlignment="1">
      <alignment horizontal="left" vertical="center" wrapText="1"/>
    </xf>
    <xf numFmtId="0" fontId="81" fillId="0" borderId="0" xfId="4" applyFont="1" applyAlignment="1">
      <alignment horizontal="left" vertical="center" wrapText="1"/>
    </xf>
    <xf numFmtId="0" fontId="84" fillId="0" borderId="0" xfId="4" applyFont="1" applyAlignment="1">
      <alignment horizontal="left" wrapText="1"/>
    </xf>
    <xf numFmtId="184" fontId="84" fillId="0" borderId="0" xfId="4" applyNumberFormat="1" applyFont="1" applyAlignment="1">
      <alignment horizontal="right" wrapText="1"/>
    </xf>
    <xf numFmtId="0" fontId="85" fillId="10" borderId="0" xfId="6" applyFont="1" applyFill="1" applyAlignment="1">
      <alignment vertical="center" wrapText="1"/>
    </xf>
    <xf numFmtId="0" fontId="78" fillId="10" borderId="0" xfId="8" applyFont="1" applyFill="1" applyAlignment="1">
      <alignment vertical="center" wrapText="1"/>
    </xf>
    <xf numFmtId="0" fontId="85" fillId="0" borderId="0" xfId="6" applyFont="1" applyAlignment="1">
      <alignment vertical="center" wrapText="1"/>
    </xf>
    <xf numFmtId="0" fontId="87" fillId="10" borderId="0" xfId="6" applyFont="1" applyFill="1" applyAlignment="1">
      <alignment vertical="center" wrapText="1"/>
    </xf>
    <xf numFmtId="0" fontId="78" fillId="0" borderId="0" xfId="8" applyFont="1" applyAlignment="1">
      <alignment vertical="center" wrapText="1"/>
    </xf>
    <xf numFmtId="0" fontId="92" fillId="0" borderId="0" xfId="0" applyFont="1">
      <alignment vertical="center"/>
    </xf>
    <xf numFmtId="0" fontId="65" fillId="0" borderId="0" xfId="0" applyFont="1">
      <alignment vertical="center"/>
    </xf>
    <xf numFmtId="176" fontId="12" fillId="0" borderId="0" xfId="1" applyNumberFormat="1" applyFont="1" applyFill="1" applyBorder="1">
      <alignment vertical="center"/>
    </xf>
    <xf numFmtId="177" fontId="28" fillId="5" borderId="0" xfId="1" applyNumberFormat="1" applyFont="1" applyFill="1" applyBorder="1">
      <alignment vertical="center"/>
    </xf>
    <xf numFmtId="182" fontId="12" fillId="5" borderId="0" xfId="1" applyNumberFormat="1" applyFont="1" applyFill="1" applyBorder="1">
      <alignment vertical="center"/>
    </xf>
    <xf numFmtId="177" fontId="12" fillId="5" borderId="0" xfId="0" applyNumberFormat="1" applyFont="1" applyFill="1">
      <alignment vertical="center"/>
    </xf>
    <xf numFmtId="0" fontId="117" fillId="0" borderId="0" xfId="0" applyFont="1">
      <alignment vertical="center"/>
    </xf>
    <xf numFmtId="0" fontId="118" fillId="0" borderId="0" xfId="0" applyFont="1">
      <alignment vertical="center"/>
    </xf>
    <xf numFmtId="0" fontId="119" fillId="0" borderId="0" xfId="0" applyFont="1">
      <alignment vertical="center"/>
    </xf>
    <xf numFmtId="0" fontId="43" fillId="0" borderId="0" xfId="0" applyFont="1">
      <alignment vertical="center"/>
    </xf>
    <xf numFmtId="184" fontId="84" fillId="11" borderId="25" xfId="4" applyNumberFormat="1" applyFont="1" applyFill="1" applyBorder="1" applyAlignment="1">
      <alignment horizontal="center" vertical="center"/>
    </xf>
    <xf numFmtId="0" fontId="84" fillId="11" borderId="25" xfId="4" applyFont="1" applyFill="1" applyBorder="1" applyAlignment="1">
      <alignment horizontal="center" vertical="center"/>
    </xf>
    <xf numFmtId="184" fontId="89" fillId="4" borderId="25" xfId="4" applyNumberFormat="1" applyFont="1" applyFill="1" applyBorder="1" applyAlignment="1">
      <alignment horizontal="center" vertical="center"/>
    </xf>
    <xf numFmtId="0" fontId="84" fillId="0" borderId="0" xfId="4" applyFont="1" applyAlignment="1">
      <alignment horizontal="left" vertical="center"/>
    </xf>
    <xf numFmtId="0" fontId="121" fillId="44" borderId="25" xfId="0" applyFont="1" applyFill="1" applyBorder="1" applyAlignment="1">
      <alignment horizontal="center" vertical="center" wrapText="1"/>
    </xf>
    <xf numFmtId="41" fontId="85" fillId="10" borderId="0" xfId="2" applyFont="1" applyFill="1" applyAlignment="1">
      <alignment vertical="center" wrapText="1"/>
    </xf>
    <xf numFmtId="41" fontId="85" fillId="0" borderId="0" xfId="2" applyFont="1" applyFill="1" applyAlignment="1">
      <alignment vertical="center" wrapText="1"/>
    </xf>
    <xf numFmtId="0" fontId="84" fillId="0" borderId="0" xfId="4" applyFont="1" applyAlignment="1">
      <alignment horizontal="left"/>
    </xf>
    <xf numFmtId="0" fontId="29" fillId="2" borderId="1" xfId="0" applyFont="1" applyFill="1" applyBorder="1" applyAlignment="1">
      <alignment horizontal="left" vertical="center"/>
    </xf>
    <xf numFmtId="0" fontId="29" fillId="2" borderId="2" xfId="0" applyFont="1" applyFill="1" applyBorder="1" applyAlignment="1">
      <alignment horizontal="left" vertical="center"/>
    </xf>
    <xf numFmtId="0" fontId="122" fillId="0" borderId="2" xfId="0" applyFont="1" applyBorder="1" applyAlignment="1"/>
    <xf numFmtId="177" fontId="12" fillId="0" borderId="29" xfId="0" applyNumberFormat="1" applyFont="1" applyBorder="1" applyAlignment="1">
      <alignment horizontal="right" vertical="center"/>
    </xf>
    <xf numFmtId="0" fontId="59" fillId="0" borderId="0" xfId="0" applyFont="1" applyAlignment="1">
      <alignment horizontal="left" vertical="center"/>
    </xf>
    <xf numFmtId="176" fontId="29" fillId="0" borderId="2" xfId="0" applyNumberFormat="1" applyFont="1" applyBorder="1">
      <alignment vertical="center"/>
    </xf>
    <xf numFmtId="0" fontId="49" fillId="0" borderId="0" xfId="0" applyFont="1">
      <alignment vertical="center"/>
    </xf>
    <xf numFmtId="0" fontId="54" fillId="0" borderId="2" xfId="0" applyFont="1" applyBorder="1">
      <alignment vertical="center"/>
    </xf>
    <xf numFmtId="182" fontId="10" fillId="5" borderId="0" xfId="0" applyNumberFormat="1" applyFont="1" applyFill="1">
      <alignment vertical="center"/>
    </xf>
    <xf numFmtId="176" fontId="30" fillId="5" borderId="2" xfId="0" applyNumberFormat="1" applyFont="1" applyFill="1" applyBorder="1">
      <alignment vertical="center"/>
    </xf>
    <xf numFmtId="178" fontId="29" fillId="2" borderId="16" xfId="0" applyNumberFormat="1" applyFont="1" applyFill="1" applyBorder="1" applyAlignment="1">
      <alignment horizontal="center" vertical="center"/>
    </xf>
    <xf numFmtId="185" fontId="12" fillId="0" borderId="2" xfId="0" applyNumberFormat="1" applyFont="1" applyBorder="1">
      <alignment vertical="center"/>
    </xf>
    <xf numFmtId="177" fontId="43" fillId="0" borderId="0" xfId="1" applyNumberFormat="1" applyFont="1" applyFill="1" applyAlignment="1">
      <alignment horizontal="right" vertical="center"/>
    </xf>
    <xf numFmtId="0" fontId="49" fillId="2" borderId="1" xfId="0" applyFont="1" applyFill="1" applyBorder="1" applyAlignment="1">
      <alignment horizontal="center" vertical="center"/>
    </xf>
    <xf numFmtId="176" fontId="7" fillId="0" borderId="0" xfId="0" applyNumberFormat="1" applyFont="1">
      <alignment vertical="center"/>
    </xf>
    <xf numFmtId="183" fontId="7" fillId="0" borderId="0" xfId="0" applyNumberFormat="1" applyFont="1">
      <alignment vertical="center"/>
    </xf>
    <xf numFmtId="176" fontId="30" fillId="0" borderId="2" xfId="0" applyNumberFormat="1" applyFont="1" applyBorder="1">
      <alignment vertical="center"/>
    </xf>
    <xf numFmtId="178" fontId="49" fillId="2" borderId="18" xfId="0" applyNumberFormat="1" applyFont="1" applyFill="1" applyBorder="1" applyAlignment="1">
      <alignment horizontal="center" vertical="center"/>
    </xf>
    <xf numFmtId="0" fontId="52" fillId="0" borderId="2" xfId="0" applyFont="1" applyBorder="1" applyAlignment="1">
      <alignment horizontal="left" vertical="center"/>
    </xf>
    <xf numFmtId="176" fontId="45" fillId="0" borderId="0" xfId="2" applyNumberFormat="1" applyFont="1" applyFill="1" applyBorder="1">
      <alignment vertical="center"/>
    </xf>
    <xf numFmtId="177" fontId="29" fillId="0" borderId="0" xfId="1" applyNumberFormat="1" applyFont="1" applyFill="1">
      <alignment vertical="center"/>
    </xf>
    <xf numFmtId="178" fontId="49" fillId="2" borderId="1" xfId="0" applyNumberFormat="1" applyFont="1" applyFill="1" applyBorder="1" applyAlignment="1">
      <alignment horizontal="centerContinuous" vertical="center"/>
    </xf>
    <xf numFmtId="0" fontId="29" fillId="2" borderId="0" xfId="0" applyFont="1" applyFill="1" applyAlignment="1">
      <alignment horizontal="center" vertical="center"/>
    </xf>
    <xf numFmtId="0" fontId="50" fillId="0" borderId="2" xfId="0" applyFont="1" applyBorder="1">
      <alignment vertical="center"/>
    </xf>
    <xf numFmtId="177" fontId="27" fillId="0" borderId="0" xfId="1" applyNumberFormat="1" applyFont="1">
      <alignment vertical="center"/>
    </xf>
    <xf numFmtId="10" fontId="27" fillId="0" borderId="0" xfId="0" applyNumberFormat="1" applyFont="1">
      <alignment vertical="center"/>
    </xf>
    <xf numFmtId="0" fontId="54" fillId="0" borderId="0" xfId="0" applyFont="1">
      <alignment vertical="center"/>
    </xf>
    <xf numFmtId="0" fontId="49" fillId="2" borderId="2" xfId="0" applyFont="1" applyFill="1" applyBorder="1" applyAlignment="1">
      <alignment horizontal="center" vertical="center"/>
    </xf>
    <xf numFmtId="176" fontId="29" fillId="0" borderId="0" xfId="0" applyNumberFormat="1" applyFont="1">
      <alignment vertical="center"/>
    </xf>
    <xf numFmtId="183" fontId="7" fillId="5" borderId="0" xfId="1" applyNumberFormat="1" applyFont="1" applyFill="1" applyBorder="1">
      <alignment vertical="center"/>
    </xf>
    <xf numFmtId="0" fontId="59" fillId="0" borderId="42" xfId="0" applyFont="1" applyBorder="1">
      <alignment vertical="center"/>
    </xf>
    <xf numFmtId="183" fontId="7" fillId="5" borderId="42" xfId="1" applyNumberFormat="1" applyFont="1" applyFill="1" applyBorder="1">
      <alignment vertical="center"/>
    </xf>
    <xf numFmtId="0" fontId="49" fillId="0" borderId="2" xfId="0" applyFont="1" applyBorder="1" applyAlignment="1">
      <alignment horizontal="left" vertical="center"/>
    </xf>
    <xf numFmtId="182" fontId="10" fillId="5" borderId="2" xfId="0" applyNumberFormat="1" applyFont="1" applyFill="1" applyBorder="1">
      <alignment vertical="center"/>
    </xf>
    <xf numFmtId="0" fontId="44" fillId="5" borderId="1" xfId="0" applyFont="1" applyFill="1" applyBorder="1">
      <alignment vertical="center"/>
    </xf>
    <xf numFmtId="0" fontId="45" fillId="5" borderId="1" xfId="0" applyFont="1" applyFill="1" applyBorder="1">
      <alignment vertical="center"/>
    </xf>
    <xf numFmtId="0" fontId="44" fillId="5" borderId="0" xfId="0" applyFont="1" applyFill="1">
      <alignment vertical="center"/>
    </xf>
    <xf numFmtId="0" fontId="45" fillId="5" borderId="0" xfId="0" applyFont="1" applyFill="1">
      <alignment vertical="center"/>
    </xf>
    <xf numFmtId="0" fontId="44" fillId="5" borderId="42" xfId="0" applyFont="1" applyFill="1" applyBorder="1">
      <alignment vertical="center"/>
    </xf>
    <xf numFmtId="0" fontId="45" fillId="5" borderId="42" xfId="0" applyFont="1" applyFill="1" applyBorder="1">
      <alignment vertical="center"/>
    </xf>
    <xf numFmtId="0" fontId="44" fillId="5" borderId="2" xfId="0" applyFont="1" applyFill="1" applyBorder="1">
      <alignment vertical="center"/>
    </xf>
    <xf numFmtId="0" fontId="45" fillId="5" borderId="2" xfId="0" applyFont="1" applyFill="1" applyBorder="1">
      <alignment vertical="center"/>
    </xf>
    <xf numFmtId="177" fontId="19" fillId="0" borderId="0" xfId="1" applyNumberFormat="1" applyFont="1" applyFill="1" applyBorder="1">
      <alignment vertical="center"/>
    </xf>
    <xf numFmtId="0" fontId="40" fillId="0" borderId="0" xfId="0" applyFont="1">
      <alignment vertical="center"/>
    </xf>
    <xf numFmtId="182" fontId="19" fillId="0" borderId="0" xfId="0" applyNumberFormat="1" applyFont="1">
      <alignment vertical="center"/>
    </xf>
    <xf numFmtId="43" fontId="40" fillId="0" borderId="0" xfId="0" applyNumberFormat="1" applyFont="1">
      <alignment vertical="center"/>
    </xf>
    <xf numFmtId="0" fontId="21" fillId="0" borderId="0" xfId="0" applyFont="1" applyAlignment="1">
      <alignment horizontal="center" vertical="center"/>
    </xf>
    <xf numFmtId="177" fontId="29" fillId="0" borderId="2" xfId="1" applyNumberFormat="1" applyFont="1" applyFill="1" applyBorder="1" applyAlignment="1">
      <alignment horizontal="right" vertical="center"/>
    </xf>
    <xf numFmtId="177" fontId="29" fillId="0" borderId="0" xfId="1" applyNumberFormat="1" applyFont="1" applyFill="1" applyAlignment="1">
      <alignment horizontal="right" vertical="center"/>
    </xf>
    <xf numFmtId="187" fontId="139" fillId="0" borderId="0" xfId="2" applyNumberFormat="1" applyFont="1" applyFill="1" applyBorder="1">
      <alignment vertical="center"/>
    </xf>
    <xf numFmtId="177" fontId="12" fillId="0" borderId="0" xfId="1" applyNumberFormat="1" applyFont="1" applyFill="1" applyBorder="1" applyAlignment="1">
      <alignment horizontal="right" vertical="center"/>
    </xf>
    <xf numFmtId="0" fontId="26" fillId="2" borderId="2" xfId="0" applyFont="1" applyFill="1" applyBorder="1" applyAlignment="1">
      <alignment horizontal="center" vertical="center"/>
    </xf>
    <xf numFmtId="177" fontId="12" fillId="0" borderId="1" xfId="1" applyNumberFormat="1" applyFont="1" applyBorder="1">
      <alignment vertical="center"/>
    </xf>
    <xf numFmtId="178" fontId="49" fillId="2" borderId="2" xfId="0" applyNumberFormat="1" applyFont="1" applyFill="1" applyBorder="1" applyAlignment="1">
      <alignment horizontal="center" vertical="center"/>
    </xf>
    <xf numFmtId="0" fontId="116" fillId="43" borderId="2" xfId="0" applyFont="1" applyFill="1" applyBorder="1" applyAlignment="1">
      <alignment horizontal="center" vertical="center"/>
    </xf>
    <xf numFmtId="0" fontId="49" fillId="2" borderId="0" xfId="0" applyFont="1" applyFill="1" applyAlignment="1">
      <alignment horizontal="center" vertical="center"/>
    </xf>
    <xf numFmtId="177" fontId="28" fillId="0" borderId="1" xfId="1" applyNumberFormat="1" applyFont="1" applyFill="1" applyBorder="1">
      <alignment vertical="center"/>
    </xf>
    <xf numFmtId="182" fontId="27" fillId="0" borderId="0" xfId="1" applyNumberFormat="1" applyFont="1" applyFill="1" applyBorder="1">
      <alignment vertical="center"/>
    </xf>
    <xf numFmtId="177" fontId="12" fillId="0" borderId="2" xfId="1" applyNumberFormat="1" applyFont="1" applyFill="1" applyBorder="1">
      <alignment vertical="center"/>
    </xf>
    <xf numFmtId="192" fontId="11" fillId="0" borderId="1" xfId="1" applyNumberFormat="1" applyFont="1" applyFill="1" applyBorder="1">
      <alignment vertical="center"/>
    </xf>
    <xf numFmtId="192" fontId="12" fillId="0" borderId="0" xfId="1" applyNumberFormat="1" applyFont="1" applyFill="1" applyBorder="1">
      <alignment vertical="center"/>
    </xf>
    <xf numFmtId="192" fontId="12" fillId="0" borderId="42" xfId="1" applyNumberFormat="1" applyFont="1" applyFill="1" applyBorder="1">
      <alignment vertical="center"/>
    </xf>
    <xf numFmtId="192" fontId="11" fillId="0" borderId="0" xfId="1" applyNumberFormat="1" applyFont="1" applyFill="1" applyBorder="1">
      <alignment vertical="center"/>
    </xf>
    <xf numFmtId="192" fontId="12" fillId="0" borderId="2" xfId="1" applyNumberFormat="1" applyFont="1" applyFill="1" applyBorder="1">
      <alignment vertical="center"/>
    </xf>
    <xf numFmtId="183" fontId="12" fillId="0" borderId="0" xfId="1" applyNumberFormat="1" applyFont="1" applyFill="1" applyBorder="1">
      <alignment vertical="center"/>
    </xf>
    <xf numFmtId="183" fontId="91" fillId="0" borderId="0" xfId="1" applyNumberFormat="1" applyFont="1" applyFill="1" applyBorder="1">
      <alignment vertical="center"/>
    </xf>
    <xf numFmtId="183" fontId="12" fillId="0" borderId="1" xfId="1" applyNumberFormat="1" applyFont="1" applyFill="1" applyBorder="1">
      <alignment vertical="center"/>
    </xf>
    <xf numFmtId="183" fontId="13" fillId="0" borderId="0" xfId="1" applyNumberFormat="1" applyFont="1" applyFill="1" applyBorder="1">
      <alignment vertical="center"/>
    </xf>
    <xf numFmtId="178" fontId="49" fillId="2" borderId="22" xfId="0" applyNumberFormat="1" applyFont="1" applyFill="1" applyBorder="1" applyAlignment="1">
      <alignment horizontal="center" vertical="center"/>
    </xf>
    <xf numFmtId="41" fontId="19" fillId="0" borderId="0" xfId="2" applyFont="1" applyFill="1" applyBorder="1">
      <alignment vertical="center"/>
    </xf>
    <xf numFmtId="41" fontId="27" fillId="0" borderId="0" xfId="2" applyFont="1" applyFill="1" applyBorder="1">
      <alignment vertical="center"/>
    </xf>
    <xf numFmtId="176" fontId="11" fillId="5" borderId="14" xfId="0" applyNumberFormat="1" applyFont="1" applyFill="1" applyBorder="1">
      <alignment vertical="center"/>
    </xf>
    <xf numFmtId="176" fontId="11" fillId="5" borderId="23" xfId="0" applyNumberFormat="1" applyFont="1" applyFill="1" applyBorder="1">
      <alignment vertical="center"/>
    </xf>
    <xf numFmtId="176" fontId="12" fillId="5" borderId="7" xfId="0" applyNumberFormat="1" applyFont="1" applyFill="1" applyBorder="1">
      <alignment vertical="center"/>
    </xf>
    <xf numFmtId="176" fontId="12" fillId="5" borderId="21" xfId="0" applyNumberFormat="1" applyFont="1" applyFill="1" applyBorder="1">
      <alignment vertical="center"/>
    </xf>
    <xf numFmtId="177" fontId="33" fillId="5" borderId="15" xfId="1" applyNumberFormat="1" applyFont="1" applyFill="1" applyBorder="1">
      <alignment vertical="center"/>
    </xf>
    <xf numFmtId="177" fontId="33" fillId="5" borderId="24" xfId="1" applyNumberFormat="1" applyFont="1" applyFill="1" applyBorder="1">
      <alignment vertical="center"/>
    </xf>
    <xf numFmtId="176" fontId="12" fillId="5" borderId="10" xfId="0" applyNumberFormat="1" applyFont="1" applyFill="1" applyBorder="1">
      <alignment vertical="center"/>
    </xf>
    <xf numFmtId="176" fontId="12" fillId="5" borderId="22" xfId="0" applyNumberFormat="1" applyFont="1" applyFill="1" applyBorder="1">
      <alignment vertical="center"/>
    </xf>
    <xf numFmtId="177" fontId="11" fillId="5" borderId="14" xfId="0" applyNumberFormat="1" applyFont="1" applyFill="1" applyBorder="1">
      <alignment vertical="center"/>
    </xf>
    <xf numFmtId="177" fontId="12" fillId="5" borderId="7" xfId="0" applyNumberFormat="1" applyFont="1" applyFill="1" applyBorder="1">
      <alignment vertical="center"/>
    </xf>
    <xf numFmtId="185" fontId="33" fillId="5" borderId="15" xfId="0" applyNumberFormat="1" applyFont="1" applyFill="1" applyBorder="1">
      <alignment vertical="center"/>
    </xf>
    <xf numFmtId="177" fontId="12" fillId="5" borderId="10" xfId="0" applyNumberFormat="1" applyFont="1" applyFill="1" applyBorder="1">
      <alignment vertical="center"/>
    </xf>
    <xf numFmtId="176" fontId="29" fillId="5" borderId="0" xfId="0" applyNumberFormat="1" applyFont="1" applyFill="1">
      <alignment vertical="center"/>
    </xf>
    <xf numFmtId="176" fontId="29" fillId="5" borderId="2" xfId="0" applyNumberFormat="1" applyFont="1" applyFill="1" applyBorder="1">
      <alignment vertical="center"/>
    </xf>
    <xf numFmtId="183" fontId="12" fillId="0" borderId="1" xfId="2" applyNumberFormat="1" applyFont="1" applyFill="1" applyBorder="1" applyAlignment="1">
      <alignment vertical="center"/>
    </xf>
    <xf numFmtId="10" fontId="0" fillId="0" borderId="0" xfId="0" applyNumberFormat="1">
      <alignment vertical="center"/>
    </xf>
    <xf numFmtId="181" fontId="85" fillId="10" borderId="0" xfId="6" applyNumberFormat="1" applyFont="1" applyFill="1" applyAlignment="1">
      <alignment vertical="center" wrapText="1"/>
    </xf>
    <xf numFmtId="177" fontId="10" fillId="5" borderId="0" xfId="1" applyNumberFormat="1" applyFont="1" applyFill="1" applyBorder="1">
      <alignment vertical="center"/>
    </xf>
    <xf numFmtId="177" fontId="7" fillId="5" borderId="0" xfId="1" applyNumberFormat="1" applyFont="1" applyFill="1" applyBorder="1">
      <alignment vertical="center"/>
    </xf>
    <xf numFmtId="177" fontId="7" fillId="5" borderId="42" xfId="1" applyNumberFormat="1" applyFont="1" applyFill="1" applyBorder="1">
      <alignment vertical="center"/>
    </xf>
    <xf numFmtId="177" fontId="10" fillId="5" borderId="2" xfId="1" applyNumberFormat="1" applyFont="1" applyFill="1" applyBorder="1">
      <alignment vertical="center"/>
    </xf>
    <xf numFmtId="177" fontId="30" fillId="5" borderId="2" xfId="1" applyNumberFormat="1" applyFont="1" applyFill="1" applyBorder="1">
      <alignment vertical="center"/>
    </xf>
    <xf numFmtId="183" fontId="10" fillId="0" borderId="0" xfId="0" applyNumberFormat="1" applyFont="1">
      <alignment vertical="center"/>
    </xf>
    <xf numFmtId="183" fontId="43" fillId="0" borderId="0" xfId="0" applyNumberFormat="1" applyFont="1">
      <alignment vertical="center"/>
    </xf>
    <xf numFmtId="183" fontId="43" fillId="5" borderId="0" xfId="0" applyNumberFormat="1" applyFont="1" applyFill="1">
      <alignment vertical="center"/>
    </xf>
    <xf numFmtId="183" fontId="22" fillId="0" borderId="0" xfId="0" applyNumberFormat="1" applyFont="1">
      <alignment vertical="center"/>
    </xf>
    <xf numFmtId="177" fontId="12" fillId="0" borderId="1" xfId="1" applyNumberFormat="1" applyFont="1" applyFill="1" applyBorder="1">
      <alignment vertical="center"/>
    </xf>
    <xf numFmtId="177" fontId="12" fillId="0" borderId="42" xfId="1" applyNumberFormat="1" applyFont="1" applyFill="1" applyBorder="1">
      <alignment vertical="center"/>
    </xf>
    <xf numFmtId="177" fontId="12" fillId="0" borderId="43" xfId="1" applyNumberFormat="1" applyFont="1" applyFill="1" applyBorder="1">
      <alignment vertical="center"/>
    </xf>
    <xf numFmtId="177" fontId="12" fillId="0" borderId="16" xfId="1" applyNumberFormat="1" applyFont="1" applyFill="1" applyBorder="1">
      <alignment vertical="center"/>
    </xf>
    <xf numFmtId="177" fontId="11" fillId="0" borderId="7" xfId="1" applyNumberFormat="1" applyFont="1" applyBorder="1">
      <alignment vertical="center"/>
    </xf>
    <xf numFmtId="178" fontId="49" fillId="2" borderId="1" xfId="0" applyNumberFormat="1" applyFont="1" applyFill="1" applyBorder="1">
      <alignment vertical="center"/>
    </xf>
    <xf numFmtId="178" fontId="29" fillId="2" borderId="10" xfId="0" applyNumberFormat="1" applyFont="1" applyFill="1" applyBorder="1" applyAlignment="1">
      <alignment horizontal="center" vertical="center"/>
    </xf>
    <xf numFmtId="0" fontId="22" fillId="0" borderId="43" xfId="0" applyFont="1" applyBorder="1">
      <alignment vertical="center"/>
    </xf>
    <xf numFmtId="0" fontId="49" fillId="2" borderId="23" xfId="0" applyFont="1" applyFill="1" applyBorder="1">
      <alignment vertical="center"/>
    </xf>
    <xf numFmtId="0" fontId="51" fillId="0" borderId="21" xfId="0" applyFont="1" applyBorder="1">
      <alignment vertical="center"/>
    </xf>
    <xf numFmtId="0" fontId="51" fillId="0" borderId="22" xfId="0" applyFont="1" applyBorder="1">
      <alignment vertical="center"/>
    </xf>
    <xf numFmtId="176" fontId="12" fillId="0" borderId="7" xfId="1" applyNumberFormat="1" applyFont="1" applyFill="1" applyBorder="1">
      <alignment vertical="center"/>
    </xf>
    <xf numFmtId="177" fontId="12" fillId="0" borderId="7" xfId="1" applyNumberFormat="1" applyFont="1" applyFill="1" applyBorder="1">
      <alignment vertical="center"/>
    </xf>
    <xf numFmtId="183" fontId="7" fillId="0" borderId="0" xfId="1" applyNumberFormat="1" applyFont="1" applyFill="1" applyBorder="1">
      <alignment vertical="center"/>
    </xf>
    <xf numFmtId="183" fontId="7" fillId="0" borderId="42" xfId="1" applyNumberFormat="1" applyFont="1" applyFill="1" applyBorder="1">
      <alignment vertical="center"/>
    </xf>
    <xf numFmtId="176" fontId="29" fillId="0" borderId="21" xfId="0" applyNumberFormat="1" applyFont="1" applyBorder="1">
      <alignment vertical="center"/>
    </xf>
    <xf numFmtId="183" fontId="43" fillId="0" borderId="21" xfId="0" applyNumberFormat="1" applyFont="1" applyBorder="1">
      <alignment vertical="center"/>
    </xf>
    <xf numFmtId="176" fontId="29" fillId="0" borderId="22" xfId="0" applyNumberFormat="1" applyFont="1" applyBorder="1">
      <alignment vertical="center"/>
    </xf>
    <xf numFmtId="182" fontId="10" fillId="0" borderId="21" xfId="0" applyNumberFormat="1" applyFont="1" applyBorder="1">
      <alignment vertical="center"/>
    </xf>
    <xf numFmtId="183" fontId="7" fillId="0" borderId="21" xfId="1" applyNumberFormat="1" applyFont="1" applyFill="1" applyBorder="1">
      <alignment vertical="center"/>
    </xf>
    <xf numFmtId="183" fontId="7" fillId="0" borderId="45" xfId="1" applyNumberFormat="1" applyFont="1" applyFill="1" applyBorder="1">
      <alignment vertical="center"/>
    </xf>
    <xf numFmtId="182" fontId="10" fillId="0" borderId="22" xfId="0" applyNumberFormat="1" applyFont="1" applyBorder="1">
      <alignment vertical="center"/>
    </xf>
    <xf numFmtId="176" fontId="30" fillId="0" borderId="22" xfId="0" applyNumberFormat="1" applyFont="1" applyBorder="1">
      <alignment vertical="center"/>
    </xf>
    <xf numFmtId="0" fontId="116" fillId="43" borderId="48" xfId="0" applyFont="1" applyFill="1" applyBorder="1" applyAlignment="1">
      <alignment horizontal="center" vertical="center"/>
    </xf>
    <xf numFmtId="176" fontId="29" fillId="0" borderId="49" xfId="0" applyNumberFormat="1" applyFont="1" applyBorder="1">
      <alignment vertical="center"/>
    </xf>
    <xf numFmtId="183" fontId="43" fillId="0" borderId="49" xfId="0" applyNumberFormat="1" applyFont="1" applyBorder="1">
      <alignment vertical="center"/>
    </xf>
    <xf numFmtId="176" fontId="29" fillId="0" borderId="48" xfId="0" applyNumberFormat="1" applyFont="1" applyBorder="1">
      <alignment vertical="center"/>
    </xf>
    <xf numFmtId="182" fontId="10" fillId="5" borderId="49" xfId="0" applyNumberFormat="1" applyFont="1" applyFill="1" applyBorder="1">
      <alignment vertical="center"/>
    </xf>
    <xf numFmtId="182" fontId="10" fillId="5" borderId="48" xfId="0" applyNumberFormat="1" applyFont="1" applyFill="1" applyBorder="1">
      <alignment vertical="center"/>
    </xf>
    <xf numFmtId="178" fontId="49" fillId="2" borderId="23" xfId="0" applyNumberFormat="1" applyFont="1" applyFill="1" applyBorder="1" applyAlignment="1">
      <alignment horizontal="centerContinuous" vertical="center"/>
    </xf>
    <xf numFmtId="0" fontId="29" fillId="2" borderId="21" xfId="0" applyFont="1" applyFill="1" applyBorder="1" applyAlignment="1">
      <alignment horizontal="center" vertical="center"/>
    </xf>
    <xf numFmtId="0" fontId="29" fillId="2" borderId="21" xfId="0" applyFont="1" applyFill="1" applyBorder="1" applyAlignment="1">
      <alignment horizontal="right" vertical="center"/>
    </xf>
    <xf numFmtId="177" fontId="12" fillId="0" borderId="21" xfId="1" applyNumberFormat="1" applyFont="1" applyFill="1" applyBorder="1">
      <alignment vertical="center"/>
    </xf>
    <xf numFmtId="177" fontId="12" fillId="0" borderId="22" xfId="1" applyNumberFormat="1" applyFont="1" applyFill="1" applyBorder="1">
      <alignment vertical="center"/>
    </xf>
    <xf numFmtId="176" fontId="12" fillId="0" borderId="21" xfId="1" applyNumberFormat="1" applyFont="1" applyFill="1" applyBorder="1">
      <alignment vertical="center"/>
    </xf>
    <xf numFmtId="177" fontId="27" fillId="0" borderId="21" xfId="1" applyNumberFormat="1" applyFont="1" applyFill="1" applyBorder="1">
      <alignment vertical="center"/>
    </xf>
    <xf numFmtId="183" fontId="12" fillId="0" borderId="23" xfId="2" applyNumberFormat="1" applyFont="1" applyFill="1" applyBorder="1" applyAlignment="1">
      <alignment vertical="center"/>
    </xf>
    <xf numFmtId="183" fontId="12" fillId="0" borderId="21" xfId="1" applyNumberFormat="1" applyFont="1" applyFill="1" applyBorder="1">
      <alignment vertical="center"/>
    </xf>
    <xf numFmtId="183" fontId="91" fillId="0" borderId="21" xfId="1" applyNumberFormat="1" applyFont="1" applyFill="1" applyBorder="1">
      <alignment vertical="center"/>
    </xf>
    <xf numFmtId="183" fontId="12" fillId="0" borderId="23" xfId="1" applyNumberFormat="1" applyFont="1" applyFill="1" applyBorder="1">
      <alignment vertical="center"/>
    </xf>
    <xf numFmtId="183" fontId="13" fillId="0" borderId="21" xfId="1" applyNumberFormat="1" applyFont="1" applyFill="1" applyBorder="1">
      <alignment vertical="center"/>
    </xf>
    <xf numFmtId="182" fontId="45" fillId="0" borderId="0" xfId="0" applyNumberFormat="1" applyFont="1" applyAlignment="1">
      <alignment horizontal="left" vertical="center"/>
    </xf>
    <xf numFmtId="192" fontId="11" fillId="0" borderId="23" xfId="1" applyNumberFormat="1" applyFont="1" applyFill="1" applyBorder="1">
      <alignment vertical="center"/>
    </xf>
    <xf numFmtId="192" fontId="12" fillId="0" borderId="21" xfId="1" applyNumberFormat="1" applyFont="1" applyFill="1" applyBorder="1">
      <alignment vertical="center"/>
    </xf>
    <xf numFmtId="192" fontId="12" fillId="0" borderId="45" xfId="1" applyNumberFormat="1" applyFont="1" applyFill="1" applyBorder="1">
      <alignment vertical="center"/>
    </xf>
    <xf numFmtId="192" fontId="11" fillId="0" borderId="21" xfId="1" applyNumberFormat="1" applyFont="1" applyFill="1" applyBorder="1">
      <alignment vertical="center"/>
    </xf>
    <xf numFmtId="192" fontId="12" fillId="0" borderId="22" xfId="1" applyNumberFormat="1" applyFont="1" applyFill="1" applyBorder="1">
      <alignment vertical="center"/>
    </xf>
    <xf numFmtId="176" fontId="12" fillId="0" borderId="7" xfId="0" applyNumberFormat="1" applyFont="1" applyBorder="1">
      <alignment vertical="center"/>
    </xf>
    <xf numFmtId="177" fontId="43" fillId="0" borderId="0" xfId="1" applyNumberFormat="1" applyFont="1" applyFill="1">
      <alignment vertical="center"/>
    </xf>
    <xf numFmtId="9" fontId="10" fillId="5" borderId="0" xfId="1" applyFont="1" applyFill="1" applyBorder="1">
      <alignment vertical="center"/>
    </xf>
    <xf numFmtId="9" fontId="10" fillId="0" borderId="21" xfId="1" applyFont="1" applyFill="1" applyBorder="1">
      <alignment vertical="center"/>
    </xf>
    <xf numFmtId="9" fontId="7" fillId="5" borderId="0" xfId="1" applyFont="1" applyFill="1" applyBorder="1">
      <alignment vertical="center"/>
    </xf>
    <xf numFmtId="9" fontId="7" fillId="0" borderId="21" xfId="1" applyFont="1" applyFill="1" applyBorder="1">
      <alignment vertical="center"/>
    </xf>
    <xf numFmtId="9" fontId="7" fillId="5" borderId="42" xfId="1" applyFont="1" applyFill="1" applyBorder="1">
      <alignment vertical="center"/>
    </xf>
    <xf numFmtId="9" fontId="7" fillId="0" borderId="45" xfId="1" applyFont="1" applyFill="1" applyBorder="1">
      <alignment vertical="center"/>
    </xf>
    <xf numFmtId="9" fontId="10" fillId="5" borderId="2" xfId="1" applyFont="1" applyFill="1" applyBorder="1">
      <alignment vertical="center"/>
    </xf>
    <xf numFmtId="9" fontId="10" fillId="0" borderId="22" xfId="1" applyFont="1" applyFill="1" applyBorder="1">
      <alignment vertical="center"/>
    </xf>
    <xf numFmtId="9" fontId="30" fillId="5" borderId="2" xfId="1" applyFont="1" applyFill="1" applyBorder="1">
      <alignment vertical="center"/>
    </xf>
    <xf numFmtId="9" fontId="30" fillId="0" borderId="22" xfId="1" applyFont="1" applyFill="1" applyBorder="1">
      <alignment vertical="center"/>
    </xf>
    <xf numFmtId="185" fontId="27" fillId="0" borderId="42" xfId="1" applyNumberFormat="1" applyFont="1" applyBorder="1">
      <alignment vertical="center"/>
    </xf>
    <xf numFmtId="193" fontId="19" fillId="0" borderId="0" xfId="0" applyNumberFormat="1" applyFont="1" applyAlignment="1">
      <alignment horizontal="center" vertical="center"/>
    </xf>
    <xf numFmtId="177" fontId="22" fillId="0" borderId="0" xfId="1" applyNumberFormat="1" applyFont="1">
      <alignment vertical="center"/>
    </xf>
    <xf numFmtId="194" fontId="10" fillId="5" borderId="0" xfId="0" applyNumberFormat="1" applyFont="1" applyFill="1">
      <alignment vertical="center"/>
    </xf>
    <xf numFmtId="194" fontId="10" fillId="0" borderId="21" xfId="0" applyNumberFormat="1" applyFont="1" applyBorder="1">
      <alignment vertical="center"/>
    </xf>
    <xf numFmtId="194" fontId="22" fillId="0" borderId="0" xfId="0" applyNumberFormat="1" applyFont="1">
      <alignment vertical="center"/>
    </xf>
    <xf numFmtId="194" fontId="7" fillId="5" borderId="0" xfId="1" applyNumberFormat="1" applyFont="1" applyFill="1" applyBorder="1">
      <alignment vertical="center"/>
    </xf>
    <xf numFmtId="194" fontId="7" fillId="0" borderId="21" xfId="1" applyNumberFormat="1" applyFont="1" applyFill="1" applyBorder="1">
      <alignment vertical="center"/>
    </xf>
    <xf numFmtId="194" fontId="7" fillId="0" borderId="0" xfId="1" applyNumberFormat="1" applyFont="1" applyFill="1" applyBorder="1">
      <alignment vertical="center"/>
    </xf>
    <xf numFmtId="194" fontId="7" fillId="5" borderId="42" xfId="1" applyNumberFormat="1" applyFont="1" applyFill="1" applyBorder="1">
      <alignment vertical="center"/>
    </xf>
    <xf numFmtId="194" fontId="7" fillId="0" borderId="45" xfId="1" applyNumberFormat="1" applyFont="1" applyFill="1" applyBorder="1">
      <alignment vertical="center"/>
    </xf>
    <xf numFmtId="194" fontId="7" fillId="0" borderId="42" xfId="1" applyNumberFormat="1" applyFont="1" applyFill="1" applyBorder="1">
      <alignment vertical="center"/>
    </xf>
    <xf numFmtId="194" fontId="10" fillId="5" borderId="2" xfId="0" applyNumberFormat="1" applyFont="1" applyFill="1" applyBorder="1">
      <alignment vertical="center"/>
    </xf>
    <xf numFmtId="194" fontId="10" fillId="0" borderId="22" xfId="0" applyNumberFormat="1" applyFont="1" applyBorder="1">
      <alignment vertical="center"/>
    </xf>
    <xf numFmtId="194" fontId="30" fillId="5" borderId="2" xfId="0" applyNumberFormat="1" applyFont="1" applyFill="1" applyBorder="1">
      <alignment vertical="center"/>
    </xf>
    <xf numFmtId="194" fontId="30" fillId="0" borderId="22" xfId="0" applyNumberFormat="1" applyFont="1" applyBorder="1">
      <alignment vertical="center"/>
    </xf>
    <xf numFmtId="185" fontId="26" fillId="0" borderId="0" xfId="1" applyNumberFormat="1" applyFont="1" applyBorder="1">
      <alignment vertical="center"/>
    </xf>
    <xf numFmtId="185" fontId="26" fillId="0" borderId="2" xfId="1" applyNumberFormat="1" applyFont="1" applyBorder="1">
      <alignment vertical="center"/>
    </xf>
    <xf numFmtId="185" fontId="28" fillId="0" borderId="16" xfId="1" applyNumberFormat="1" applyFont="1" applyBorder="1">
      <alignment vertical="center"/>
    </xf>
    <xf numFmtId="183" fontId="12" fillId="0" borderId="18" xfId="0" applyNumberFormat="1" applyFont="1" applyBorder="1">
      <alignment vertical="center"/>
    </xf>
    <xf numFmtId="183" fontId="12" fillId="0" borderId="16" xfId="0" applyNumberFormat="1" applyFont="1" applyBorder="1">
      <alignment vertical="center"/>
    </xf>
    <xf numFmtId="177" fontId="12" fillId="0" borderId="0" xfId="0" applyNumberFormat="1" applyFont="1">
      <alignment vertical="center"/>
    </xf>
    <xf numFmtId="10" fontId="12" fillId="0" borderId="0" xfId="0" applyNumberFormat="1" applyFont="1">
      <alignment vertical="center"/>
    </xf>
    <xf numFmtId="10" fontId="11" fillId="0" borderId="0" xfId="0" applyNumberFormat="1" applyFont="1">
      <alignment vertical="center"/>
    </xf>
    <xf numFmtId="10" fontId="28" fillId="0" borderId="46" xfId="0" applyNumberFormat="1" applyFont="1" applyBorder="1">
      <alignment vertical="center"/>
    </xf>
    <xf numFmtId="178" fontId="29" fillId="2" borderId="1" xfId="0" applyNumberFormat="1" applyFont="1" applyFill="1" applyBorder="1" applyAlignment="1">
      <alignment horizontal="center" vertical="center"/>
    </xf>
    <xf numFmtId="9" fontId="10" fillId="0" borderId="0" xfId="1" applyFont="1" applyFill="1" applyBorder="1">
      <alignment vertical="center"/>
    </xf>
    <xf numFmtId="9" fontId="7" fillId="0" borderId="0" xfId="1" applyFont="1" applyFill="1" applyBorder="1">
      <alignment vertical="center"/>
    </xf>
    <xf numFmtId="9" fontId="7" fillId="0" borderId="42" xfId="1" applyFont="1" applyFill="1" applyBorder="1">
      <alignment vertical="center"/>
    </xf>
    <xf numFmtId="9" fontId="10" fillId="0" borderId="2" xfId="1" applyFont="1" applyFill="1" applyBorder="1">
      <alignment vertical="center"/>
    </xf>
    <xf numFmtId="9" fontId="30" fillId="0" borderId="2" xfId="1" applyFont="1" applyFill="1" applyBorder="1">
      <alignment vertical="center"/>
    </xf>
    <xf numFmtId="194" fontId="10" fillId="0" borderId="2" xfId="0" applyNumberFormat="1" applyFont="1" applyBorder="1">
      <alignment vertical="center"/>
    </xf>
    <xf numFmtId="194" fontId="30" fillId="0" borderId="2" xfId="0" applyNumberFormat="1" applyFont="1" applyBorder="1">
      <alignment vertical="center"/>
    </xf>
    <xf numFmtId="182" fontId="10" fillId="0" borderId="2" xfId="0" applyNumberFormat="1" applyFont="1" applyBorder="1">
      <alignment vertical="center"/>
    </xf>
    <xf numFmtId="179" fontId="12" fillId="0" borderId="2" xfId="0" applyNumberFormat="1" applyFont="1" applyBorder="1">
      <alignment vertical="center"/>
    </xf>
    <xf numFmtId="10" fontId="12" fillId="0" borderId="16" xfId="0" applyNumberFormat="1" applyFont="1" applyBorder="1">
      <alignment vertical="center"/>
    </xf>
    <xf numFmtId="183" fontId="12" fillId="0" borderId="2" xfId="0" applyNumberFormat="1" applyFont="1" applyBorder="1">
      <alignment vertical="center"/>
    </xf>
    <xf numFmtId="192" fontId="11" fillId="0" borderId="2" xfId="0" applyNumberFormat="1" applyFont="1" applyBorder="1">
      <alignment vertical="center"/>
    </xf>
    <xf numFmtId="177" fontId="12" fillId="0" borderId="10" xfId="1" applyNumberFormat="1" applyFont="1" applyBorder="1" applyAlignment="1">
      <alignment horizontal="right" vertical="center"/>
    </xf>
    <xf numFmtId="183" fontId="19" fillId="0" borderId="0" xfId="0" quotePrefix="1" applyNumberFormat="1" applyFont="1">
      <alignment vertical="center"/>
    </xf>
    <xf numFmtId="182" fontId="27" fillId="0" borderId="2" xfId="0" applyNumberFormat="1" applyFont="1" applyBorder="1">
      <alignment vertical="center"/>
    </xf>
    <xf numFmtId="0" fontId="140" fillId="0" borderId="0" xfId="0" applyFont="1">
      <alignment vertical="center"/>
    </xf>
    <xf numFmtId="177" fontId="13" fillId="0" borderId="0" xfId="1" applyNumberFormat="1" applyFont="1" applyBorder="1">
      <alignment vertical="center"/>
    </xf>
    <xf numFmtId="177" fontId="13" fillId="0" borderId="2" xfId="1" applyNumberFormat="1" applyFont="1" applyBorder="1">
      <alignment vertical="center"/>
    </xf>
    <xf numFmtId="177" fontId="29" fillId="0" borderId="12" xfId="1" applyNumberFormat="1" applyFont="1" applyFill="1" applyBorder="1">
      <alignment vertical="center"/>
    </xf>
    <xf numFmtId="177" fontId="49" fillId="0" borderId="2" xfId="1" applyNumberFormat="1" applyFont="1" applyFill="1" applyBorder="1">
      <alignment vertical="center"/>
    </xf>
    <xf numFmtId="0" fontId="141" fillId="0" borderId="0" xfId="0" applyFont="1">
      <alignment vertical="center"/>
    </xf>
    <xf numFmtId="177" fontId="29" fillId="0" borderId="0" xfId="1" applyNumberFormat="1" applyFont="1" applyFill="1" applyBorder="1" applyAlignment="1">
      <alignment horizontal="right" vertical="center"/>
    </xf>
    <xf numFmtId="177" fontId="43" fillId="0" borderId="0" xfId="1" applyNumberFormat="1" applyFont="1" applyFill="1" applyBorder="1" applyAlignment="1">
      <alignment horizontal="right" vertical="center"/>
    </xf>
    <xf numFmtId="176" fontId="29" fillId="0" borderId="43" xfId="0" applyNumberFormat="1" applyFont="1" applyBorder="1">
      <alignment vertical="center"/>
    </xf>
    <xf numFmtId="176" fontId="29" fillId="5" borderId="43" xfId="0" applyNumberFormat="1" applyFont="1" applyFill="1" applyBorder="1">
      <alignment vertical="center"/>
    </xf>
    <xf numFmtId="176" fontId="29" fillId="0" borderId="52" xfId="0" applyNumberFormat="1" applyFont="1" applyBorder="1">
      <alignment vertical="center"/>
    </xf>
    <xf numFmtId="176" fontId="29" fillId="0" borderId="53" xfId="0" applyNumberFormat="1" applyFont="1" applyBorder="1">
      <alignment vertical="center"/>
    </xf>
    <xf numFmtId="177" fontId="29" fillId="0" borderId="43" xfId="1" applyNumberFormat="1" applyFont="1" applyFill="1" applyBorder="1" applyAlignment="1">
      <alignment horizontal="right" vertical="center"/>
    </xf>
    <xf numFmtId="0" fontId="54" fillId="0" borderId="42" xfId="0" applyFont="1" applyBorder="1">
      <alignment vertical="center"/>
    </xf>
    <xf numFmtId="176" fontId="29" fillId="0" borderId="42" xfId="0" applyNumberFormat="1" applyFont="1" applyBorder="1">
      <alignment vertical="center"/>
    </xf>
    <xf numFmtId="176" fontId="29" fillId="5" borderId="42" xfId="0" applyNumberFormat="1" applyFont="1" applyFill="1" applyBorder="1">
      <alignment vertical="center"/>
    </xf>
    <xf numFmtId="176" fontId="29" fillId="0" borderId="45" xfId="0" applyNumberFormat="1" applyFont="1" applyBorder="1">
      <alignment vertical="center"/>
    </xf>
    <xf numFmtId="176" fontId="29" fillId="0" borderId="50" xfId="0" applyNumberFormat="1" applyFont="1" applyBorder="1">
      <alignment vertical="center"/>
    </xf>
    <xf numFmtId="177" fontId="29" fillId="0" borderId="42" xfId="1" applyNumberFormat="1" applyFont="1" applyFill="1" applyBorder="1" applyAlignment="1">
      <alignment horizontal="right" vertical="center"/>
    </xf>
    <xf numFmtId="0" fontId="54" fillId="0" borderId="43" xfId="0" applyFont="1" applyBorder="1">
      <alignment vertical="center"/>
    </xf>
    <xf numFmtId="0" fontId="49" fillId="0" borderId="0" xfId="0" applyFont="1" applyAlignment="1">
      <alignment horizontal="left" vertical="center"/>
    </xf>
    <xf numFmtId="0" fontId="142" fillId="0" borderId="0" xfId="0" applyFont="1">
      <alignment vertical="center"/>
    </xf>
    <xf numFmtId="183" fontId="30" fillId="0" borderId="0" xfId="0" applyNumberFormat="1" applyFont="1">
      <alignment vertical="center"/>
    </xf>
    <xf numFmtId="177" fontId="27" fillId="0" borderId="2" xfId="0" applyNumberFormat="1" applyFont="1" applyBorder="1">
      <alignment vertical="center"/>
    </xf>
    <xf numFmtId="195" fontId="12" fillId="0" borderId="2" xfId="0" applyNumberFormat="1" applyFont="1" applyBorder="1">
      <alignment vertical="center"/>
    </xf>
    <xf numFmtId="178" fontId="49" fillId="2" borderId="1" xfId="0" applyNumberFormat="1" applyFont="1" applyFill="1" applyBorder="1" applyAlignment="1">
      <alignment horizontal="center" vertical="center"/>
    </xf>
    <xf numFmtId="10" fontId="28" fillId="0" borderId="17" xfId="0" applyNumberFormat="1" applyFont="1" applyBorder="1">
      <alignment vertical="center"/>
    </xf>
    <xf numFmtId="182" fontId="10" fillId="8" borderId="0" xfId="0" applyNumberFormat="1" applyFont="1" applyFill="1">
      <alignment vertical="center"/>
    </xf>
    <xf numFmtId="183" fontId="7" fillId="8" borderId="0" xfId="1" applyNumberFormat="1" applyFont="1" applyFill="1" applyBorder="1">
      <alignment vertical="center"/>
    </xf>
    <xf numFmtId="183" fontId="7" fillId="8" borderId="42" xfId="1" applyNumberFormat="1" applyFont="1" applyFill="1" applyBorder="1">
      <alignment vertical="center"/>
    </xf>
    <xf numFmtId="182" fontId="10" fillId="8" borderId="2" xfId="0" applyNumberFormat="1" applyFont="1" applyFill="1" applyBorder="1">
      <alignment vertical="center"/>
    </xf>
    <xf numFmtId="176" fontId="30" fillId="8" borderId="2" xfId="0" applyNumberFormat="1" applyFont="1" applyFill="1" applyBorder="1">
      <alignment vertical="center"/>
    </xf>
    <xf numFmtId="9" fontId="7" fillId="8" borderId="0" xfId="1" applyFont="1" applyFill="1" applyBorder="1">
      <alignment vertical="center"/>
    </xf>
    <xf numFmtId="9" fontId="7" fillId="8" borderId="42" xfId="1" applyFont="1" applyFill="1" applyBorder="1">
      <alignment vertical="center"/>
    </xf>
    <xf numFmtId="9" fontId="10" fillId="8" borderId="2" xfId="1" applyFont="1" applyFill="1" applyBorder="1">
      <alignment vertical="center"/>
    </xf>
    <xf numFmtId="9" fontId="30" fillId="8" borderId="2" xfId="1" applyFont="1" applyFill="1" applyBorder="1">
      <alignment vertical="center"/>
    </xf>
    <xf numFmtId="194" fontId="10" fillId="8" borderId="0" xfId="0" applyNumberFormat="1" applyFont="1" applyFill="1">
      <alignment vertical="center"/>
    </xf>
    <xf numFmtId="194" fontId="7" fillId="8" borderId="0" xfId="1" applyNumberFormat="1" applyFont="1" applyFill="1" applyBorder="1">
      <alignment vertical="center"/>
    </xf>
    <xf numFmtId="194" fontId="7" fillId="8" borderId="42" xfId="1" applyNumberFormat="1" applyFont="1" applyFill="1" applyBorder="1">
      <alignment vertical="center"/>
    </xf>
    <xf numFmtId="194" fontId="10" fillId="8" borderId="2" xfId="0" applyNumberFormat="1" applyFont="1" applyFill="1" applyBorder="1">
      <alignment vertical="center"/>
    </xf>
    <xf numFmtId="194" fontId="30" fillId="8" borderId="2" xfId="0" applyNumberFormat="1" applyFont="1" applyFill="1" applyBorder="1">
      <alignment vertical="center"/>
    </xf>
    <xf numFmtId="185" fontId="12" fillId="0" borderId="0" xfId="1" applyNumberFormat="1" applyFont="1" applyBorder="1">
      <alignment vertical="center"/>
    </xf>
    <xf numFmtId="0" fontId="26" fillId="0" borderId="0" xfId="0" applyFont="1">
      <alignment vertical="center"/>
    </xf>
    <xf numFmtId="0" fontId="54" fillId="0" borderId="0" xfId="0" applyFont="1" applyAlignment="1"/>
    <xf numFmtId="177" fontId="12" fillId="0" borderId="7" xfId="1" applyNumberFormat="1" applyFont="1" applyBorder="1" applyAlignment="1">
      <alignment horizontal="right" vertical="center"/>
    </xf>
    <xf numFmtId="176" fontId="29" fillId="0" borderId="1" xfId="0" applyNumberFormat="1" applyFont="1" applyBorder="1">
      <alignment vertical="center"/>
    </xf>
    <xf numFmtId="194" fontId="10" fillId="0" borderId="0" xfId="0" applyNumberFormat="1" applyFont="1">
      <alignment vertical="center"/>
    </xf>
    <xf numFmtId="183" fontId="27" fillId="0" borderId="52" xfId="2" applyNumberFormat="1" applyFont="1" applyBorder="1">
      <alignment vertical="center"/>
    </xf>
    <xf numFmtId="176" fontId="12" fillId="5" borderId="51" xfId="0" applyNumberFormat="1" applyFont="1" applyFill="1" applyBorder="1">
      <alignment vertical="center"/>
    </xf>
    <xf numFmtId="177" fontId="7" fillId="0" borderId="0" xfId="0" applyNumberFormat="1" applyFont="1" applyAlignment="1">
      <alignment horizontal="right" vertical="center"/>
    </xf>
    <xf numFmtId="183" fontId="29" fillId="0" borderId="0" xfId="0" applyNumberFormat="1" applyFont="1" applyAlignment="1">
      <alignment horizontal="right" vertical="center"/>
    </xf>
    <xf numFmtId="183" fontId="29" fillId="0" borderId="47" xfId="0" applyNumberFormat="1" applyFont="1" applyBorder="1" applyAlignment="1">
      <alignment horizontal="right" vertical="center"/>
    </xf>
    <xf numFmtId="183" fontId="43" fillId="0" borderId="0" xfId="0" applyNumberFormat="1" applyFont="1" applyAlignment="1">
      <alignment horizontal="right" vertical="center"/>
    </xf>
    <xf numFmtId="183" fontId="43" fillId="0" borderId="49" xfId="0" applyNumberFormat="1" applyFont="1" applyBorder="1" applyAlignment="1">
      <alignment horizontal="right" vertical="center"/>
    </xf>
    <xf numFmtId="183" fontId="29" fillId="0" borderId="49" xfId="0" applyNumberFormat="1" applyFont="1" applyBorder="1" applyAlignment="1">
      <alignment horizontal="right" vertical="center"/>
    </xf>
    <xf numFmtId="183" fontId="30" fillId="0" borderId="2" xfId="0" applyNumberFormat="1" applyFont="1" applyBorder="1" applyAlignment="1">
      <alignment horizontal="right" vertical="center"/>
    </xf>
    <xf numFmtId="183" fontId="30" fillId="0" borderId="48" xfId="0" applyNumberFormat="1" applyFont="1" applyBorder="1" applyAlignment="1">
      <alignment horizontal="right" vertical="center"/>
    </xf>
    <xf numFmtId="195" fontId="12" fillId="0" borderId="0" xfId="0" applyNumberFormat="1" applyFont="1">
      <alignment vertical="center"/>
    </xf>
    <xf numFmtId="195" fontId="11" fillId="0" borderId="13" xfId="0" applyNumberFormat="1" applyFont="1" applyBorder="1">
      <alignment vertical="center"/>
    </xf>
    <xf numFmtId="195" fontId="28" fillId="0" borderId="2" xfId="0" applyNumberFormat="1" applyFont="1" applyBorder="1">
      <alignment vertical="center"/>
    </xf>
    <xf numFmtId="9" fontId="30" fillId="0" borderId="0" xfId="1" applyFont="1" applyFill="1" applyBorder="1">
      <alignment vertical="center"/>
    </xf>
    <xf numFmtId="176" fontId="30" fillId="0" borderId="47" xfId="0" applyNumberFormat="1" applyFont="1" applyBorder="1">
      <alignment vertical="center"/>
    </xf>
    <xf numFmtId="176" fontId="30" fillId="0" borderId="49" xfId="0" applyNumberFormat="1" applyFont="1" applyBorder="1">
      <alignment vertical="center"/>
    </xf>
    <xf numFmtId="182" fontId="7" fillId="5" borderId="0" xfId="1" applyNumberFormat="1" applyFont="1" applyFill="1" applyBorder="1">
      <alignment vertical="center"/>
    </xf>
    <xf numFmtId="182" fontId="7" fillId="5" borderId="42" xfId="1" applyNumberFormat="1" applyFont="1" applyFill="1" applyBorder="1">
      <alignment vertical="center"/>
    </xf>
    <xf numFmtId="182" fontId="30" fillId="5" borderId="2" xfId="0" applyNumberFormat="1" applyFont="1" applyFill="1" applyBorder="1">
      <alignment vertical="center"/>
    </xf>
    <xf numFmtId="0" fontId="144" fillId="0" borderId="0" xfId="0" applyFont="1">
      <alignment vertical="center"/>
    </xf>
    <xf numFmtId="177" fontId="27" fillId="0" borderId="0" xfId="1" applyNumberFormat="1" applyFont="1" applyBorder="1">
      <alignment vertical="center"/>
    </xf>
    <xf numFmtId="177" fontId="28" fillId="0" borderId="0" xfId="1" applyNumberFormat="1" applyFont="1" applyFill="1" applyBorder="1">
      <alignment vertical="center"/>
    </xf>
    <xf numFmtId="0" fontId="145" fillId="0" borderId="0" xfId="0" applyFont="1">
      <alignment vertical="center"/>
    </xf>
    <xf numFmtId="187" fontId="19" fillId="0" borderId="0" xfId="2" applyNumberFormat="1" applyFont="1" applyBorder="1">
      <alignment vertical="center"/>
    </xf>
    <xf numFmtId="176" fontId="30" fillId="0" borderId="1" xfId="0" applyNumberFormat="1" applyFont="1" applyBorder="1">
      <alignment vertical="center"/>
    </xf>
    <xf numFmtId="9" fontId="10" fillId="8" borderId="0" xfId="1" applyFont="1" applyFill="1" applyBorder="1">
      <alignment vertical="center"/>
    </xf>
    <xf numFmtId="182" fontId="10" fillId="0" borderId="0" xfId="0" applyNumberFormat="1" applyFont="1">
      <alignment vertical="center"/>
    </xf>
    <xf numFmtId="178" fontId="49" fillId="2" borderId="10" xfId="0" applyNumberFormat="1" applyFont="1" applyFill="1" applyBorder="1" applyAlignment="1">
      <alignment horizontal="center" vertical="center"/>
    </xf>
    <xf numFmtId="176" fontId="29" fillId="0" borderId="7" xfId="0" applyNumberFormat="1" applyFont="1" applyBorder="1">
      <alignment vertical="center"/>
    </xf>
    <xf numFmtId="183" fontId="43" fillId="0" borderId="7" xfId="0" applyNumberFormat="1" applyFont="1" applyBorder="1">
      <alignment vertical="center"/>
    </xf>
    <xf numFmtId="176" fontId="29" fillId="0" borderId="55" xfId="0" applyNumberFormat="1" applyFont="1" applyBorder="1">
      <alignment vertical="center"/>
    </xf>
    <xf numFmtId="176" fontId="29" fillId="0" borderId="56" xfId="0" applyNumberFormat="1" applyFont="1" applyBorder="1">
      <alignment vertical="center"/>
    </xf>
    <xf numFmtId="176" fontId="29" fillId="0" borderId="10" xfId="0" applyNumberFormat="1" applyFont="1" applyBorder="1">
      <alignment vertical="center"/>
    </xf>
    <xf numFmtId="182" fontId="10" fillId="0" borderId="7" xfId="0" applyNumberFormat="1" applyFont="1" applyBorder="1">
      <alignment vertical="center"/>
    </xf>
    <xf numFmtId="183" fontId="7" fillId="0" borderId="7" xfId="1" applyNumberFormat="1" applyFont="1" applyFill="1" applyBorder="1">
      <alignment vertical="center"/>
    </xf>
    <xf numFmtId="183" fontId="7" fillId="0" borderId="56" xfId="1" applyNumberFormat="1" applyFont="1" applyFill="1" applyBorder="1">
      <alignment vertical="center"/>
    </xf>
    <xf numFmtId="182" fontId="10" fillId="0" borderId="10" xfId="0" applyNumberFormat="1" applyFont="1" applyBorder="1">
      <alignment vertical="center"/>
    </xf>
    <xf numFmtId="176" fontId="30" fillId="0" borderId="10" xfId="0" applyNumberFormat="1" applyFont="1" applyBorder="1">
      <alignment vertical="center"/>
    </xf>
    <xf numFmtId="9" fontId="10" fillId="0" borderId="7" xfId="1" applyFont="1" applyFill="1" applyBorder="1">
      <alignment vertical="center"/>
    </xf>
    <xf numFmtId="9" fontId="7" fillId="0" borderId="7" xfId="1" applyFont="1" applyFill="1" applyBorder="1">
      <alignment vertical="center"/>
    </xf>
    <xf numFmtId="9" fontId="7" fillId="0" borderId="56" xfId="1" applyFont="1" applyFill="1" applyBorder="1">
      <alignment vertical="center"/>
    </xf>
    <xf numFmtId="9" fontId="10" fillId="0" borderId="10" xfId="1" applyFont="1" applyFill="1" applyBorder="1">
      <alignment vertical="center"/>
    </xf>
    <xf numFmtId="9" fontId="30" fillId="0" borderId="10" xfId="1" applyFont="1" applyFill="1" applyBorder="1">
      <alignment vertical="center"/>
    </xf>
    <xf numFmtId="194" fontId="10" fillId="0" borderId="7" xfId="0" applyNumberFormat="1" applyFont="1" applyBorder="1">
      <alignment vertical="center"/>
    </xf>
    <xf numFmtId="194" fontId="7" fillId="0" borderId="7" xfId="1" applyNumberFormat="1" applyFont="1" applyFill="1" applyBorder="1">
      <alignment vertical="center"/>
    </xf>
    <xf numFmtId="194" fontId="7" fillId="0" borderId="56" xfId="1" applyNumberFormat="1" applyFont="1" applyFill="1" applyBorder="1">
      <alignment vertical="center"/>
    </xf>
    <xf numFmtId="194" fontId="10" fillId="0" borderId="10" xfId="0" applyNumberFormat="1" applyFont="1" applyBorder="1">
      <alignment vertical="center"/>
    </xf>
    <xf numFmtId="194" fontId="30" fillId="0" borderId="10" xfId="0" applyNumberFormat="1" applyFont="1" applyBorder="1">
      <alignment vertical="center"/>
    </xf>
    <xf numFmtId="182" fontId="7" fillId="5" borderId="49" xfId="1" applyNumberFormat="1" applyFont="1" applyFill="1" applyBorder="1">
      <alignment vertical="center"/>
    </xf>
    <xf numFmtId="182" fontId="7" fillId="5" borderId="50" xfId="1" applyNumberFormat="1" applyFont="1" applyFill="1" applyBorder="1">
      <alignment vertical="center"/>
    </xf>
    <xf numFmtId="182" fontId="30" fillId="5" borderId="48" xfId="0" applyNumberFormat="1" applyFont="1" applyFill="1" applyBorder="1">
      <alignment vertical="center"/>
    </xf>
    <xf numFmtId="177" fontId="28" fillId="0" borderId="14" xfId="1" applyNumberFormat="1" applyFont="1" applyFill="1" applyBorder="1">
      <alignment vertical="center"/>
    </xf>
    <xf numFmtId="182" fontId="27" fillId="0" borderId="7" xfId="1" applyNumberFormat="1" applyFont="1" applyFill="1" applyBorder="1">
      <alignment vertical="center"/>
    </xf>
    <xf numFmtId="176" fontId="11" fillId="0" borderId="7" xfId="0" applyNumberFormat="1" applyFont="1" applyBorder="1">
      <alignment vertical="center"/>
    </xf>
    <xf numFmtId="10" fontId="12" fillId="0" borderId="7" xfId="0" applyNumberFormat="1" applyFont="1" applyBorder="1">
      <alignment vertical="center"/>
    </xf>
    <xf numFmtId="177" fontId="12" fillId="0" borderId="10" xfId="1" applyNumberFormat="1" applyFont="1" applyFill="1" applyBorder="1">
      <alignment vertical="center"/>
    </xf>
    <xf numFmtId="10" fontId="11" fillId="0" borderId="7" xfId="0" applyNumberFormat="1" applyFont="1" applyBorder="1">
      <alignment vertical="center"/>
    </xf>
    <xf numFmtId="176" fontId="11" fillId="0" borderId="21" xfId="0" applyNumberFormat="1" applyFont="1" applyBorder="1">
      <alignment vertical="center"/>
    </xf>
    <xf numFmtId="177" fontId="12" fillId="0" borderId="21" xfId="0" applyNumberFormat="1" applyFont="1" applyBorder="1">
      <alignment vertical="center"/>
    </xf>
    <xf numFmtId="10" fontId="12" fillId="0" borderId="21" xfId="0" applyNumberFormat="1" applyFont="1" applyBorder="1">
      <alignment vertical="center"/>
    </xf>
    <xf numFmtId="10" fontId="11" fillId="0" borderId="21" xfId="0" applyNumberFormat="1" applyFont="1" applyBorder="1">
      <alignment vertical="center"/>
    </xf>
    <xf numFmtId="10" fontId="28" fillId="0" borderId="44" xfId="0" applyNumberFormat="1" applyFont="1" applyBorder="1">
      <alignment vertical="center"/>
    </xf>
    <xf numFmtId="177" fontId="27" fillId="0" borderId="7" xfId="1" applyNumberFormat="1" applyFont="1" applyFill="1" applyBorder="1">
      <alignment vertical="center"/>
    </xf>
    <xf numFmtId="0" fontId="19" fillId="0" borderId="7" xfId="0" applyFont="1" applyBorder="1">
      <alignment vertical="center"/>
    </xf>
    <xf numFmtId="179" fontId="12" fillId="0" borderId="10" xfId="0" applyNumberFormat="1" applyFont="1" applyBorder="1">
      <alignment vertical="center"/>
    </xf>
    <xf numFmtId="179" fontId="12" fillId="0" borderId="22" xfId="0" applyNumberFormat="1" applyFont="1" applyBorder="1">
      <alignment vertical="center"/>
    </xf>
    <xf numFmtId="183" fontId="12" fillId="0" borderId="14" xfId="2" applyNumberFormat="1" applyFont="1" applyFill="1" applyBorder="1" applyAlignment="1">
      <alignment vertical="center"/>
    </xf>
    <xf numFmtId="183" fontId="12" fillId="0" borderId="7" xfId="1" applyNumberFormat="1" applyFont="1" applyFill="1" applyBorder="1">
      <alignment vertical="center"/>
    </xf>
    <xf numFmtId="183" fontId="91" fillId="0" borderId="7" xfId="1" applyNumberFormat="1" applyFont="1" applyFill="1" applyBorder="1">
      <alignment vertical="center"/>
    </xf>
    <xf numFmtId="183" fontId="12" fillId="0" borderId="10" xfId="0" applyNumberFormat="1" applyFont="1" applyBorder="1">
      <alignment vertical="center"/>
    </xf>
    <xf numFmtId="183" fontId="12" fillId="0" borderId="14" xfId="1" applyNumberFormat="1" applyFont="1" applyFill="1" applyBorder="1">
      <alignment vertical="center"/>
    </xf>
    <xf numFmtId="183" fontId="13" fillId="0" borderId="7" xfId="1" applyNumberFormat="1" applyFont="1" applyFill="1" applyBorder="1">
      <alignment vertical="center"/>
    </xf>
    <xf numFmtId="10" fontId="12" fillId="0" borderId="29" xfId="0" applyNumberFormat="1" applyFont="1" applyBorder="1">
      <alignment vertical="center"/>
    </xf>
    <xf numFmtId="183" fontId="12" fillId="0" borderId="22" xfId="0" applyNumberFormat="1" applyFont="1" applyBorder="1">
      <alignment vertical="center"/>
    </xf>
    <xf numFmtId="10" fontId="12" fillId="0" borderId="18" xfId="0" applyNumberFormat="1" applyFont="1" applyBorder="1">
      <alignment vertical="center"/>
    </xf>
    <xf numFmtId="192" fontId="11" fillId="0" borderId="14" xfId="1" applyNumberFormat="1" applyFont="1" applyFill="1" applyBorder="1">
      <alignment vertical="center"/>
    </xf>
    <xf numFmtId="192" fontId="12" fillId="0" borderId="7" xfId="1" applyNumberFormat="1" applyFont="1" applyFill="1" applyBorder="1">
      <alignment vertical="center"/>
    </xf>
    <xf numFmtId="192" fontId="12" fillId="0" borderId="56" xfId="1" applyNumberFormat="1" applyFont="1" applyFill="1" applyBorder="1">
      <alignment vertical="center"/>
    </xf>
    <xf numFmtId="192" fontId="11" fillId="0" borderId="7" xfId="1" applyNumberFormat="1" applyFont="1" applyFill="1" applyBorder="1">
      <alignment vertical="center"/>
    </xf>
    <xf numFmtId="192" fontId="12" fillId="0" borderId="10" xfId="1" applyNumberFormat="1" applyFont="1" applyFill="1" applyBorder="1">
      <alignment vertical="center"/>
    </xf>
    <xf numFmtId="192" fontId="11" fillId="0" borderId="10" xfId="0" applyNumberFormat="1" applyFont="1" applyBorder="1">
      <alignment vertical="center"/>
    </xf>
    <xf numFmtId="192" fontId="11" fillId="0" borderId="22" xfId="0" applyNumberFormat="1" applyFont="1" applyBorder="1">
      <alignment vertical="center"/>
    </xf>
    <xf numFmtId="9" fontId="10" fillId="0" borderId="49" xfId="1" applyFont="1" applyFill="1" applyBorder="1">
      <alignment vertical="center"/>
    </xf>
    <xf numFmtId="9" fontId="7" fillId="0" borderId="49" xfId="1" applyFont="1" applyFill="1" applyBorder="1">
      <alignment vertical="center"/>
    </xf>
    <xf numFmtId="9" fontId="7" fillId="0" borderId="50" xfId="1" applyFont="1" applyFill="1" applyBorder="1">
      <alignment vertical="center"/>
    </xf>
    <xf numFmtId="9" fontId="10" fillId="0" borderId="48" xfId="1" applyFont="1" applyFill="1" applyBorder="1">
      <alignment vertical="center"/>
    </xf>
    <xf numFmtId="9" fontId="30" fillId="0" borderId="48" xfId="1" applyFont="1" applyFill="1" applyBorder="1">
      <alignment vertical="center"/>
    </xf>
    <xf numFmtId="194" fontId="7" fillId="0" borderId="49" xfId="1" applyNumberFormat="1" applyFont="1" applyFill="1" applyBorder="1">
      <alignment vertical="center"/>
    </xf>
    <xf numFmtId="194" fontId="7" fillId="0" borderId="50" xfId="1" applyNumberFormat="1" applyFont="1" applyFill="1" applyBorder="1">
      <alignment vertical="center"/>
    </xf>
    <xf numFmtId="9" fontId="19" fillId="0" borderId="0" xfId="1" applyFont="1">
      <alignment vertical="center"/>
    </xf>
    <xf numFmtId="9" fontId="27" fillId="0" borderId="0" xfId="1" applyFont="1">
      <alignment vertical="center"/>
    </xf>
    <xf numFmtId="176" fontId="30" fillId="0" borderId="2" xfId="0" applyNumberFormat="1" applyFont="1" applyFill="1" applyBorder="1">
      <alignment vertical="center"/>
    </xf>
    <xf numFmtId="177" fontId="28" fillId="0" borderId="23" xfId="1" applyNumberFormat="1" applyFont="1" applyFill="1" applyBorder="1">
      <alignment vertical="center"/>
    </xf>
    <xf numFmtId="182" fontId="27" fillId="0" borderId="21" xfId="1" applyNumberFormat="1" applyFont="1" applyFill="1" applyBorder="1">
      <alignment vertical="center"/>
    </xf>
    <xf numFmtId="182" fontId="27" fillId="0" borderId="22" xfId="0" applyNumberFormat="1" applyFont="1" applyFill="1" applyBorder="1">
      <alignment vertical="center"/>
    </xf>
    <xf numFmtId="181" fontId="89" fillId="0" borderId="27" xfId="4" applyNumberFormat="1" applyFont="1" applyFill="1" applyBorder="1">
      <alignment vertical="center"/>
    </xf>
    <xf numFmtId="181" fontId="88" fillId="0" borderId="27" xfId="4" applyNumberFormat="1" applyFont="1" applyFill="1" applyBorder="1">
      <alignment vertical="center"/>
    </xf>
    <xf numFmtId="183" fontId="27" fillId="3" borderId="0" xfId="0" applyNumberFormat="1" applyFont="1" applyFill="1" applyBorder="1">
      <alignment vertical="center"/>
    </xf>
    <xf numFmtId="177" fontId="28" fillId="0" borderId="4" xfId="0" applyNumberFormat="1" applyFont="1" applyFill="1" applyBorder="1" applyAlignment="1">
      <alignment horizontal="right" vertical="center"/>
    </xf>
    <xf numFmtId="177" fontId="11" fillId="0" borderId="7" xfId="0" applyNumberFormat="1" applyFont="1" applyFill="1" applyBorder="1">
      <alignment vertical="center"/>
    </xf>
    <xf numFmtId="177" fontId="26" fillId="0" borderId="7" xfId="0" applyNumberFormat="1" applyFont="1" applyFill="1" applyBorder="1">
      <alignment vertical="center"/>
    </xf>
    <xf numFmtId="177" fontId="28" fillId="0" borderId="7" xfId="0" applyNumberFormat="1" applyFont="1" applyFill="1" applyBorder="1">
      <alignment vertical="center"/>
    </xf>
    <xf numFmtId="0" fontId="45" fillId="0" borderId="0" xfId="0" applyFont="1" applyFill="1">
      <alignment vertical="center"/>
    </xf>
    <xf numFmtId="0" fontId="44" fillId="0" borderId="0" xfId="0" applyFont="1" applyFill="1">
      <alignment vertical="center"/>
    </xf>
    <xf numFmtId="0" fontId="19" fillId="0" borderId="0" xfId="0" applyFont="1" applyFill="1">
      <alignment vertical="center"/>
    </xf>
    <xf numFmtId="176" fontId="29" fillId="8" borderId="0" xfId="0" applyNumberFormat="1" applyFont="1" applyFill="1">
      <alignment vertical="center"/>
    </xf>
    <xf numFmtId="183" fontId="43" fillId="8" borderId="0" xfId="0" applyNumberFormat="1" applyFont="1" applyFill="1">
      <alignment vertical="center"/>
    </xf>
    <xf numFmtId="176" fontId="29" fillId="8" borderId="43" xfId="0" applyNumberFormat="1" applyFont="1" applyFill="1" applyBorder="1">
      <alignment vertical="center"/>
    </xf>
    <xf numFmtId="176" fontId="29" fillId="8" borderId="42" xfId="0" applyNumberFormat="1" applyFont="1" applyFill="1" applyBorder="1">
      <alignment vertical="center"/>
    </xf>
    <xf numFmtId="176" fontId="29" fillId="0" borderId="14" xfId="0" applyNumberFormat="1" applyFont="1" applyFill="1" applyBorder="1">
      <alignment vertical="center"/>
    </xf>
    <xf numFmtId="183" fontId="43" fillId="0" borderId="7" xfId="0" applyNumberFormat="1" applyFont="1" applyFill="1" applyBorder="1">
      <alignment vertical="center"/>
    </xf>
    <xf numFmtId="176" fontId="29" fillId="0" borderId="7" xfId="0" applyNumberFormat="1" applyFont="1" applyFill="1" applyBorder="1">
      <alignment vertical="center"/>
    </xf>
    <xf numFmtId="176" fontId="29" fillId="0" borderId="55" xfId="0" applyNumberFormat="1" applyFont="1" applyFill="1" applyBorder="1">
      <alignment vertical="center"/>
    </xf>
    <xf numFmtId="176" fontId="29" fillId="0" borderId="56" xfId="0" applyNumberFormat="1" applyFont="1" applyFill="1" applyBorder="1">
      <alignment vertical="center"/>
    </xf>
    <xf numFmtId="176" fontId="29" fillId="0" borderId="10" xfId="0" applyNumberFormat="1" applyFont="1" applyFill="1" applyBorder="1">
      <alignment vertical="center"/>
    </xf>
    <xf numFmtId="182" fontId="10" fillId="0" borderId="0" xfId="0" applyNumberFormat="1" applyFont="1" applyFill="1">
      <alignment vertical="center"/>
    </xf>
    <xf numFmtId="182" fontId="10" fillId="0" borderId="2" xfId="0" applyNumberFormat="1" applyFont="1" applyFill="1" applyBorder="1">
      <alignment vertical="center"/>
    </xf>
    <xf numFmtId="194" fontId="10" fillId="0" borderId="0" xfId="0" applyNumberFormat="1" applyFont="1" applyFill="1">
      <alignment vertical="center"/>
    </xf>
    <xf numFmtId="194" fontId="10" fillId="0" borderId="2" xfId="0" applyNumberFormat="1" applyFont="1" applyFill="1" applyBorder="1">
      <alignment vertical="center"/>
    </xf>
    <xf numFmtId="194" fontId="30" fillId="0" borderId="2" xfId="0" applyNumberFormat="1" applyFont="1" applyFill="1" applyBorder="1">
      <alignment vertical="center"/>
    </xf>
    <xf numFmtId="0" fontId="22" fillId="0" borderId="0" xfId="0" applyFont="1" applyBorder="1">
      <alignment vertical="center"/>
    </xf>
    <xf numFmtId="176" fontId="7" fillId="0" borderId="0" xfId="0" applyNumberFormat="1" applyFont="1" applyBorder="1">
      <alignment vertical="center"/>
    </xf>
    <xf numFmtId="0" fontId="29" fillId="2" borderId="0" xfId="0" applyFont="1" applyFill="1" applyBorder="1" applyAlignment="1">
      <alignment horizontal="center" vertical="center"/>
    </xf>
    <xf numFmtId="10" fontId="10" fillId="8" borderId="11" xfId="0" applyNumberFormat="1" applyFont="1" applyFill="1" applyBorder="1">
      <alignment vertical="center"/>
    </xf>
    <xf numFmtId="186" fontId="10" fillId="8" borderId="0" xfId="0" applyNumberFormat="1" applyFont="1" applyFill="1">
      <alignment vertical="center"/>
    </xf>
    <xf numFmtId="186" fontId="10" fillId="8" borderId="13" xfId="0" applyNumberFormat="1" applyFont="1" applyFill="1" applyBorder="1">
      <alignment vertical="center"/>
    </xf>
    <xf numFmtId="10" fontId="49" fillId="8" borderId="0" xfId="1" applyNumberFormat="1" applyFont="1" applyFill="1">
      <alignment vertical="center"/>
    </xf>
    <xf numFmtId="177" fontId="49" fillId="8" borderId="2" xfId="1" applyNumberFormat="1" applyFont="1" applyFill="1" applyBorder="1">
      <alignment vertical="center"/>
    </xf>
    <xf numFmtId="176" fontId="7" fillId="0" borderId="49" xfId="0" applyNumberFormat="1" applyFont="1" applyBorder="1">
      <alignment vertical="center"/>
    </xf>
    <xf numFmtId="176" fontId="11" fillId="0" borderId="0" xfId="0" applyNumberFormat="1" applyFont="1" applyFill="1">
      <alignment vertical="center"/>
    </xf>
    <xf numFmtId="177" fontId="12" fillId="0" borderId="0" xfId="0" applyNumberFormat="1" applyFont="1" applyFill="1">
      <alignment vertical="center"/>
    </xf>
    <xf numFmtId="10" fontId="12" fillId="0" borderId="0" xfId="0" applyNumberFormat="1" applyFont="1" applyFill="1">
      <alignment vertical="center"/>
    </xf>
    <xf numFmtId="10" fontId="11" fillId="0" borderId="0" xfId="0" applyNumberFormat="1" applyFont="1" applyFill="1">
      <alignment vertical="center"/>
    </xf>
    <xf numFmtId="10" fontId="28" fillId="0" borderId="17" xfId="0" applyNumberFormat="1" applyFont="1" applyFill="1" applyBorder="1">
      <alignment vertical="center"/>
    </xf>
    <xf numFmtId="176" fontId="11" fillId="8" borderId="0" xfId="0" applyNumberFormat="1" applyFont="1" applyFill="1">
      <alignment vertical="center"/>
    </xf>
    <xf numFmtId="177" fontId="12" fillId="8" borderId="0" xfId="0" applyNumberFormat="1" applyFont="1" applyFill="1">
      <alignment vertical="center"/>
    </xf>
    <xf numFmtId="10" fontId="12" fillId="8" borderId="0" xfId="0" applyNumberFormat="1" applyFont="1" applyFill="1">
      <alignment vertical="center"/>
    </xf>
    <xf numFmtId="177" fontId="12" fillId="8" borderId="2" xfId="1" applyNumberFormat="1" applyFont="1" applyFill="1" applyBorder="1">
      <alignment vertical="center"/>
    </xf>
    <xf numFmtId="176" fontId="12" fillId="8" borderId="0" xfId="1" applyNumberFormat="1" applyFont="1" applyFill="1" applyBorder="1">
      <alignment vertical="center"/>
    </xf>
    <xf numFmtId="177" fontId="12" fillId="8" borderId="0" xfId="1" applyNumberFormat="1" applyFont="1" applyFill="1" applyBorder="1">
      <alignment vertical="center"/>
    </xf>
    <xf numFmtId="177" fontId="27" fillId="8" borderId="0" xfId="1" applyNumberFormat="1" applyFont="1" applyFill="1" applyBorder="1">
      <alignment vertical="center"/>
    </xf>
    <xf numFmtId="0" fontId="19" fillId="8" borderId="0" xfId="0" applyFont="1" applyFill="1">
      <alignment vertical="center"/>
    </xf>
    <xf numFmtId="179" fontId="12" fillId="8" borderId="2" xfId="0" applyNumberFormat="1" applyFont="1" applyFill="1" applyBorder="1">
      <alignment vertical="center"/>
    </xf>
    <xf numFmtId="176" fontId="12" fillId="0" borderId="0" xfId="0" applyNumberFormat="1" applyFont="1" applyFill="1">
      <alignment vertical="center"/>
    </xf>
    <xf numFmtId="179" fontId="12" fillId="0" borderId="2" xfId="0" applyNumberFormat="1" applyFont="1" applyFill="1" applyBorder="1">
      <alignment vertical="center"/>
    </xf>
    <xf numFmtId="192" fontId="11" fillId="0" borderId="2" xfId="0" applyNumberFormat="1" applyFont="1" applyFill="1" applyBorder="1">
      <alignment vertical="center"/>
    </xf>
    <xf numFmtId="192" fontId="11" fillId="8" borderId="1" xfId="1" applyNumberFormat="1" applyFont="1" applyFill="1" applyBorder="1">
      <alignment vertical="center"/>
    </xf>
    <xf numFmtId="192" fontId="12" fillId="8" borderId="0" xfId="1" applyNumberFormat="1" applyFont="1" applyFill="1" applyBorder="1">
      <alignment vertical="center"/>
    </xf>
    <xf numFmtId="192" fontId="12" fillId="8" borderId="42" xfId="1" applyNumberFormat="1" applyFont="1" applyFill="1" applyBorder="1">
      <alignment vertical="center"/>
    </xf>
    <xf numFmtId="192" fontId="11" fillId="8" borderId="0" xfId="1" applyNumberFormat="1" applyFont="1" applyFill="1" applyBorder="1">
      <alignment vertical="center"/>
    </xf>
    <xf numFmtId="192" fontId="12" fillId="8" borderId="2" xfId="1" applyNumberFormat="1" applyFont="1" applyFill="1" applyBorder="1">
      <alignment vertical="center"/>
    </xf>
    <xf numFmtId="192" fontId="11" fillId="8" borderId="2" xfId="0" applyNumberFormat="1" applyFont="1" applyFill="1" applyBorder="1">
      <alignment vertical="center"/>
    </xf>
    <xf numFmtId="194" fontId="10" fillId="0" borderId="49" xfId="0" applyNumberFormat="1" applyFont="1" applyFill="1" applyBorder="1">
      <alignment vertical="center"/>
    </xf>
    <xf numFmtId="194" fontId="10" fillId="0" borderId="48" xfId="0" applyNumberFormat="1" applyFont="1" applyFill="1" applyBorder="1">
      <alignment vertical="center"/>
    </xf>
    <xf numFmtId="194" fontId="30" fillId="0" borderId="48" xfId="0" applyNumberFormat="1" applyFont="1" applyFill="1" applyBorder="1">
      <alignment vertical="center"/>
    </xf>
    <xf numFmtId="183" fontId="43" fillId="0" borderId="0" xfId="0" applyNumberFormat="1" applyFont="1" applyFill="1">
      <alignment vertical="center"/>
    </xf>
    <xf numFmtId="182" fontId="27" fillId="0" borderId="10" xfId="0" applyNumberFormat="1" applyFont="1" applyFill="1" applyBorder="1">
      <alignment vertical="center"/>
    </xf>
    <xf numFmtId="176" fontId="29" fillId="8" borderId="2" xfId="0" applyNumberFormat="1" applyFont="1" applyFill="1" applyBorder="1">
      <alignment vertical="center"/>
    </xf>
    <xf numFmtId="176" fontId="12" fillId="8" borderId="0" xfId="0" applyNumberFormat="1" applyFont="1" applyFill="1">
      <alignment vertical="center"/>
    </xf>
    <xf numFmtId="176" fontId="92" fillId="0" borderId="0" xfId="0" applyNumberFormat="1" applyFont="1">
      <alignment vertical="center"/>
    </xf>
    <xf numFmtId="196" fontId="19" fillId="0" borderId="0" xfId="0" applyNumberFormat="1" applyFont="1">
      <alignment vertical="center"/>
    </xf>
    <xf numFmtId="183" fontId="12" fillId="0" borderId="2" xfId="0" applyNumberFormat="1" applyFont="1" applyFill="1" applyBorder="1">
      <alignment vertical="center"/>
    </xf>
    <xf numFmtId="10" fontId="12" fillId="0" borderId="16" xfId="0" applyNumberFormat="1" applyFont="1" applyFill="1" applyBorder="1">
      <alignment vertical="center"/>
    </xf>
    <xf numFmtId="182" fontId="27" fillId="0" borderId="2" xfId="0" applyNumberFormat="1" applyFont="1" applyFill="1" applyBorder="1">
      <alignment vertical="center"/>
    </xf>
    <xf numFmtId="0" fontId="59" fillId="0" borderId="0" xfId="0" applyFont="1" applyFill="1">
      <alignment vertical="center"/>
    </xf>
    <xf numFmtId="183" fontId="7" fillId="0" borderId="0" xfId="0" applyNumberFormat="1" applyFont="1" applyFill="1" applyBorder="1">
      <alignment vertical="center"/>
    </xf>
    <xf numFmtId="176" fontId="29" fillId="0" borderId="0" xfId="0" applyNumberFormat="1" applyFont="1" applyFill="1">
      <alignment vertical="center"/>
    </xf>
    <xf numFmtId="176" fontId="29" fillId="0" borderId="43" xfId="0" applyNumberFormat="1" applyFont="1" applyFill="1" applyBorder="1">
      <alignment vertical="center"/>
    </xf>
    <xf numFmtId="176" fontId="29" fillId="0" borderId="42" xfId="0" applyNumberFormat="1" applyFont="1" applyFill="1" applyBorder="1">
      <alignment vertical="center"/>
    </xf>
    <xf numFmtId="176" fontId="29" fillId="0" borderId="2" xfId="0" applyNumberFormat="1" applyFont="1" applyFill="1" applyBorder="1">
      <alignment vertical="center"/>
    </xf>
    <xf numFmtId="0" fontId="146" fillId="0" borderId="0" xfId="0" applyFont="1">
      <alignment vertical="center"/>
    </xf>
    <xf numFmtId="187" fontId="19" fillId="0" borderId="0" xfId="2" applyNumberFormat="1" applyFont="1">
      <alignment vertical="center"/>
    </xf>
    <xf numFmtId="0" fontId="45" fillId="0" borderId="0" xfId="0" applyFont="1" applyBorder="1">
      <alignment vertical="center"/>
    </xf>
    <xf numFmtId="176" fontId="12" fillId="5" borderId="0" xfId="0" applyNumberFormat="1" applyFont="1" applyFill="1" applyBorder="1">
      <alignment vertical="center"/>
    </xf>
    <xf numFmtId="176" fontId="12" fillId="0" borderId="0" xfId="0" applyNumberFormat="1" applyFont="1" applyBorder="1">
      <alignment vertical="center"/>
    </xf>
    <xf numFmtId="177" fontId="12" fillId="0" borderId="0" xfId="0" applyNumberFormat="1" applyFont="1" applyBorder="1">
      <alignment vertical="center"/>
    </xf>
    <xf numFmtId="183" fontId="19" fillId="0" borderId="0" xfId="2" applyNumberFormat="1" applyFont="1">
      <alignment vertical="center"/>
    </xf>
    <xf numFmtId="0" fontId="0" fillId="0" borderId="0" xfId="0" applyFont="1">
      <alignment vertical="center"/>
    </xf>
    <xf numFmtId="177" fontId="148" fillId="5" borderId="0" xfId="1" applyNumberFormat="1" applyFont="1" applyFill="1" applyBorder="1">
      <alignment vertical="center"/>
    </xf>
    <xf numFmtId="0" fontId="149" fillId="0" borderId="0" xfId="0" applyFont="1">
      <alignment vertical="center"/>
    </xf>
    <xf numFmtId="0" fontId="19" fillId="0" borderId="0" xfId="0" applyFont="1" applyBorder="1">
      <alignment vertical="center"/>
    </xf>
    <xf numFmtId="0" fontId="51" fillId="0" borderId="0" xfId="0" applyFont="1" applyFill="1">
      <alignment vertical="center"/>
    </xf>
    <xf numFmtId="176" fontId="19" fillId="0" borderId="0" xfId="1" applyNumberFormat="1" applyFont="1">
      <alignment vertical="center"/>
    </xf>
    <xf numFmtId="176" fontId="49" fillId="7" borderId="1" xfId="0" applyNumberFormat="1" applyFont="1" applyFill="1" applyBorder="1">
      <alignment vertical="center"/>
    </xf>
    <xf numFmtId="176" fontId="51" fillId="7" borderId="0" xfId="0" applyNumberFormat="1" applyFont="1" applyFill="1">
      <alignment vertical="center"/>
    </xf>
    <xf numFmtId="176" fontId="49" fillId="7" borderId="0" xfId="0" applyNumberFormat="1" applyFont="1" applyFill="1">
      <alignment vertical="center"/>
    </xf>
    <xf numFmtId="176" fontId="50" fillId="7" borderId="12" xfId="0" applyNumberFormat="1" applyFont="1" applyFill="1" applyBorder="1">
      <alignment vertical="center"/>
    </xf>
    <xf numFmtId="183" fontId="50" fillId="7" borderId="0" xfId="0" applyNumberFormat="1" applyFont="1" applyFill="1">
      <alignment vertical="center"/>
    </xf>
    <xf numFmtId="183" fontId="50" fillId="7" borderId="2" xfId="0" applyNumberFormat="1" applyFont="1" applyFill="1" applyBorder="1">
      <alignment vertical="center"/>
    </xf>
    <xf numFmtId="176" fontId="30" fillId="0" borderId="0" xfId="0" applyNumberFormat="1" applyFont="1" applyFill="1" applyBorder="1">
      <alignment vertical="center"/>
    </xf>
    <xf numFmtId="0" fontId="19" fillId="0" borderId="0" xfId="0" applyFont="1" applyFill="1" applyBorder="1">
      <alignment vertical="center"/>
    </xf>
    <xf numFmtId="177" fontId="19" fillId="0" borderId="0" xfId="2" applyNumberFormat="1" applyFont="1">
      <alignment vertical="center"/>
    </xf>
    <xf numFmtId="0" fontId="51" fillId="0" borderId="21" xfId="0" applyFont="1" applyFill="1" applyBorder="1">
      <alignment vertical="center"/>
    </xf>
    <xf numFmtId="0" fontId="144" fillId="0" borderId="0" xfId="0" applyFont="1" applyFill="1">
      <alignment vertical="center"/>
    </xf>
    <xf numFmtId="10" fontId="27" fillId="0" borderId="0" xfId="0" applyNumberFormat="1" applyFont="1" applyFill="1">
      <alignment vertical="center"/>
    </xf>
    <xf numFmtId="177" fontId="28" fillId="8" borderId="1" xfId="1" applyNumberFormat="1" applyFont="1" applyFill="1" applyBorder="1" applyAlignment="1">
      <alignment horizontal="right" vertical="center"/>
    </xf>
    <xf numFmtId="181" fontId="88" fillId="0" borderId="28" xfId="4" applyNumberFormat="1" applyFont="1" applyFill="1" applyBorder="1">
      <alignment vertical="center"/>
    </xf>
    <xf numFmtId="0" fontId="150" fillId="0" borderId="0" xfId="0" applyFont="1" applyBorder="1" applyAlignment="1">
      <alignment horizontal="center" vertical="center" wrapText="1" readingOrder="1"/>
    </xf>
    <xf numFmtId="10" fontId="151" fillId="0" borderId="0" xfId="0" applyNumberFormat="1" applyFont="1" applyBorder="1" applyAlignment="1">
      <alignment horizontal="center" vertical="center" wrapText="1" readingOrder="1"/>
    </xf>
    <xf numFmtId="0" fontId="151" fillId="0" borderId="0" xfId="0" applyFont="1" applyBorder="1" applyAlignment="1">
      <alignment horizontal="center" vertical="center" wrapText="1" readingOrder="1"/>
    </xf>
    <xf numFmtId="10" fontId="150" fillId="0" borderId="0" xfId="0" applyNumberFormat="1" applyFont="1" applyBorder="1" applyAlignment="1">
      <alignment horizontal="center" vertical="center" wrapText="1" readingOrder="1"/>
    </xf>
    <xf numFmtId="0" fontId="150" fillId="0" borderId="0" xfId="0" applyFont="1" applyFill="1" applyBorder="1" applyAlignment="1">
      <alignment horizontal="center" vertical="center" wrapText="1" readingOrder="1"/>
    </xf>
    <xf numFmtId="0" fontId="152" fillId="0" borderId="0" xfId="0" applyFont="1" applyFill="1" applyBorder="1" applyAlignment="1">
      <alignment horizontal="center" vertical="center" wrapText="1" readingOrder="1"/>
    </xf>
    <xf numFmtId="10" fontId="151" fillId="0" borderId="0" xfId="0" applyNumberFormat="1" applyFont="1" applyFill="1" applyBorder="1" applyAlignment="1">
      <alignment horizontal="center" vertical="center" wrapText="1" readingOrder="1"/>
    </xf>
    <xf numFmtId="10" fontId="153" fillId="0" borderId="0" xfId="0" applyNumberFormat="1" applyFont="1" applyFill="1" applyBorder="1" applyAlignment="1">
      <alignment horizontal="center" vertical="center" wrapText="1" readingOrder="1"/>
    </xf>
    <xf numFmtId="0" fontId="61" fillId="0" borderId="0" xfId="0" applyNumberFormat="1" applyFont="1" applyFill="1" applyAlignment="1"/>
    <xf numFmtId="185" fontId="28" fillId="0" borderId="0" xfId="0" applyNumberFormat="1" applyFont="1" applyAlignment="1">
      <alignment horizontal="right" vertical="center"/>
    </xf>
    <xf numFmtId="183" fontId="12" fillId="7" borderId="1" xfId="2" applyNumberFormat="1" applyFont="1" applyFill="1" applyBorder="1" applyAlignment="1">
      <alignment vertical="center"/>
    </xf>
    <xf numFmtId="183" fontId="12" fillId="7" borderId="0" xfId="1" applyNumberFormat="1" applyFont="1" applyFill="1" applyBorder="1">
      <alignment vertical="center"/>
    </xf>
    <xf numFmtId="183" fontId="91" fillId="7" borderId="0" xfId="1" applyNumberFormat="1" applyFont="1" applyFill="1" applyBorder="1">
      <alignment vertical="center"/>
    </xf>
    <xf numFmtId="183" fontId="12" fillId="7" borderId="2" xfId="0" applyNumberFormat="1" applyFont="1" applyFill="1" applyBorder="1">
      <alignment vertical="center"/>
    </xf>
    <xf numFmtId="183" fontId="12" fillId="7" borderId="1" xfId="1" applyNumberFormat="1" applyFont="1" applyFill="1" applyBorder="1">
      <alignment vertical="center"/>
    </xf>
    <xf numFmtId="183" fontId="13" fillId="7" borderId="0" xfId="1" applyNumberFormat="1" applyFont="1" applyFill="1" applyBorder="1">
      <alignment vertical="center"/>
    </xf>
    <xf numFmtId="10" fontId="12" fillId="7" borderId="16" xfId="0" applyNumberFormat="1" applyFont="1" applyFill="1" applyBorder="1">
      <alignment vertical="center"/>
    </xf>
    <xf numFmtId="10" fontId="11" fillId="7" borderId="13" xfId="0" applyNumberFormat="1" applyFont="1" applyFill="1" applyBorder="1">
      <alignment vertical="center"/>
    </xf>
    <xf numFmtId="0" fontId="36" fillId="0" borderId="0" xfId="0" applyFont="1" applyFill="1">
      <alignment vertical="center"/>
    </xf>
    <xf numFmtId="177" fontId="59" fillId="0" borderId="0" xfId="1" applyNumberFormat="1" applyFont="1" applyFill="1">
      <alignment vertical="center"/>
    </xf>
    <xf numFmtId="177" fontId="27" fillId="0" borderId="0" xfId="1" applyNumberFormat="1" applyFont="1" applyFill="1">
      <alignment vertical="center"/>
    </xf>
    <xf numFmtId="198" fontId="19" fillId="0" borderId="0" xfId="0" applyNumberFormat="1" applyFont="1" applyFill="1">
      <alignment vertical="center"/>
    </xf>
    <xf numFmtId="176" fontId="50" fillId="0" borderId="1" xfId="0" applyNumberFormat="1" applyFont="1" applyFill="1" applyBorder="1">
      <alignment vertical="center"/>
    </xf>
    <xf numFmtId="176" fontId="49" fillId="0" borderId="1" xfId="0" applyNumberFormat="1" applyFont="1" applyFill="1" applyBorder="1">
      <alignment vertical="center"/>
    </xf>
    <xf numFmtId="176" fontId="49" fillId="0" borderId="23" xfId="0" applyNumberFormat="1" applyFont="1" applyFill="1" applyBorder="1">
      <alignment vertical="center"/>
    </xf>
    <xf numFmtId="176" fontId="51" fillId="0" borderId="0" xfId="0" applyNumberFormat="1" applyFont="1" applyFill="1">
      <alignment vertical="center"/>
    </xf>
    <xf numFmtId="176" fontId="51" fillId="0" borderId="21" xfId="0" applyNumberFormat="1" applyFont="1" applyFill="1" applyBorder="1">
      <alignment vertical="center"/>
    </xf>
    <xf numFmtId="176" fontId="50" fillId="0" borderId="0" xfId="0" applyNumberFormat="1" applyFont="1" applyFill="1">
      <alignment vertical="center"/>
    </xf>
    <xf numFmtId="176" fontId="49" fillId="0" borderId="0" xfId="0" applyNumberFormat="1" applyFont="1" applyFill="1">
      <alignment vertical="center"/>
    </xf>
    <xf numFmtId="176" fontId="49" fillId="0" borderId="21" xfId="0" applyNumberFormat="1" applyFont="1" applyFill="1" applyBorder="1">
      <alignment vertical="center"/>
    </xf>
    <xf numFmtId="176" fontId="50" fillId="0" borderId="12" xfId="0" applyNumberFormat="1" applyFont="1" applyFill="1" applyBorder="1">
      <alignment vertical="center"/>
    </xf>
    <xf numFmtId="176" fontId="50" fillId="0" borderId="31" xfId="0" applyNumberFormat="1" applyFont="1" applyFill="1" applyBorder="1">
      <alignment vertical="center"/>
    </xf>
    <xf numFmtId="183" fontId="50" fillId="0" borderId="0" xfId="0" applyNumberFormat="1" applyFont="1" applyFill="1">
      <alignment vertical="center"/>
    </xf>
    <xf numFmtId="183" fontId="50" fillId="0" borderId="21" xfId="0" applyNumberFormat="1" applyFont="1" applyFill="1" applyBorder="1">
      <alignment vertical="center"/>
    </xf>
    <xf numFmtId="183" fontId="50" fillId="0" borderId="2" xfId="0" applyNumberFormat="1" applyFont="1" applyFill="1" applyBorder="1">
      <alignment vertical="center"/>
    </xf>
    <xf numFmtId="183" fontId="50" fillId="0" borderId="22" xfId="0" applyNumberFormat="1" applyFont="1" applyFill="1" applyBorder="1">
      <alignment vertical="center"/>
    </xf>
    <xf numFmtId="10" fontId="10" fillId="0" borderId="11" xfId="0" applyNumberFormat="1" applyFont="1" applyFill="1" applyBorder="1">
      <alignment vertical="center"/>
    </xf>
    <xf numFmtId="10" fontId="10" fillId="0" borderId="24" xfId="0" applyNumberFormat="1" applyFont="1" applyFill="1" applyBorder="1">
      <alignment vertical="center"/>
    </xf>
    <xf numFmtId="177" fontId="29" fillId="0" borderId="31" xfId="1" applyNumberFormat="1" applyFont="1" applyFill="1" applyBorder="1">
      <alignment vertical="center"/>
    </xf>
    <xf numFmtId="10" fontId="11" fillId="0" borderId="13" xfId="0" applyNumberFormat="1" applyFont="1" applyFill="1" applyBorder="1">
      <alignment vertical="center"/>
    </xf>
    <xf numFmtId="10" fontId="11" fillId="0" borderId="51" xfId="0" applyNumberFormat="1" applyFont="1" applyFill="1" applyBorder="1">
      <alignment vertical="center"/>
    </xf>
    <xf numFmtId="186" fontId="10" fillId="0" borderId="0" xfId="0" applyNumberFormat="1" applyFont="1" applyFill="1">
      <alignment vertical="center"/>
    </xf>
    <xf numFmtId="186" fontId="10" fillId="0" borderId="21" xfId="0" applyNumberFormat="1" applyFont="1" applyFill="1" applyBorder="1">
      <alignment vertical="center"/>
    </xf>
    <xf numFmtId="186" fontId="10" fillId="0" borderId="13" xfId="0" applyNumberFormat="1" applyFont="1" applyFill="1" applyBorder="1">
      <alignment vertical="center"/>
    </xf>
    <xf numFmtId="186" fontId="10" fillId="0" borderId="51" xfId="0" applyNumberFormat="1" applyFont="1" applyFill="1" applyBorder="1">
      <alignment vertical="center"/>
    </xf>
    <xf numFmtId="10" fontId="49" fillId="0" borderId="0" xfId="1" applyNumberFormat="1" applyFont="1" applyFill="1">
      <alignment vertical="center"/>
    </xf>
    <xf numFmtId="10" fontId="49" fillId="0" borderId="21" xfId="1" applyNumberFormat="1" applyFont="1" applyFill="1" applyBorder="1">
      <alignment vertical="center"/>
    </xf>
    <xf numFmtId="177" fontId="49" fillId="0" borderId="22" xfId="1" applyNumberFormat="1" applyFont="1" applyFill="1" applyBorder="1">
      <alignment vertical="center"/>
    </xf>
    <xf numFmtId="176" fontId="30" fillId="0" borderId="0" xfId="0" applyNumberFormat="1" applyFont="1" applyFill="1">
      <alignment vertical="center"/>
    </xf>
    <xf numFmtId="176" fontId="30" fillId="0" borderId="21" xfId="0" applyNumberFormat="1" applyFont="1" applyFill="1" applyBorder="1">
      <alignment vertical="center"/>
    </xf>
    <xf numFmtId="176" fontId="30" fillId="0" borderId="7" xfId="0" applyNumberFormat="1" applyFont="1" applyFill="1" applyBorder="1">
      <alignment vertical="center"/>
    </xf>
    <xf numFmtId="183" fontId="7" fillId="0" borderId="0" xfId="0" applyNumberFormat="1" applyFont="1" applyFill="1">
      <alignment vertical="center"/>
    </xf>
    <xf numFmtId="183" fontId="7" fillId="0" borderId="21" xfId="0" applyNumberFormat="1" applyFont="1" applyFill="1" applyBorder="1">
      <alignment vertical="center"/>
    </xf>
    <xf numFmtId="183" fontId="7" fillId="0" borderId="7" xfId="0" applyNumberFormat="1" applyFont="1" applyFill="1" applyBorder="1">
      <alignment vertical="center"/>
    </xf>
    <xf numFmtId="176" fontId="30" fillId="0" borderId="22" xfId="0" applyNumberFormat="1" applyFont="1" applyFill="1" applyBorder="1">
      <alignment vertical="center"/>
    </xf>
    <xf numFmtId="176" fontId="30" fillId="0" borderId="10" xfId="0" applyNumberFormat="1" applyFont="1" applyFill="1" applyBorder="1">
      <alignment vertical="center"/>
    </xf>
    <xf numFmtId="0" fontId="92" fillId="0" borderId="0" xfId="0" applyFont="1" applyFill="1">
      <alignment vertical="center"/>
    </xf>
    <xf numFmtId="0" fontId="22" fillId="0" borderId="0" xfId="0" applyFont="1" applyFill="1" applyBorder="1">
      <alignment vertical="center"/>
    </xf>
    <xf numFmtId="0" fontId="92" fillId="0" borderId="0" xfId="0" applyFont="1" applyFill="1" applyBorder="1">
      <alignment vertical="center"/>
    </xf>
    <xf numFmtId="182" fontId="7" fillId="0" borderId="0" xfId="1" applyNumberFormat="1" applyFont="1" applyFill="1" applyBorder="1">
      <alignment vertical="center"/>
    </xf>
    <xf numFmtId="177" fontId="19" fillId="0" borderId="0" xfId="0" applyNumberFormat="1" applyFont="1" applyFill="1" applyBorder="1">
      <alignment vertical="center"/>
    </xf>
    <xf numFmtId="182" fontId="19" fillId="0" borderId="0" xfId="0" applyNumberFormat="1" applyFont="1" applyFill="1" applyBorder="1">
      <alignment vertical="center"/>
    </xf>
    <xf numFmtId="182" fontId="30" fillId="0" borderId="0" xfId="0" applyNumberFormat="1" applyFont="1" applyFill="1" applyBorder="1">
      <alignment vertical="center"/>
    </xf>
    <xf numFmtId="176" fontId="19" fillId="0" borderId="0" xfId="0" applyNumberFormat="1" applyFont="1" applyFill="1">
      <alignment vertical="center"/>
    </xf>
    <xf numFmtId="0" fontId="51" fillId="0" borderId="0" xfId="0" applyFont="1" applyFill="1" applyBorder="1">
      <alignment vertical="center"/>
    </xf>
    <xf numFmtId="176" fontId="12" fillId="0" borderId="0" xfId="0" applyNumberFormat="1" applyFont="1" applyFill="1" applyBorder="1">
      <alignment vertical="center"/>
    </xf>
    <xf numFmtId="180" fontId="19" fillId="0" borderId="0" xfId="0" applyNumberFormat="1" applyFont="1" applyFill="1" applyBorder="1">
      <alignment vertical="center"/>
    </xf>
    <xf numFmtId="0" fontId="144" fillId="0" borderId="0" xfId="0" applyFont="1" applyFill="1" applyBorder="1">
      <alignment vertical="center"/>
    </xf>
    <xf numFmtId="10" fontId="27" fillId="0" borderId="0" xfId="0" applyNumberFormat="1" applyFont="1" applyFill="1" applyBorder="1">
      <alignment vertical="center"/>
    </xf>
    <xf numFmtId="179" fontId="19" fillId="0" borderId="0" xfId="0" applyNumberFormat="1" applyFont="1" applyFill="1" applyBorder="1">
      <alignment vertical="center"/>
    </xf>
    <xf numFmtId="176" fontId="19" fillId="0" borderId="0" xfId="0" applyNumberFormat="1" applyFont="1" applyFill="1" applyBorder="1">
      <alignment vertical="center"/>
    </xf>
    <xf numFmtId="187" fontId="19" fillId="0" borderId="0" xfId="2" applyNumberFormat="1" applyFont="1" applyFill="1">
      <alignment vertical="center"/>
    </xf>
    <xf numFmtId="43" fontId="19" fillId="0" borderId="0" xfId="0" applyNumberFormat="1" applyFont="1" applyFill="1">
      <alignment vertical="center"/>
    </xf>
    <xf numFmtId="0" fontId="146" fillId="0" borderId="0" xfId="0" applyFont="1" applyFill="1">
      <alignment vertical="center"/>
    </xf>
    <xf numFmtId="197" fontId="19" fillId="0" borderId="0" xfId="2" applyNumberFormat="1" applyFont="1" applyFill="1">
      <alignment vertical="center"/>
    </xf>
    <xf numFmtId="0" fontId="76" fillId="0" borderId="0" xfId="0" applyFont="1" applyFill="1" applyAlignment="1"/>
    <xf numFmtId="0" fontId="27" fillId="0" borderId="0" xfId="0" applyFont="1" applyFill="1">
      <alignment vertical="center"/>
    </xf>
    <xf numFmtId="0" fontId="78" fillId="0" borderId="7" xfId="0" applyFont="1" applyFill="1" applyBorder="1" applyAlignment="1">
      <alignment horizontal="left" vertical="top"/>
    </xf>
    <xf numFmtId="0" fontId="78" fillId="0" borderId="7" xfId="6" applyFont="1" applyFill="1" applyBorder="1">
      <alignment vertical="center"/>
    </xf>
    <xf numFmtId="0" fontId="86" fillId="0" borderId="7" xfId="0" applyFont="1" applyFill="1" applyBorder="1" applyAlignment="1">
      <alignment horizontal="left" vertical="center"/>
    </xf>
    <xf numFmtId="0" fontId="83" fillId="0" borderId="7" xfId="0" applyFont="1" applyFill="1" applyBorder="1" applyAlignment="1">
      <alignment horizontal="left" vertical="center"/>
    </xf>
    <xf numFmtId="0" fontId="86" fillId="0" borderId="10" xfId="0" applyFont="1" applyFill="1" applyBorder="1" applyAlignment="1">
      <alignment horizontal="left" vertical="center"/>
    </xf>
    <xf numFmtId="0" fontId="78" fillId="0" borderId="0" xfId="8" applyFont="1" applyFill="1" applyAlignment="1">
      <alignment vertical="center" wrapText="1"/>
    </xf>
    <xf numFmtId="178" fontId="49" fillId="0" borderId="0" xfId="0" applyNumberFormat="1" applyFont="1" applyFill="1" applyBorder="1" applyAlignment="1">
      <alignment horizontal="centerContinuous" vertical="center"/>
    </xf>
    <xf numFmtId="0" fontId="29" fillId="0" borderId="0" xfId="0" applyFont="1" applyFill="1" applyBorder="1" applyAlignment="1">
      <alignment horizontal="right" vertical="center"/>
    </xf>
    <xf numFmtId="177" fontId="28" fillId="0" borderId="1" xfId="1" applyNumberFormat="1" applyFont="1" applyFill="1" applyBorder="1" applyAlignment="1">
      <alignment horizontal="right" vertical="center"/>
    </xf>
    <xf numFmtId="178" fontId="29" fillId="2" borderId="1" xfId="0" applyNumberFormat="1" applyFont="1" applyFill="1" applyBorder="1" applyAlignment="1">
      <alignment horizontal="center" vertical="center"/>
    </xf>
    <xf numFmtId="177" fontId="7" fillId="0" borderId="0" xfId="1" applyNumberFormat="1" applyFont="1" applyFill="1" applyBorder="1">
      <alignment vertical="center"/>
    </xf>
    <xf numFmtId="183" fontId="12" fillId="0" borderId="0" xfId="0" applyNumberFormat="1" applyFont="1">
      <alignment vertical="center"/>
    </xf>
    <xf numFmtId="183" fontId="19" fillId="0" borderId="0" xfId="0" applyNumberFormat="1" applyFont="1" applyFill="1" applyBorder="1">
      <alignment vertical="center"/>
    </xf>
    <xf numFmtId="10" fontId="154" fillId="0" borderId="0" xfId="0" applyNumberFormat="1" applyFont="1" applyFill="1" applyBorder="1" applyAlignment="1">
      <alignment horizontal="center" vertical="center" wrapText="1"/>
    </xf>
    <xf numFmtId="182" fontId="43" fillId="0" borderId="0" xfId="1" applyNumberFormat="1" applyFont="1" applyFill="1" applyBorder="1" applyAlignment="1">
      <alignment horizontal="right" vertical="center"/>
    </xf>
    <xf numFmtId="182" fontId="27" fillId="0" borderId="0" xfId="1" applyNumberFormat="1" applyFont="1" applyFill="1" applyBorder="1" applyAlignment="1">
      <alignment horizontal="right" vertical="center"/>
    </xf>
    <xf numFmtId="182" fontId="27" fillId="0" borderId="2" xfId="0" applyNumberFormat="1" applyFont="1" applyFill="1" applyBorder="1" applyAlignment="1">
      <alignment horizontal="right" vertical="center"/>
    </xf>
    <xf numFmtId="182" fontId="43" fillId="8" borderId="0" xfId="1" applyNumberFormat="1" applyFont="1" applyFill="1" applyBorder="1" applyAlignment="1">
      <alignment horizontal="right" vertical="center"/>
    </xf>
    <xf numFmtId="182" fontId="27" fillId="8" borderId="0" xfId="1" applyNumberFormat="1" applyFont="1" applyFill="1" applyBorder="1" applyAlignment="1">
      <alignment horizontal="right" vertical="center"/>
    </xf>
    <xf numFmtId="182" fontId="27" fillId="8" borderId="2" xfId="0" applyNumberFormat="1" applyFont="1" applyFill="1" applyBorder="1" applyAlignment="1">
      <alignment horizontal="right" vertical="center"/>
    </xf>
    <xf numFmtId="0" fontId="40" fillId="0" borderId="0" xfId="0" applyFont="1" applyFill="1">
      <alignment vertical="center"/>
    </xf>
    <xf numFmtId="182" fontId="12" fillId="0" borderId="0" xfId="1" applyNumberFormat="1" applyFont="1" applyFill="1" applyBorder="1">
      <alignment vertical="center"/>
    </xf>
    <xf numFmtId="0" fontId="32" fillId="0" borderId="0" xfId="0" applyFont="1" applyFill="1">
      <alignment vertical="center"/>
    </xf>
    <xf numFmtId="199" fontId="12" fillId="5" borderId="0" xfId="0" applyNumberFormat="1" applyFont="1" applyFill="1">
      <alignment vertical="center"/>
    </xf>
    <xf numFmtId="181" fontId="85" fillId="0" borderId="0" xfId="6" applyNumberFormat="1" applyFont="1" applyAlignment="1">
      <alignment vertical="center" wrapText="1"/>
    </xf>
    <xf numFmtId="10" fontId="11" fillId="8" borderId="0" xfId="0" applyNumberFormat="1" applyFont="1" applyFill="1">
      <alignment vertical="center"/>
    </xf>
    <xf numFmtId="10" fontId="28" fillId="8" borderId="17" xfId="0" applyNumberFormat="1" applyFont="1" applyFill="1" applyBorder="1">
      <alignment vertical="center"/>
    </xf>
    <xf numFmtId="41" fontId="19" fillId="0" borderId="0" xfId="2" applyNumberFormat="1" applyFont="1" applyBorder="1">
      <alignment vertical="center"/>
    </xf>
    <xf numFmtId="1" fontId="19" fillId="0" borderId="0" xfId="0" applyNumberFormat="1" applyFont="1" applyFill="1" applyBorder="1">
      <alignment vertical="center"/>
    </xf>
    <xf numFmtId="177" fontId="29" fillId="0" borderId="12" xfId="1" applyNumberFormat="1" applyFont="1" applyFill="1" applyBorder="1" applyAlignment="1">
      <alignment horizontal="right" vertical="center"/>
    </xf>
    <xf numFmtId="176" fontId="30" fillId="3" borderId="0" xfId="0" applyNumberFormat="1" applyFont="1" applyFill="1" applyBorder="1">
      <alignment vertical="center"/>
    </xf>
    <xf numFmtId="183" fontId="7" fillId="3" borderId="0" xfId="0" applyNumberFormat="1" applyFont="1" applyFill="1" applyBorder="1">
      <alignment vertical="center"/>
    </xf>
    <xf numFmtId="176" fontId="7" fillId="0" borderId="0" xfId="0" applyNumberFormat="1" applyFont="1" applyFill="1">
      <alignment vertical="center"/>
    </xf>
    <xf numFmtId="176" fontId="7" fillId="0" borderId="49" xfId="0" applyNumberFormat="1" applyFont="1" applyFill="1" applyBorder="1">
      <alignment vertical="center"/>
    </xf>
    <xf numFmtId="183" fontId="7" fillId="0" borderId="49" xfId="0" applyNumberFormat="1" applyFont="1" applyFill="1" applyBorder="1">
      <alignment vertical="center"/>
    </xf>
    <xf numFmtId="0" fontId="52" fillId="0" borderId="2" xfId="0" applyFont="1" applyFill="1" applyBorder="1">
      <alignment vertical="center"/>
    </xf>
    <xf numFmtId="0" fontId="120" fillId="0" borderId="2" xfId="0" applyFont="1" applyFill="1" applyBorder="1">
      <alignment vertical="center"/>
    </xf>
    <xf numFmtId="176" fontId="30" fillId="3" borderId="2" xfId="0" applyNumberFormat="1" applyFont="1" applyFill="1" applyBorder="1">
      <alignment vertical="center"/>
    </xf>
    <xf numFmtId="176" fontId="143" fillId="0" borderId="0" xfId="0" applyNumberFormat="1" applyFont="1" applyFill="1">
      <alignment vertical="center"/>
    </xf>
    <xf numFmtId="176" fontId="30" fillId="0" borderId="48" xfId="0" applyNumberFormat="1" applyFont="1" applyFill="1" applyBorder="1">
      <alignment vertical="center"/>
    </xf>
    <xf numFmtId="177" fontId="30" fillId="8" borderId="0" xfId="0" applyNumberFormat="1" applyFont="1" applyFill="1" applyAlignment="1">
      <alignment horizontal="right" vertical="center"/>
    </xf>
    <xf numFmtId="177" fontId="7" fillId="8" borderId="0" xfId="0" applyNumberFormat="1" applyFont="1" applyFill="1" applyAlignment="1">
      <alignment horizontal="right" vertical="center"/>
    </xf>
    <xf numFmtId="177" fontId="30" fillId="8" borderId="2" xfId="0" applyNumberFormat="1" applyFont="1" applyFill="1" applyBorder="1" applyAlignment="1">
      <alignment horizontal="right" vertical="center"/>
    </xf>
    <xf numFmtId="177" fontId="10" fillId="8" borderId="0" xfId="0" applyNumberFormat="1" applyFont="1" applyFill="1" applyAlignment="1">
      <alignment horizontal="right" vertical="center"/>
    </xf>
    <xf numFmtId="41" fontId="41" fillId="0" borderId="26" xfId="2" applyFont="1" applyFill="1" applyBorder="1" applyAlignment="1"/>
    <xf numFmtId="0" fontId="86" fillId="0" borderId="26" xfId="0" applyFont="1" applyFill="1" applyBorder="1" applyAlignment="1">
      <alignment vertical="center"/>
    </xf>
    <xf numFmtId="0" fontId="86" fillId="0" borderId="27" xfId="0" applyFont="1" applyFill="1" applyBorder="1" applyAlignment="1">
      <alignment vertical="center"/>
    </xf>
    <xf numFmtId="0" fontId="78" fillId="0" borderId="27" xfId="0" applyFont="1" applyFill="1" applyBorder="1" applyAlignment="1">
      <alignment vertical="center"/>
    </xf>
    <xf numFmtId="0" fontId="86" fillId="0" borderId="28" xfId="0" applyFont="1" applyFill="1" applyBorder="1" applyAlignment="1">
      <alignment vertical="center"/>
    </xf>
    <xf numFmtId="181" fontId="88" fillId="0" borderId="26" xfId="2" applyNumberFormat="1" applyFont="1" applyFill="1" applyBorder="1" applyAlignment="1">
      <alignment vertical="center"/>
    </xf>
    <xf numFmtId="181" fontId="88" fillId="0" borderId="27" xfId="2" applyNumberFormat="1" applyFont="1" applyFill="1" applyBorder="1" applyAlignment="1">
      <alignment vertical="center"/>
    </xf>
    <xf numFmtId="181" fontId="89" fillId="0" borderId="27" xfId="2" applyNumberFormat="1" applyFont="1" applyFill="1" applyBorder="1" applyAlignment="1">
      <alignment vertical="center"/>
    </xf>
    <xf numFmtId="181" fontId="88" fillId="0" borderId="28" xfId="2" applyNumberFormat="1" applyFont="1" applyFill="1" applyBorder="1" applyAlignment="1">
      <alignment vertical="center"/>
    </xf>
    <xf numFmtId="176" fontId="30" fillId="0" borderId="0" xfId="0" applyNumberFormat="1" applyFont="1" applyBorder="1">
      <alignment vertical="center"/>
    </xf>
    <xf numFmtId="183" fontId="10" fillId="0" borderId="0" xfId="0" applyNumberFormat="1" applyFont="1" applyFill="1">
      <alignment vertical="center"/>
    </xf>
    <xf numFmtId="183" fontId="10" fillId="0" borderId="21" xfId="0" applyNumberFormat="1" applyFont="1" applyFill="1" applyBorder="1">
      <alignment vertical="center"/>
    </xf>
    <xf numFmtId="183" fontId="29" fillId="0" borderId="0" xfId="0" applyNumberFormat="1" applyFont="1" applyFill="1">
      <alignment vertical="center"/>
    </xf>
    <xf numFmtId="183" fontId="29" fillId="3" borderId="0" xfId="0" applyNumberFormat="1" applyFont="1" applyFill="1">
      <alignment vertical="center"/>
    </xf>
    <xf numFmtId="183" fontId="43" fillId="3" borderId="0" xfId="0" applyNumberFormat="1" applyFont="1" applyFill="1">
      <alignment vertical="center"/>
    </xf>
    <xf numFmtId="183" fontId="43" fillId="7" borderId="0" xfId="0" applyNumberFormat="1" applyFont="1" applyFill="1">
      <alignment vertical="center"/>
    </xf>
    <xf numFmtId="183" fontId="30" fillId="0" borderId="2" xfId="0" applyNumberFormat="1" applyFont="1" applyFill="1" applyBorder="1">
      <alignment vertical="center"/>
    </xf>
    <xf numFmtId="183" fontId="30" fillId="0" borderId="10" xfId="0" applyNumberFormat="1" applyFont="1" applyFill="1" applyBorder="1">
      <alignment vertical="center"/>
    </xf>
    <xf numFmtId="183" fontId="30" fillId="3" borderId="2" xfId="0" applyNumberFormat="1" applyFont="1" applyFill="1" applyBorder="1">
      <alignment vertical="center"/>
    </xf>
    <xf numFmtId="0" fontId="118" fillId="0" borderId="0" xfId="0" applyFont="1" applyFill="1">
      <alignment vertical="center"/>
    </xf>
    <xf numFmtId="177" fontId="19" fillId="0" borderId="0" xfId="1" applyNumberFormat="1" applyFont="1" applyBorder="1">
      <alignment vertical="center"/>
    </xf>
    <xf numFmtId="177" fontId="92" fillId="0" borderId="0" xfId="1" applyNumberFormat="1" applyFont="1" applyFill="1" applyBorder="1">
      <alignment vertical="center"/>
    </xf>
    <xf numFmtId="187" fontId="92" fillId="0" borderId="0" xfId="2" applyNumberFormat="1" applyFont="1">
      <alignment vertical="center"/>
    </xf>
    <xf numFmtId="177" fontId="29" fillId="8" borderId="12" xfId="1" applyNumberFormat="1" applyFont="1" applyFill="1" applyBorder="1" applyAlignment="1">
      <alignment horizontal="right" vertical="center"/>
    </xf>
    <xf numFmtId="183" fontId="7" fillId="8" borderId="0" xfId="0" applyNumberFormat="1" applyFont="1" applyFill="1" applyBorder="1">
      <alignment vertical="center"/>
    </xf>
    <xf numFmtId="176" fontId="51" fillId="8" borderId="0" xfId="0" applyNumberFormat="1" applyFont="1" applyFill="1">
      <alignment vertical="center"/>
    </xf>
    <xf numFmtId="183" fontId="92" fillId="0" borderId="0" xfId="0" applyNumberFormat="1" applyFont="1" applyFill="1">
      <alignment vertical="center"/>
    </xf>
    <xf numFmtId="178" fontId="49" fillId="2" borderId="1" xfId="0" applyNumberFormat="1" applyFont="1" applyFill="1" applyBorder="1" applyAlignment="1">
      <alignment horizontal="center" vertical="center"/>
    </xf>
    <xf numFmtId="178" fontId="49" fillId="2" borderId="23" xfId="0" applyNumberFormat="1" applyFont="1" applyFill="1" applyBorder="1" applyAlignment="1">
      <alignment horizontal="center" vertical="center"/>
    </xf>
    <xf numFmtId="178" fontId="49" fillId="2" borderId="14" xfId="0" applyNumberFormat="1" applyFont="1" applyFill="1" applyBorder="1" applyAlignment="1">
      <alignment horizontal="center" vertical="center"/>
    </xf>
    <xf numFmtId="178" fontId="49" fillId="2" borderId="47" xfId="0" applyNumberFormat="1" applyFont="1" applyFill="1" applyBorder="1" applyAlignment="1">
      <alignment horizontal="center" vertical="center"/>
    </xf>
    <xf numFmtId="0" fontId="49" fillId="2" borderId="54" xfId="0" applyFont="1" applyFill="1" applyBorder="1" applyAlignment="1">
      <alignment horizontal="center" vertical="center"/>
    </xf>
    <xf numFmtId="0" fontId="49" fillId="2" borderId="1" xfId="0" applyFont="1" applyFill="1" applyBorder="1" applyAlignment="1">
      <alignment horizontal="center" vertical="center"/>
    </xf>
    <xf numFmtId="178" fontId="49" fillId="45" borderId="1" xfId="0" applyNumberFormat="1" applyFont="1" applyFill="1" applyBorder="1" applyAlignment="1">
      <alignment horizontal="center" vertical="center"/>
    </xf>
    <xf numFmtId="0" fontId="54" fillId="0" borderId="0" xfId="0" applyFont="1" applyAlignment="1">
      <alignment horizontal="center" vertical="center"/>
    </xf>
    <xf numFmtId="0" fontId="54" fillId="0" borderId="2" xfId="0" applyFont="1" applyBorder="1" applyAlignment="1">
      <alignment horizontal="center" vertical="center"/>
    </xf>
    <xf numFmtId="0" fontId="49" fillId="0" borderId="1" xfId="0" applyFont="1" applyBorder="1" applyAlignment="1">
      <alignment horizontal="center" vertical="center"/>
    </xf>
    <xf numFmtId="0" fontId="49" fillId="0" borderId="0" xfId="0" applyFont="1" applyAlignment="1">
      <alignment horizontal="center" vertical="center"/>
    </xf>
    <xf numFmtId="0" fontId="49" fillId="0" borderId="43" xfId="0" applyFont="1" applyBorder="1" applyAlignment="1">
      <alignment horizontal="center" vertical="center"/>
    </xf>
    <xf numFmtId="0" fontId="49" fillId="0" borderId="42" xfId="0" applyFont="1" applyBorder="1" applyAlignment="1">
      <alignment horizontal="center" vertical="center"/>
    </xf>
    <xf numFmtId="178" fontId="29" fillId="2" borderId="14" xfId="0" applyNumberFormat="1" applyFont="1" applyFill="1" applyBorder="1" applyAlignment="1">
      <alignment horizontal="center" vertical="center"/>
    </xf>
    <xf numFmtId="178" fontId="29" fillId="2" borderId="1" xfId="0" applyNumberFormat="1" applyFont="1" applyFill="1" applyBorder="1" applyAlignment="1">
      <alignment horizontal="center" vertical="center"/>
    </xf>
    <xf numFmtId="178" fontId="29" fillId="2" borderId="23" xfId="0" applyNumberFormat="1" applyFont="1" applyFill="1" applyBorder="1" applyAlignment="1">
      <alignment horizontal="center" vertical="center"/>
    </xf>
    <xf numFmtId="0" fontId="57" fillId="2" borderId="2" xfId="0" applyFont="1" applyFill="1" applyBorder="1" applyAlignment="1">
      <alignment horizontal="center" vertical="center"/>
    </xf>
    <xf numFmtId="0" fontId="57" fillId="2" borderId="22" xfId="0" applyFont="1" applyFill="1" applyBorder="1" applyAlignment="1">
      <alignment horizontal="center" vertical="center"/>
    </xf>
    <xf numFmtId="0" fontId="57" fillId="2" borderId="10" xfId="0" applyFont="1" applyFill="1" applyBorder="1" applyAlignment="1">
      <alignment horizontal="center" vertical="center"/>
    </xf>
    <xf numFmtId="0" fontId="80" fillId="9" borderId="0" xfId="4" applyFont="1" applyFill="1" applyAlignment="1">
      <alignment horizontal="center" vertical="center" wrapText="1"/>
    </xf>
    <xf numFmtId="0" fontId="83" fillId="0" borderId="0" xfId="4" applyFont="1" applyAlignment="1">
      <alignment horizontal="center" vertical="center" wrapText="1"/>
    </xf>
  </cellXfs>
  <cellStyles count="1065">
    <cellStyle name="20% - 강조색1" xfId="40" builtinId="30" customBuiltin="1"/>
    <cellStyle name="20% - 강조색1 2" xfId="175" xr:uid="{00000000-0005-0000-0000-000001000000}"/>
    <cellStyle name="20% - 강조색1 2 2" xfId="176" xr:uid="{00000000-0005-0000-0000-000002000000}"/>
    <cellStyle name="20% - 강조색1 2 3" xfId="594" xr:uid="{00000000-0005-0000-0000-000003000000}"/>
    <cellStyle name="20% - 강조색1 2 4" xfId="954" xr:uid="{00000000-0005-0000-0000-000004000000}"/>
    <cellStyle name="20% - 강조색1 3" xfId="177" xr:uid="{00000000-0005-0000-0000-000005000000}"/>
    <cellStyle name="20% - 강조색1 3 2" xfId="595" xr:uid="{00000000-0005-0000-0000-000006000000}"/>
    <cellStyle name="20% - 강조색1 3 3" xfId="953" xr:uid="{00000000-0005-0000-0000-000007000000}"/>
    <cellStyle name="20% - 강조색1 4" xfId="178" xr:uid="{00000000-0005-0000-0000-000008000000}"/>
    <cellStyle name="20% - 강조색1 4 2" xfId="596" xr:uid="{00000000-0005-0000-0000-000009000000}"/>
    <cellStyle name="20% - 강조색1 4 3" xfId="952" xr:uid="{00000000-0005-0000-0000-00000A000000}"/>
    <cellStyle name="20% - 강조색1 5" xfId="179" xr:uid="{00000000-0005-0000-0000-00000B000000}"/>
    <cellStyle name="20% - 강조색1 5 2" xfId="597" xr:uid="{00000000-0005-0000-0000-00000C000000}"/>
    <cellStyle name="20% - 강조색1 5 3" xfId="951" xr:uid="{00000000-0005-0000-0000-00000D000000}"/>
    <cellStyle name="20% - 강조색1 6" xfId="180" xr:uid="{00000000-0005-0000-0000-00000E000000}"/>
    <cellStyle name="20% - 강조색1 6 2" xfId="598" xr:uid="{00000000-0005-0000-0000-00000F000000}"/>
    <cellStyle name="20% - 강조색1 6 3" xfId="950" xr:uid="{00000000-0005-0000-0000-000010000000}"/>
    <cellStyle name="20% - 강조색2" xfId="43" builtinId="34" customBuiltin="1"/>
    <cellStyle name="20% - 강조색2 2" xfId="181" xr:uid="{00000000-0005-0000-0000-000012000000}"/>
    <cellStyle name="20% - 강조색2 2 2" xfId="182" xr:uid="{00000000-0005-0000-0000-000013000000}"/>
    <cellStyle name="20% - 강조색2 2 3" xfId="599" xr:uid="{00000000-0005-0000-0000-000014000000}"/>
    <cellStyle name="20% - 강조색2 2 4" xfId="949" xr:uid="{00000000-0005-0000-0000-000015000000}"/>
    <cellStyle name="20% - 강조색2 3" xfId="183" xr:uid="{00000000-0005-0000-0000-000016000000}"/>
    <cellStyle name="20% - 강조색2 3 2" xfId="600" xr:uid="{00000000-0005-0000-0000-000017000000}"/>
    <cellStyle name="20% - 강조색2 3 3" xfId="948" xr:uid="{00000000-0005-0000-0000-000018000000}"/>
    <cellStyle name="20% - 강조색2 4" xfId="184" xr:uid="{00000000-0005-0000-0000-000019000000}"/>
    <cellStyle name="20% - 강조색2 4 2" xfId="601" xr:uid="{00000000-0005-0000-0000-00001A000000}"/>
    <cellStyle name="20% - 강조색2 4 3" xfId="947" xr:uid="{00000000-0005-0000-0000-00001B000000}"/>
    <cellStyle name="20% - 강조색2 5" xfId="185" xr:uid="{00000000-0005-0000-0000-00001C000000}"/>
    <cellStyle name="20% - 강조색2 5 2" xfId="602" xr:uid="{00000000-0005-0000-0000-00001D000000}"/>
    <cellStyle name="20% - 강조색2 5 3" xfId="946" xr:uid="{00000000-0005-0000-0000-00001E000000}"/>
    <cellStyle name="20% - 강조색2 6" xfId="186" xr:uid="{00000000-0005-0000-0000-00001F000000}"/>
    <cellStyle name="20% - 강조색2 6 2" xfId="603" xr:uid="{00000000-0005-0000-0000-000020000000}"/>
    <cellStyle name="20% - 강조색2 6 3" xfId="945" xr:uid="{00000000-0005-0000-0000-000021000000}"/>
    <cellStyle name="20% - 강조색3" xfId="46" builtinId="38" customBuiltin="1"/>
    <cellStyle name="20% - 강조색3 2" xfId="187" xr:uid="{00000000-0005-0000-0000-000023000000}"/>
    <cellStyle name="20% - 강조색3 2 2" xfId="188" xr:uid="{00000000-0005-0000-0000-000024000000}"/>
    <cellStyle name="20% - 강조색3 2 3" xfId="604" xr:uid="{00000000-0005-0000-0000-000025000000}"/>
    <cellStyle name="20% - 강조색3 2 4" xfId="944" xr:uid="{00000000-0005-0000-0000-000026000000}"/>
    <cellStyle name="20% - 강조색3 3" xfId="189" xr:uid="{00000000-0005-0000-0000-000027000000}"/>
    <cellStyle name="20% - 강조색3 3 2" xfId="605" xr:uid="{00000000-0005-0000-0000-000028000000}"/>
    <cellStyle name="20% - 강조색3 3 3" xfId="943" xr:uid="{00000000-0005-0000-0000-000029000000}"/>
    <cellStyle name="20% - 강조색3 4" xfId="190" xr:uid="{00000000-0005-0000-0000-00002A000000}"/>
    <cellStyle name="20% - 강조색3 4 2" xfId="606" xr:uid="{00000000-0005-0000-0000-00002B000000}"/>
    <cellStyle name="20% - 강조색3 4 3" xfId="942" xr:uid="{00000000-0005-0000-0000-00002C000000}"/>
    <cellStyle name="20% - 강조색3 5" xfId="191" xr:uid="{00000000-0005-0000-0000-00002D000000}"/>
    <cellStyle name="20% - 강조색3 5 2" xfId="607" xr:uid="{00000000-0005-0000-0000-00002E000000}"/>
    <cellStyle name="20% - 강조색3 5 3" xfId="941" xr:uid="{00000000-0005-0000-0000-00002F000000}"/>
    <cellStyle name="20% - 강조색3 6" xfId="192" xr:uid="{00000000-0005-0000-0000-000030000000}"/>
    <cellStyle name="20% - 강조색3 6 2" xfId="608" xr:uid="{00000000-0005-0000-0000-000031000000}"/>
    <cellStyle name="20% - 강조색3 6 3" xfId="940" xr:uid="{00000000-0005-0000-0000-000032000000}"/>
    <cellStyle name="20% - 강조색4" xfId="49" builtinId="42" customBuiltin="1"/>
    <cellStyle name="20% - 강조색4 2" xfId="193" xr:uid="{00000000-0005-0000-0000-000034000000}"/>
    <cellStyle name="20% - 강조색4 2 2" xfId="194" xr:uid="{00000000-0005-0000-0000-000035000000}"/>
    <cellStyle name="20% - 강조색4 2 3" xfId="609" xr:uid="{00000000-0005-0000-0000-000036000000}"/>
    <cellStyle name="20% - 강조색4 2 4" xfId="939" xr:uid="{00000000-0005-0000-0000-000037000000}"/>
    <cellStyle name="20% - 강조색4 3" xfId="195" xr:uid="{00000000-0005-0000-0000-000038000000}"/>
    <cellStyle name="20% - 강조색4 3 2" xfId="610" xr:uid="{00000000-0005-0000-0000-000039000000}"/>
    <cellStyle name="20% - 강조색4 3 3" xfId="938" xr:uid="{00000000-0005-0000-0000-00003A000000}"/>
    <cellStyle name="20% - 강조색4 4" xfId="196" xr:uid="{00000000-0005-0000-0000-00003B000000}"/>
    <cellStyle name="20% - 강조색4 4 2" xfId="611" xr:uid="{00000000-0005-0000-0000-00003C000000}"/>
    <cellStyle name="20% - 강조색4 4 3" xfId="937" xr:uid="{00000000-0005-0000-0000-00003D000000}"/>
    <cellStyle name="20% - 강조색4 5" xfId="197" xr:uid="{00000000-0005-0000-0000-00003E000000}"/>
    <cellStyle name="20% - 강조색4 5 2" xfId="612" xr:uid="{00000000-0005-0000-0000-00003F000000}"/>
    <cellStyle name="20% - 강조색4 5 3" xfId="936" xr:uid="{00000000-0005-0000-0000-000040000000}"/>
    <cellStyle name="20% - 강조색4 6" xfId="198" xr:uid="{00000000-0005-0000-0000-000041000000}"/>
    <cellStyle name="20% - 강조색4 6 2" xfId="613" xr:uid="{00000000-0005-0000-0000-000042000000}"/>
    <cellStyle name="20% - 강조색4 6 3" xfId="935" xr:uid="{00000000-0005-0000-0000-000043000000}"/>
    <cellStyle name="20% - 강조색5" xfId="52" builtinId="46" customBuiltin="1"/>
    <cellStyle name="20% - 강조색5 2" xfId="199" xr:uid="{00000000-0005-0000-0000-000045000000}"/>
    <cellStyle name="20% - 강조색5 2 2" xfId="200" xr:uid="{00000000-0005-0000-0000-000046000000}"/>
    <cellStyle name="20% - 강조색5 2 3" xfId="614" xr:uid="{00000000-0005-0000-0000-000047000000}"/>
    <cellStyle name="20% - 강조색5 2 4" xfId="934" xr:uid="{00000000-0005-0000-0000-000048000000}"/>
    <cellStyle name="20% - 강조색5 3" xfId="201" xr:uid="{00000000-0005-0000-0000-000049000000}"/>
    <cellStyle name="20% - 강조색5 3 2" xfId="615" xr:uid="{00000000-0005-0000-0000-00004A000000}"/>
    <cellStyle name="20% - 강조색5 3 3" xfId="933" xr:uid="{00000000-0005-0000-0000-00004B000000}"/>
    <cellStyle name="20% - 강조색5 4" xfId="202" xr:uid="{00000000-0005-0000-0000-00004C000000}"/>
    <cellStyle name="20% - 강조색5 4 2" xfId="616" xr:uid="{00000000-0005-0000-0000-00004D000000}"/>
    <cellStyle name="20% - 강조색5 4 3" xfId="932" xr:uid="{00000000-0005-0000-0000-00004E000000}"/>
    <cellStyle name="20% - 강조색5 5" xfId="203" xr:uid="{00000000-0005-0000-0000-00004F000000}"/>
    <cellStyle name="20% - 강조색5 5 2" xfId="617" xr:uid="{00000000-0005-0000-0000-000050000000}"/>
    <cellStyle name="20% - 강조색5 5 3" xfId="931" xr:uid="{00000000-0005-0000-0000-000051000000}"/>
    <cellStyle name="20% - 강조색5 6" xfId="204" xr:uid="{00000000-0005-0000-0000-000052000000}"/>
    <cellStyle name="20% - 강조색5 6 2" xfId="618" xr:uid="{00000000-0005-0000-0000-000053000000}"/>
    <cellStyle name="20% - 강조색5 6 3" xfId="930" xr:uid="{00000000-0005-0000-0000-000054000000}"/>
    <cellStyle name="20% - 강조색6" xfId="55" builtinId="50" customBuiltin="1"/>
    <cellStyle name="20% - 강조색6 2" xfId="205" xr:uid="{00000000-0005-0000-0000-000056000000}"/>
    <cellStyle name="20% - 강조색6 2 2" xfId="206" xr:uid="{00000000-0005-0000-0000-000057000000}"/>
    <cellStyle name="20% - 강조색6 2 3" xfId="619" xr:uid="{00000000-0005-0000-0000-000058000000}"/>
    <cellStyle name="20% - 강조색6 2 4" xfId="929" xr:uid="{00000000-0005-0000-0000-000059000000}"/>
    <cellStyle name="20% - 강조색6 3" xfId="207" xr:uid="{00000000-0005-0000-0000-00005A000000}"/>
    <cellStyle name="20% - 강조색6 3 2" xfId="620" xr:uid="{00000000-0005-0000-0000-00005B000000}"/>
    <cellStyle name="20% - 강조색6 3 3" xfId="928" xr:uid="{00000000-0005-0000-0000-00005C000000}"/>
    <cellStyle name="20% - 강조색6 4" xfId="208" xr:uid="{00000000-0005-0000-0000-00005D000000}"/>
    <cellStyle name="20% - 강조색6 4 2" xfId="621" xr:uid="{00000000-0005-0000-0000-00005E000000}"/>
    <cellStyle name="20% - 강조색6 4 3" xfId="927" xr:uid="{00000000-0005-0000-0000-00005F000000}"/>
    <cellStyle name="20% - 강조색6 5" xfId="209" xr:uid="{00000000-0005-0000-0000-000060000000}"/>
    <cellStyle name="20% - 강조색6 5 2" xfId="622" xr:uid="{00000000-0005-0000-0000-000061000000}"/>
    <cellStyle name="20% - 강조색6 5 3" xfId="926" xr:uid="{00000000-0005-0000-0000-000062000000}"/>
    <cellStyle name="20% - 강조색6 6" xfId="210" xr:uid="{00000000-0005-0000-0000-000063000000}"/>
    <cellStyle name="20% - 강조색6 6 2" xfId="623" xr:uid="{00000000-0005-0000-0000-000064000000}"/>
    <cellStyle name="20% - 강조색6 6 3" xfId="925" xr:uid="{00000000-0005-0000-0000-000065000000}"/>
    <cellStyle name="40% - 강조색1" xfId="41" builtinId="31" customBuiltin="1"/>
    <cellStyle name="40% - 강조색1 2" xfId="211" xr:uid="{00000000-0005-0000-0000-000067000000}"/>
    <cellStyle name="40% - 강조색1 2 2" xfId="212" xr:uid="{00000000-0005-0000-0000-000068000000}"/>
    <cellStyle name="40% - 강조색1 2 3" xfId="624" xr:uid="{00000000-0005-0000-0000-000069000000}"/>
    <cellStyle name="40% - 강조색1 2 4" xfId="924" xr:uid="{00000000-0005-0000-0000-00006A000000}"/>
    <cellStyle name="40% - 강조색1 3" xfId="213" xr:uid="{00000000-0005-0000-0000-00006B000000}"/>
    <cellStyle name="40% - 강조색1 3 2" xfId="625" xr:uid="{00000000-0005-0000-0000-00006C000000}"/>
    <cellStyle name="40% - 강조색1 3 3" xfId="923" xr:uid="{00000000-0005-0000-0000-00006D000000}"/>
    <cellStyle name="40% - 강조색1 4" xfId="214" xr:uid="{00000000-0005-0000-0000-00006E000000}"/>
    <cellStyle name="40% - 강조색1 4 2" xfId="626" xr:uid="{00000000-0005-0000-0000-00006F000000}"/>
    <cellStyle name="40% - 강조색1 4 3" xfId="922" xr:uid="{00000000-0005-0000-0000-000070000000}"/>
    <cellStyle name="40% - 강조색1 5" xfId="215" xr:uid="{00000000-0005-0000-0000-000071000000}"/>
    <cellStyle name="40% - 강조색1 5 2" xfId="627" xr:uid="{00000000-0005-0000-0000-000072000000}"/>
    <cellStyle name="40% - 강조색1 5 3" xfId="921" xr:uid="{00000000-0005-0000-0000-000073000000}"/>
    <cellStyle name="40% - 강조색1 6" xfId="216" xr:uid="{00000000-0005-0000-0000-000074000000}"/>
    <cellStyle name="40% - 강조색1 6 2" xfId="628" xr:uid="{00000000-0005-0000-0000-000075000000}"/>
    <cellStyle name="40% - 강조색1 6 3" xfId="920" xr:uid="{00000000-0005-0000-0000-000076000000}"/>
    <cellStyle name="40% - 강조색2" xfId="44" builtinId="35" customBuiltin="1"/>
    <cellStyle name="40% - 강조색2 2" xfId="217" xr:uid="{00000000-0005-0000-0000-000078000000}"/>
    <cellStyle name="40% - 강조색2 2 2" xfId="218" xr:uid="{00000000-0005-0000-0000-000079000000}"/>
    <cellStyle name="40% - 강조색2 2 3" xfId="629" xr:uid="{00000000-0005-0000-0000-00007A000000}"/>
    <cellStyle name="40% - 강조색2 2 4" xfId="919" xr:uid="{00000000-0005-0000-0000-00007B000000}"/>
    <cellStyle name="40% - 강조색2 3" xfId="219" xr:uid="{00000000-0005-0000-0000-00007C000000}"/>
    <cellStyle name="40% - 강조색2 3 2" xfId="630" xr:uid="{00000000-0005-0000-0000-00007D000000}"/>
    <cellStyle name="40% - 강조색2 3 3" xfId="918" xr:uid="{00000000-0005-0000-0000-00007E000000}"/>
    <cellStyle name="40% - 강조색2 4" xfId="220" xr:uid="{00000000-0005-0000-0000-00007F000000}"/>
    <cellStyle name="40% - 강조색2 4 2" xfId="631" xr:uid="{00000000-0005-0000-0000-000080000000}"/>
    <cellStyle name="40% - 강조색2 4 3" xfId="917" xr:uid="{00000000-0005-0000-0000-000081000000}"/>
    <cellStyle name="40% - 강조색2 5" xfId="221" xr:uid="{00000000-0005-0000-0000-000082000000}"/>
    <cellStyle name="40% - 강조색2 5 2" xfId="632" xr:uid="{00000000-0005-0000-0000-000083000000}"/>
    <cellStyle name="40% - 강조색2 5 3" xfId="916" xr:uid="{00000000-0005-0000-0000-000084000000}"/>
    <cellStyle name="40% - 강조색2 6" xfId="222" xr:uid="{00000000-0005-0000-0000-000085000000}"/>
    <cellStyle name="40% - 강조색2 6 2" xfId="633" xr:uid="{00000000-0005-0000-0000-000086000000}"/>
    <cellStyle name="40% - 강조색2 6 3" xfId="915" xr:uid="{00000000-0005-0000-0000-000087000000}"/>
    <cellStyle name="40% - 강조색3" xfId="47" builtinId="39" customBuiltin="1"/>
    <cellStyle name="40% - 강조색3 2" xfId="223" xr:uid="{00000000-0005-0000-0000-000089000000}"/>
    <cellStyle name="40% - 강조색3 2 2" xfId="224" xr:uid="{00000000-0005-0000-0000-00008A000000}"/>
    <cellStyle name="40% - 강조색3 2 3" xfId="634" xr:uid="{00000000-0005-0000-0000-00008B000000}"/>
    <cellStyle name="40% - 강조색3 2 4" xfId="914" xr:uid="{00000000-0005-0000-0000-00008C000000}"/>
    <cellStyle name="40% - 강조색3 3" xfId="225" xr:uid="{00000000-0005-0000-0000-00008D000000}"/>
    <cellStyle name="40% - 강조색3 3 2" xfId="635" xr:uid="{00000000-0005-0000-0000-00008E000000}"/>
    <cellStyle name="40% - 강조색3 3 3" xfId="913" xr:uid="{00000000-0005-0000-0000-00008F000000}"/>
    <cellStyle name="40% - 강조색3 4" xfId="226" xr:uid="{00000000-0005-0000-0000-000090000000}"/>
    <cellStyle name="40% - 강조색3 4 2" xfId="636" xr:uid="{00000000-0005-0000-0000-000091000000}"/>
    <cellStyle name="40% - 강조색3 4 3" xfId="912" xr:uid="{00000000-0005-0000-0000-000092000000}"/>
    <cellStyle name="40% - 강조색3 5" xfId="227" xr:uid="{00000000-0005-0000-0000-000093000000}"/>
    <cellStyle name="40% - 강조색3 5 2" xfId="637" xr:uid="{00000000-0005-0000-0000-000094000000}"/>
    <cellStyle name="40% - 강조색3 5 3" xfId="911" xr:uid="{00000000-0005-0000-0000-000095000000}"/>
    <cellStyle name="40% - 강조색3 6" xfId="228" xr:uid="{00000000-0005-0000-0000-000096000000}"/>
    <cellStyle name="40% - 강조색3 6 2" xfId="638" xr:uid="{00000000-0005-0000-0000-000097000000}"/>
    <cellStyle name="40% - 강조색3 6 3" xfId="910" xr:uid="{00000000-0005-0000-0000-000098000000}"/>
    <cellStyle name="40% - 강조색4" xfId="50" builtinId="43" customBuiltin="1"/>
    <cellStyle name="40% - 강조색4 2" xfId="229" xr:uid="{00000000-0005-0000-0000-00009A000000}"/>
    <cellStyle name="40% - 강조색4 2 2" xfId="230" xr:uid="{00000000-0005-0000-0000-00009B000000}"/>
    <cellStyle name="40% - 강조색4 2 3" xfId="639" xr:uid="{00000000-0005-0000-0000-00009C000000}"/>
    <cellStyle name="40% - 강조색4 2 4" xfId="909" xr:uid="{00000000-0005-0000-0000-00009D000000}"/>
    <cellStyle name="40% - 강조색4 3" xfId="231" xr:uid="{00000000-0005-0000-0000-00009E000000}"/>
    <cellStyle name="40% - 강조색4 3 2" xfId="640" xr:uid="{00000000-0005-0000-0000-00009F000000}"/>
    <cellStyle name="40% - 강조색4 3 3" xfId="908" xr:uid="{00000000-0005-0000-0000-0000A0000000}"/>
    <cellStyle name="40% - 강조색4 4" xfId="232" xr:uid="{00000000-0005-0000-0000-0000A1000000}"/>
    <cellStyle name="40% - 강조색4 4 2" xfId="641" xr:uid="{00000000-0005-0000-0000-0000A2000000}"/>
    <cellStyle name="40% - 강조색4 4 3" xfId="907" xr:uid="{00000000-0005-0000-0000-0000A3000000}"/>
    <cellStyle name="40% - 강조색4 5" xfId="233" xr:uid="{00000000-0005-0000-0000-0000A4000000}"/>
    <cellStyle name="40% - 강조색4 5 2" xfId="642" xr:uid="{00000000-0005-0000-0000-0000A5000000}"/>
    <cellStyle name="40% - 강조색4 5 3" xfId="906" xr:uid="{00000000-0005-0000-0000-0000A6000000}"/>
    <cellStyle name="40% - 강조색4 6" xfId="234" xr:uid="{00000000-0005-0000-0000-0000A7000000}"/>
    <cellStyle name="40% - 강조색4 6 2" xfId="643" xr:uid="{00000000-0005-0000-0000-0000A8000000}"/>
    <cellStyle name="40% - 강조색4 6 3" xfId="905" xr:uid="{00000000-0005-0000-0000-0000A9000000}"/>
    <cellStyle name="40% - 강조색5" xfId="53" builtinId="47" customBuiltin="1"/>
    <cellStyle name="40% - 강조색5 2" xfId="235" xr:uid="{00000000-0005-0000-0000-0000AB000000}"/>
    <cellStyle name="40% - 강조색5 2 2" xfId="236" xr:uid="{00000000-0005-0000-0000-0000AC000000}"/>
    <cellStyle name="40% - 강조색5 2 3" xfId="644" xr:uid="{00000000-0005-0000-0000-0000AD000000}"/>
    <cellStyle name="40% - 강조색5 2 4" xfId="904" xr:uid="{00000000-0005-0000-0000-0000AE000000}"/>
    <cellStyle name="40% - 강조색5 3" xfId="237" xr:uid="{00000000-0005-0000-0000-0000AF000000}"/>
    <cellStyle name="40% - 강조색5 3 2" xfId="645" xr:uid="{00000000-0005-0000-0000-0000B0000000}"/>
    <cellStyle name="40% - 강조색5 3 3" xfId="903" xr:uid="{00000000-0005-0000-0000-0000B1000000}"/>
    <cellStyle name="40% - 강조색5 4" xfId="238" xr:uid="{00000000-0005-0000-0000-0000B2000000}"/>
    <cellStyle name="40% - 강조색5 4 2" xfId="646" xr:uid="{00000000-0005-0000-0000-0000B3000000}"/>
    <cellStyle name="40% - 강조색5 4 3" xfId="902" xr:uid="{00000000-0005-0000-0000-0000B4000000}"/>
    <cellStyle name="40% - 강조색5 5" xfId="239" xr:uid="{00000000-0005-0000-0000-0000B5000000}"/>
    <cellStyle name="40% - 강조색5 5 2" xfId="647" xr:uid="{00000000-0005-0000-0000-0000B6000000}"/>
    <cellStyle name="40% - 강조색5 5 3" xfId="901" xr:uid="{00000000-0005-0000-0000-0000B7000000}"/>
    <cellStyle name="40% - 강조색5 6" xfId="240" xr:uid="{00000000-0005-0000-0000-0000B8000000}"/>
    <cellStyle name="40% - 강조색5 6 2" xfId="648" xr:uid="{00000000-0005-0000-0000-0000B9000000}"/>
    <cellStyle name="40% - 강조색5 6 3" xfId="900" xr:uid="{00000000-0005-0000-0000-0000BA000000}"/>
    <cellStyle name="40% - 강조색6" xfId="56" builtinId="51" customBuiltin="1"/>
    <cellStyle name="40% - 강조색6 2" xfId="241" xr:uid="{00000000-0005-0000-0000-0000BC000000}"/>
    <cellStyle name="40% - 강조색6 2 2" xfId="242" xr:uid="{00000000-0005-0000-0000-0000BD000000}"/>
    <cellStyle name="40% - 강조색6 2 3" xfId="649" xr:uid="{00000000-0005-0000-0000-0000BE000000}"/>
    <cellStyle name="40% - 강조색6 2 4" xfId="899" xr:uid="{00000000-0005-0000-0000-0000BF000000}"/>
    <cellStyle name="40% - 강조색6 3" xfId="243" xr:uid="{00000000-0005-0000-0000-0000C0000000}"/>
    <cellStyle name="40% - 강조색6 3 2" xfId="650" xr:uid="{00000000-0005-0000-0000-0000C1000000}"/>
    <cellStyle name="40% - 강조색6 3 3" xfId="898" xr:uid="{00000000-0005-0000-0000-0000C2000000}"/>
    <cellStyle name="40% - 강조색6 4" xfId="244" xr:uid="{00000000-0005-0000-0000-0000C3000000}"/>
    <cellStyle name="40% - 강조색6 4 2" xfId="651" xr:uid="{00000000-0005-0000-0000-0000C4000000}"/>
    <cellStyle name="40% - 강조색6 4 3" xfId="897" xr:uid="{00000000-0005-0000-0000-0000C5000000}"/>
    <cellStyle name="40% - 강조색6 5" xfId="245" xr:uid="{00000000-0005-0000-0000-0000C6000000}"/>
    <cellStyle name="40% - 강조색6 5 2" xfId="652" xr:uid="{00000000-0005-0000-0000-0000C7000000}"/>
    <cellStyle name="40% - 강조색6 5 3" xfId="896" xr:uid="{00000000-0005-0000-0000-0000C8000000}"/>
    <cellStyle name="40% - 강조색6 6" xfId="246" xr:uid="{00000000-0005-0000-0000-0000C9000000}"/>
    <cellStyle name="40% - 강조색6 6 2" xfId="653" xr:uid="{00000000-0005-0000-0000-0000CA000000}"/>
    <cellStyle name="40% - 강조색6 6 3" xfId="895" xr:uid="{00000000-0005-0000-0000-0000CB000000}"/>
    <cellStyle name="60% - 강조색1 2" xfId="64" xr:uid="{00000000-0005-0000-0000-0000CC000000}"/>
    <cellStyle name="60% - 강조색1 2 2" xfId="248" xr:uid="{00000000-0005-0000-0000-0000CD000000}"/>
    <cellStyle name="60% - 강조색1 2 3" xfId="654" xr:uid="{00000000-0005-0000-0000-0000CE000000}"/>
    <cellStyle name="60% - 강조색1 2 4" xfId="894" xr:uid="{00000000-0005-0000-0000-0000CF000000}"/>
    <cellStyle name="60% - 강조색1 2 5" xfId="247" xr:uid="{00000000-0005-0000-0000-0000D0000000}"/>
    <cellStyle name="60% - 강조색1 3" xfId="249" xr:uid="{00000000-0005-0000-0000-0000D1000000}"/>
    <cellStyle name="60% - 강조색1 3 2" xfId="655" xr:uid="{00000000-0005-0000-0000-0000D2000000}"/>
    <cellStyle name="60% - 강조색1 3 3" xfId="893" xr:uid="{00000000-0005-0000-0000-0000D3000000}"/>
    <cellStyle name="60% - 강조색1 4" xfId="250" xr:uid="{00000000-0005-0000-0000-0000D4000000}"/>
    <cellStyle name="60% - 강조색1 4 2" xfId="656" xr:uid="{00000000-0005-0000-0000-0000D5000000}"/>
    <cellStyle name="60% - 강조색1 4 3" xfId="892" xr:uid="{00000000-0005-0000-0000-0000D6000000}"/>
    <cellStyle name="60% - 강조색1 5" xfId="251" xr:uid="{00000000-0005-0000-0000-0000D7000000}"/>
    <cellStyle name="60% - 강조색1 5 2" xfId="657" xr:uid="{00000000-0005-0000-0000-0000D8000000}"/>
    <cellStyle name="60% - 강조색1 5 3" xfId="891" xr:uid="{00000000-0005-0000-0000-0000D9000000}"/>
    <cellStyle name="60% - 강조색1 6" xfId="252" xr:uid="{00000000-0005-0000-0000-0000DA000000}"/>
    <cellStyle name="60% - 강조색1 6 2" xfId="658" xr:uid="{00000000-0005-0000-0000-0000DB000000}"/>
    <cellStyle name="60% - 강조색1 6 3" xfId="890" xr:uid="{00000000-0005-0000-0000-0000DC000000}"/>
    <cellStyle name="60% - 강조색2 2" xfId="65" xr:uid="{00000000-0005-0000-0000-0000DD000000}"/>
    <cellStyle name="60% - 강조색2 2 2" xfId="254" xr:uid="{00000000-0005-0000-0000-0000DE000000}"/>
    <cellStyle name="60% - 강조색2 2 3" xfId="659" xr:uid="{00000000-0005-0000-0000-0000DF000000}"/>
    <cellStyle name="60% - 강조색2 2 4" xfId="889" xr:uid="{00000000-0005-0000-0000-0000E0000000}"/>
    <cellStyle name="60% - 강조색2 2 5" xfId="253" xr:uid="{00000000-0005-0000-0000-0000E1000000}"/>
    <cellStyle name="60% - 강조색2 3" xfId="255" xr:uid="{00000000-0005-0000-0000-0000E2000000}"/>
    <cellStyle name="60% - 강조색2 3 2" xfId="660" xr:uid="{00000000-0005-0000-0000-0000E3000000}"/>
    <cellStyle name="60% - 강조색2 3 3" xfId="888" xr:uid="{00000000-0005-0000-0000-0000E4000000}"/>
    <cellStyle name="60% - 강조색2 4" xfId="256" xr:uid="{00000000-0005-0000-0000-0000E5000000}"/>
    <cellStyle name="60% - 강조색2 4 2" xfId="661" xr:uid="{00000000-0005-0000-0000-0000E6000000}"/>
    <cellStyle name="60% - 강조색2 4 3" xfId="887" xr:uid="{00000000-0005-0000-0000-0000E7000000}"/>
    <cellStyle name="60% - 강조색2 5" xfId="257" xr:uid="{00000000-0005-0000-0000-0000E8000000}"/>
    <cellStyle name="60% - 강조색2 5 2" xfId="662" xr:uid="{00000000-0005-0000-0000-0000E9000000}"/>
    <cellStyle name="60% - 강조색2 5 3" xfId="886" xr:uid="{00000000-0005-0000-0000-0000EA000000}"/>
    <cellStyle name="60% - 강조색2 6" xfId="258" xr:uid="{00000000-0005-0000-0000-0000EB000000}"/>
    <cellStyle name="60% - 강조색2 6 2" xfId="663" xr:uid="{00000000-0005-0000-0000-0000EC000000}"/>
    <cellStyle name="60% - 강조색2 6 3" xfId="885" xr:uid="{00000000-0005-0000-0000-0000ED000000}"/>
    <cellStyle name="60% - 강조색3 2" xfId="66" xr:uid="{00000000-0005-0000-0000-0000EE000000}"/>
    <cellStyle name="60% - 강조색3 2 2" xfId="260" xr:uid="{00000000-0005-0000-0000-0000EF000000}"/>
    <cellStyle name="60% - 강조색3 2 3" xfId="664" xr:uid="{00000000-0005-0000-0000-0000F0000000}"/>
    <cellStyle name="60% - 강조색3 2 4" xfId="884" xr:uid="{00000000-0005-0000-0000-0000F1000000}"/>
    <cellStyle name="60% - 강조색3 2 5" xfId="259" xr:uid="{00000000-0005-0000-0000-0000F2000000}"/>
    <cellStyle name="60% - 강조색3 3" xfId="261" xr:uid="{00000000-0005-0000-0000-0000F3000000}"/>
    <cellStyle name="60% - 강조색3 3 2" xfId="665" xr:uid="{00000000-0005-0000-0000-0000F4000000}"/>
    <cellStyle name="60% - 강조색3 3 3" xfId="883" xr:uid="{00000000-0005-0000-0000-0000F5000000}"/>
    <cellStyle name="60% - 강조색3 4" xfId="262" xr:uid="{00000000-0005-0000-0000-0000F6000000}"/>
    <cellStyle name="60% - 강조색3 4 2" xfId="666" xr:uid="{00000000-0005-0000-0000-0000F7000000}"/>
    <cellStyle name="60% - 강조색3 4 3" xfId="882" xr:uid="{00000000-0005-0000-0000-0000F8000000}"/>
    <cellStyle name="60% - 강조색3 5" xfId="263" xr:uid="{00000000-0005-0000-0000-0000F9000000}"/>
    <cellStyle name="60% - 강조색3 5 2" xfId="667" xr:uid="{00000000-0005-0000-0000-0000FA000000}"/>
    <cellStyle name="60% - 강조색3 5 3" xfId="881" xr:uid="{00000000-0005-0000-0000-0000FB000000}"/>
    <cellStyle name="60% - 강조색3 6" xfId="264" xr:uid="{00000000-0005-0000-0000-0000FC000000}"/>
    <cellStyle name="60% - 강조색3 6 2" xfId="668" xr:uid="{00000000-0005-0000-0000-0000FD000000}"/>
    <cellStyle name="60% - 강조색3 6 3" xfId="880" xr:uid="{00000000-0005-0000-0000-0000FE000000}"/>
    <cellStyle name="60% - 강조색4 2" xfId="68" xr:uid="{00000000-0005-0000-0000-0000FF000000}"/>
    <cellStyle name="60% - 강조색4 2 2" xfId="266" xr:uid="{00000000-0005-0000-0000-000000010000}"/>
    <cellStyle name="60% - 강조색4 2 3" xfId="669" xr:uid="{00000000-0005-0000-0000-000001010000}"/>
    <cellStyle name="60% - 강조색4 2 4" xfId="879" xr:uid="{00000000-0005-0000-0000-000002010000}"/>
    <cellStyle name="60% - 강조색4 2 5" xfId="265" xr:uid="{00000000-0005-0000-0000-000003010000}"/>
    <cellStyle name="60% - 강조색4 3" xfId="267" xr:uid="{00000000-0005-0000-0000-000004010000}"/>
    <cellStyle name="60% - 강조색4 3 2" xfId="670" xr:uid="{00000000-0005-0000-0000-000005010000}"/>
    <cellStyle name="60% - 강조색4 3 3" xfId="878" xr:uid="{00000000-0005-0000-0000-000006010000}"/>
    <cellStyle name="60% - 강조색4 4" xfId="268" xr:uid="{00000000-0005-0000-0000-000007010000}"/>
    <cellStyle name="60% - 강조색4 4 2" xfId="671" xr:uid="{00000000-0005-0000-0000-000008010000}"/>
    <cellStyle name="60% - 강조색4 4 3" xfId="877" xr:uid="{00000000-0005-0000-0000-000009010000}"/>
    <cellStyle name="60% - 강조색4 5" xfId="269" xr:uid="{00000000-0005-0000-0000-00000A010000}"/>
    <cellStyle name="60% - 강조색4 5 2" xfId="672" xr:uid="{00000000-0005-0000-0000-00000B010000}"/>
    <cellStyle name="60% - 강조색4 5 3" xfId="876" xr:uid="{00000000-0005-0000-0000-00000C010000}"/>
    <cellStyle name="60% - 강조색4 6" xfId="270" xr:uid="{00000000-0005-0000-0000-00000D010000}"/>
    <cellStyle name="60% - 강조색4 6 2" xfId="673" xr:uid="{00000000-0005-0000-0000-00000E010000}"/>
    <cellStyle name="60% - 강조색4 6 3" xfId="875" xr:uid="{00000000-0005-0000-0000-00000F010000}"/>
    <cellStyle name="60% - 강조색5 2" xfId="69" xr:uid="{00000000-0005-0000-0000-000010010000}"/>
    <cellStyle name="60% - 강조색5 2 2" xfId="272" xr:uid="{00000000-0005-0000-0000-000011010000}"/>
    <cellStyle name="60% - 강조색5 2 3" xfId="674" xr:uid="{00000000-0005-0000-0000-000012010000}"/>
    <cellStyle name="60% - 강조색5 2 4" xfId="874" xr:uid="{00000000-0005-0000-0000-000013010000}"/>
    <cellStyle name="60% - 강조색5 2 5" xfId="271" xr:uid="{00000000-0005-0000-0000-000014010000}"/>
    <cellStyle name="60% - 강조색5 3" xfId="273" xr:uid="{00000000-0005-0000-0000-000015010000}"/>
    <cellStyle name="60% - 강조색5 3 2" xfId="675" xr:uid="{00000000-0005-0000-0000-000016010000}"/>
    <cellStyle name="60% - 강조색5 3 3" xfId="873" xr:uid="{00000000-0005-0000-0000-000017010000}"/>
    <cellStyle name="60% - 강조색5 4" xfId="274" xr:uid="{00000000-0005-0000-0000-000018010000}"/>
    <cellStyle name="60% - 강조색5 4 2" xfId="676" xr:uid="{00000000-0005-0000-0000-000019010000}"/>
    <cellStyle name="60% - 강조색5 4 3" xfId="872" xr:uid="{00000000-0005-0000-0000-00001A010000}"/>
    <cellStyle name="60% - 강조색5 5" xfId="275" xr:uid="{00000000-0005-0000-0000-00001B010000}"/>
    <cellStyle name="60% - 강조색5 5 2" xfId="677" xr:uid="{00000000-0005-0000-0000-00001C010000}"/>
    <cellStyle name="60% - 강조색5 5 3" xfId="871" xr:uid="{00000000-0005-0000-0000-00001D010000}"/>
    <cellStyle name="60% - 강조색5 6" xfId="276" xr:uid="{00000000-0005-0000-0000-00001E010000}"/>
    <cellStyle name="60% - 강조색5 6 2" xfId="678" xr:uid="{00000000-0005-0000-0000-00001F010000}"/>
    <cellStyle name="60% - 강조색5 6 3" xfId="870" xr:uid="{00000000-0005-0000-0000-000020010000}"/>
    <cellStyle name="60% - 강조색6 2" xfId="71" xr:uid="{00000000-0005-0000-0000-000021010000}"/>
    <cellStyle name="60% - 강조색6 2 2" xfId="278" xr:uid="{00000000-0005-0000-0000-000022010000}"/>
    <cellStyle name="60% - 강조색6 2 3" xfId="679" xr:uid="{00000000-0005-0000-0000-000023010000}"/>
    <cellStyle name="60% - 강조색6 2 4" xfId="869" xr:uid="{00000000-0005-0000-0000-000024010000}"/>
    <cellStyle name="60% - 강조색6 2 5" xfId="277" xr:uid="{00000000-0005-0000-0000-000025010000}"/>
    <cellStyle name="60% - 강조색6 3" xfId="279" xr:uid="{00000000-0005-0000-0000-000026010000}"/>
    <cellStyle name="60% - 강조색6 3 2" xfId="680" xr:uid="{00000000-0005-0000-0000-000027010000}"/>
    <cellStyle name="60% - 강조색6 3 3" xfId="868" xr:uid="{00000000-0005-0000-0000-000028010000}"/>
    <cellStyle name="60% - 강조색6 4" xfId="280" xr:uid="{00000000-0005-0000-0000-000029010000}"/>
    <cellStyle name="60% - 강조색6 4 2" xfId="681" xr:uid="{00000000-0005-0000-0000-00002A010000}"/>
    <cellStyle name="60% - 강조색6 4 3" xfId="867" xr:uid="{00000000-0005-0000-0000-00002B010000}"/>
    <cellStyle name="60% - 강조색6 5" xfId="281" xr:uid="{00000000-0005-0000-0000-00002C010000}"/>
    <cellStyle name="60% - 강조색6 5 2" xfId="682" xr:uid="{00000000-0005-0000-0000-00002D010000}"/>
    <cellStyle name="60% - 강조색6 5 3" xfId="866" xr:uid="{00000000-0005-0000-0000-00002E010000}"/>
    <cellStyle name="60% - 강조색6 6" xfId="282" xr:uid="{00000000-0005-0000-0000-00002F010000}"/>
    <cellStyle name="60% - 강조색6 6 2" xfId="683" xr:uid="{00000000-0005-0000-0000-000030010000}"/>
    <cellStyle name="60% - 강조색6 6 3" xfId="865" xr:uid="{00000000-0005-0000-0000-000031010000}"/>
    <cellStyle name="Comma [0]" xfId="154" xr:uid="{00000000-0005-0000-0000-000032010000}"/>
    <cellStyle name="Comma_ SG&amp;A Bridge " xfId="149" xr:uid="{00000000-0005-0000-0000-000033010000}"/>
    <cellStyle name="Currency [0]" xfId="153" xr:uid="{00000000-0005-0000-0000-000034010000}"/>
    <cellStyle name="Currency_ SG&amp;A Bridge " xfId="147" xr:uid="{00000000-0005-0000-0000-000035010000}"/>
    <cellStyle name="Currency1" xfId="151" xr:uid="{00000000-0005-0000-0000-000036010000}"/>
    <cellStyle name="Header1" xfId="73" xr:uid="{00000000-0005-0000-0000-000037010000}"/>
    <cellStyle name="Header2" xfId="152" xr:uid="{00000000-0005-0000-0000-000038010000}"/>
    <cellStyle name="Normal_ SG&amp;A Bridge " xfId="148" xr:uid="{00000000-0005-0000-0000-000039010000}"/>
    <cellStyle name="Percent [2]" xfId="150" xr:uid="{00000000-0005-0000-0000-00003A010000}"/>
    <cellStyle name="subhead" xfId="146" xr:uid="{00000000-0005-0000-0000-00003B010000}"/>
    <cellStyle name="강조색1" xfId="39" builtinId="29" customBuiltin="1"/>
    <cellStyle name="강조색1 2" xfId="283" xr:uid="{00000000-0005-0000-0000-00003D010000}"/>
    <cellStyle name="강조색1 2 2" xfId="284" xr:uid="{00000000-0005-0000-0000-00003E010000}"/>
    <cellStyle name="강조색1 2 3" xfId="684" xr:uid="{00000000-0005-0000-0000-00003F010000}"/>
    <cellStyle name="강조색1 2 4" xfId="864" xr:uid="{00000000-0005-0000-0000-000040010000}"/>
    <cellStyle name="강조색1 3" xfId="285" xr:uid="{00000000-0005-0000-0000-000041010000}"/>
    <cellStyle name="강조색1 3 2" xfId="685" xr:uid="{00000000-0005-0000-0000-000042010000}"/>
    <cellStyle name="강조색1 3 3" xfId="863" xr:uid="{00000000-0005-0000-0000-000043010000}"/>
    <cellStyle name="강조색1 4" xfId="286" xr:uid="{00000000-0005-0000-0000-000044010000}"/>
    <cellStyle name="강조색1 4 2" xfId="686" xr:uid="{00000000-0005-0000-0000-000045010000}"/>
    <cellStyle name="강조색1 4 3" xfId="862" xr:uid="{00000000-0005-0000-0000-000046010000}"/>
    <cellStyle name="강조색1 5" xfId="287" xr:uid="{00000000-0005-0000-0000-000047010000}"/>
    <cellStyle name="강조색1 5 2" xfId="687" xr:uid="{00000000-0005-0000-0000-000048010000}"/>
    <cellStyle name="강조색1 5 3" xfId="861" xr:uid="{00000000-0005-0000-0000-000049010000}"/>
    <cellStyle name="강조색1 6" xfId="288" xr:uid="{00000000-0005-0000-0000-00004A010000}"/>
    <cellStyle name="강조색1 6 2" xfId="688" xr:uid="{00000000-0005-0000-0000-00004B010000}"/>
    <cellStyle name="강조색1 6 3" xfId="860" xr:uid="{00000000-0005-0000-0000-00004C010000}"/>
    <cellStyle name="강조색2" xfId="42" builtinId="33" customBuiltin="1"/>
    <cellStyle name="강조색2 2" xfId="289" xr:uid="{00000000-0005-0000-0000-00004E010000}"/>
    <cellStyle name="강조색2 2 2" xfId="290" xr:uid="{00000000-0005-0000-0000-00004F010000}"/>
    <cellStyle name="강조색2 2 3" xfId="689" xr:uid="{00000000-0005-0000-0000-000050010000}"/>
    <cellStyle name="강조색2 2 4" xfId="859" xr:uid="{00000000-0005-0000-0000-000051010000}"/>
    <cellStyle name="강조색2 3" xfId="291" xr:uid="{00000000-0005-0000-0000-000052010000}"/>
    <cellStyle name="강조색2 3 2" xfId="690" xr:uid="{00000000-0005-0000-0000-000053010000}"/>
    <cellStyle name="강조색2 3 3" xfId="858" xr:uid="{00000000-0005-0000-0000-000054010000}"/>
    <cellStyle name="강조색2 4" xfId="292" xr:uid="{00000000-0005-0000-0000-000055010000}"/>
    <cellStyle name="강조색2 4 2" xfId="691" xr:uid="{00000000-0005-0000-0000-000056010000}"/>
    <cellStyle name="강조색2 4 3" xfId="857" xr:uid="{00000000-0005-0000-0000-000057010000}"/>
    <cellStyle name="강조색2 5" xfId="293" xr:uid="{00000000-0005-0000-0000-000058010000}"/>
    <cellStyle name="강조색2 5 2" xfId="692" xr:uid="{00000000-0005-0000-0000-000059010000}"/>
    <cellStyle name="강조색2 5 3" xfId="856" xr:uid="{00000000-0005-0000-0000-00005A010000}"/>
    <cellStyle name="강조색2 6" xfId="294" xr:uid="{00000000-0005-0000-0000-00005B010000}"/>
    <cellStyle name="강조색2 6 2" xfId="693" xr:uid="{00000000-0005-0000-0000-00005C010000}"/>
    <cellStyle name="강조색2 6 3" xfId="855" xr:uid="{00000000-0005-0000-0000-00005D010000}"/>
    <cellStyle name="강조색3" xfId="45" builtinId="37" customBuiltin="1"/>
    <cellStyle name="강조색3 2" xfId="295" xr:uid="{00000000-0005-0000-0000-00005F010000}"/>
    <cellStyle name="강조색3 2 2" xfId="296" xr:uid="{00000000-0005-0000-0000-000060010000}"/>
    <cellStyle name="강조색3 2 3" xfId="694" xr:uid="{00000000-0005-0000-0000-000061010000}"/>
    <cellStyle name="강조색3 2 4" xfId="854" xr:uid="{00000000-0005-0000-0000-000062010000}"/>
    <cellStyle name="강조색3 3" xfId="297" xr:uid="{00000000-0005-0000-0000-000063010000}"/>
    <cellStyle name="강조색3 3 2" xfId="695" xr:uid="{00000000-0005-0000-0000-000064010000}"/>
    <cellStyle name="강조색3 3 3" xfId="853" xr:uid="{00000000-0005-0000-0000-000065010000}"/>
    <cellStyle name="강조색3 4" xfId="298" xr:uid="{00000000-0005-0000-0000-000066010000}"/>
    <cellStyle name="강조색3 4 2" xfId="696" xr:uid="{00000000-0005-0000-0000-000067010000}"/>
    <cellStyle name="강조색3 4 3" xfId="852" xr:uid="{00000000-0005-0000-0000-000068010000}"/>
    <cellStyle name="강조색3 5" xfId="299" xr:uid="{00000000-0005-0000-0000-000069010000}"/>
    <cellStyle name="강조색3 5 2" xfId="697" xr:uid="{00000000-0005-0000-0000-00006A010000}"/>
    <cellStyle name="강조색3 5 3" xfId="851" xr:uid="{00000000-0005-0000-0000-00006B010000}"/>
    <cellStyle name="강조색3 6" xfId="300" xr:uid="{00000000-0005-0000-0000-00006C010000}"/>
    <cellStyle name="강조색3 6 2" xfId="698" xr:uid="{00000000-0005-0000-0000-00006D010000}"/>
    <cellStyle name="강조색3 6 3" xfId="850" xr:uid="{00000000-0005-0000-0000-00006E010000}"/>
    <cellStyle name="강조색4" xfId="48" builtinId="41" customBuiltin="1"/>
    <cellStyle name="강조색4 2" xfId="301" xr:uid="{00000000-0005-0000-0000-000070010000}"/>
    <cellStyle name="강조색4 2 2" xfId="302" xr:uid="{00000000-0005-0000-0000-000071010000}"/>
    <cellStyle name="강조색4 2 3" xfId="699" xr:uid="{00000000-0005-0000-0000-000072010000}"/>
    <cellStyle name="강조색4 2 4" xfId="849" xr:uid="{00000000-0005-0000-0000-000073010000}"/>
    <cellStyle name="강조색4 3" xfId="303" xr:uid="{00000000-0005-0000-0000-000074010000}"/>
    <cellStyle name="강조색4 3 2" xfId="700" xr:uid="{00000000-0005-0000-0000-000075010000}"/>
    <cellStyle name="강조색4 3 3" xfId="848" xr:uid="{00000000-0005-0000-0000-000076010000}"/>
    <cellStyle name="강조색4 4" xfId="304" xr:uid="{00000000-0005-0000-0000-000077010000}"/>
    <cellStyle name="강조색4 4 2" xfId="701" xr:uid="{00000000-0005-0000-0000-000078010000}"/>
    <cellStyle name="강조색4 4 3" xfId="847" xr:uid="{00000000-0005-0000-0000-000079010000}"/>
    <cellStyle name="강조색4 5" xfId="305" xr:uid="{00000000-0005-0000-0000-00007A010000}"/>
    <cellStyle name="강조색4 5 2" xfId="702" xr:uid="{00000000-0005-0000-0000-00007B010000}"/>
    <cellStyle name="강조색4 5 3" xfId="846" xr:uid="{00000000-0005-0000-0000-00007C010000}"/>
    <cellStyle name="강조색4 6" xfId="306" xr:uid="{00000000-0005-0000-0000-00007D010000}"/>
    <cellStyle name="강조색4 6 2" xfId="703" xr:uid="{00000000-0005-0000-0000-00007E010000}"/>
    <cellStyle name="강조색4 6 3" xfId="845" xr:uid="{00000000-0005-0000-0000-00007F010000}"/>
    <cellStyle name="강조색5" xfId="51" builtinId="45" customBuiltin="1"/>
    <cellStyle name="강조색5 2" xfId="307" xr:uid="{00000000-0005-0000-0000-000081010000}"/>
    <cellStyle name="강조색5 2 2" xfId="308" xr:uid="{00000000-0005-0000-0000-000082010000}"/>
    <cellStyle name="강조색5 2 3" xfId="704" xr:uid="{00000000-0005-0000-0000-000083010000}"/>
    <cellStyle name="강조색5 2 4" xfId="844" xr:uid="{00000000-0005-0000-0000-000084010000}"/>
    <cellStyle name="강조색5 3" xfId="309" xr:uid="{00000000-0005-0000-0000-000085010000}"/>
    <cellStyle name="강조색5 3 2" xfId="705" xr:uid="{00000000-0005-0000-0000-000086010000}"/>
    <cellStyle name="강조색5 3 3" xfId="843" xr:uid="{00000000-0005-0000-0000-000087010000}"/>
    <cellStyle name="강조색5 4" xfId="310" xr:uid="{00000000-0005-0000-0000-000088010000}"/>
    <cellStyle name="강조색5 4 2" xfId="706" xr:uid="{00000000-0005-0000-0000-000089010000}"/>
    <cellStyle name="강조색5 4 3" xfId="842" xr:uid="{00000000-0005-0000-0000-00008A010000}"/>
    <cellStyle name="강조색5 5" xfId="311" xr:uid="{00000000-0005-0000-0000-00008B010000}"/>
    <cellStyle name="강조색5 5 2" xfId="707" xr:uid="{00000000-0005-0000-0000-00008C010000}"/>
    <cellStyle name="강조색5 5 3" xfId="841" xr:uid="{00000000-0005-0000-0000-00008D010000}"/>
    <cellStyle name="강조색5 6" xfId="312" xr:uid="{00000000-0005-0000-0000-00008E010000}"/>
    <cellStyle name="강조색5 6 2" xfId="708" xr:uid="{00000000-0005-0000-0000-00008F010000}"/>
    <cellStyle name="강조색5 6 3" xfId="840" xr:uid="{00000000-0005-0000-0000-000090010000}"/>
    <cellStyle name="강조색6" xfId="54" builtinId="49" customBuiltin="1"/>
    <cellStyle name="강조색6 2" xfId="313" xr:uid="{00000000-0005-0000-0000-000092010000}"/>
    <cellStyle name="강조색6 2 2" xfId="314" xr:uid="{00000000-0005-0000-0000-000093010000}"/>
    <cellStyle name="강조색6 2 3" xfId="709" xr:uid="{00000000-0005-0000-0000-000094010000}"/>
    <cellStyle name="강조색6 2 4" xfId="839" xr:uid="{00000000-0005-0000-0000-000095010000}"/>
    <cellStyle name="강조색6 3" xfId="315" xr:uid="{00000000-0005-0000-0000-000096010000}"/>
    <cellStyle name="강조색6 3 2" xfId="710" xr:uid="{00000000-0005-0000-0000-000097010000}"/>
    <cellStyle name="강조색6 3 3" xfId="838" xr:uid="{00000000-0005-0000-0000-000098010000}"/>
    <cellStyle name="강조색6 4" xfId="316" xr:uid="{00000000-0005-0000-0000-000099010000}"/>
    <cellStyle name="강조색6 4 2" xfId="711" xr:uid="{00000000-0005-0000-0000-00009A010000}"/>
    <cellStyle name="강조색6 4 3" xfId="837" xr:uid="{00000000-0005-0000-0000-00009B010000}"/>
    <cellStyle name="강조색6 5" xfId="317" xr:uid="{00000000-0005-0000-0000-00009C010000}"/>
    <cellStyle name="강조색6 5 2" xfId="712" xr:uid="{00000000-0005-0000-0000-00009D010000}"/>
    <cellStyle name="강조색6 5 3" xfId="836" xr:uid="{00000000-0005-0000-0000-00009E010000}"/>
    <cellStyle name="강조색6 6" xfId="318" xr:uid="{00000000-0005-0000-0000-00009F010000}"/>
    <cellStyle name="강조색6 6 2" xfId="713" xr:uid="{00000000-0005-0000-0000-0000A0010000}"/>
    <cellStyle name="강조색6 6 3" xfId="835" xr:uid="{00000000-0005-0000-0000-0000A1010000}"/>
    <cellStyle name="경고문" xfId="36" builtinId="11" customBuiltin="1"/>
    <cellStyle name="경고문 2" xfId="319" xr:uid="{00000000-0005-0000-0000-0000A3010000}"/>
    <cellStyle name="경고문 2 2" xfId="320" xr:uid="{00000000-0005-0000-0000-0000A4010000}"/>
    <cellStyle name="경고문 2 3" xfId="714" xr:uid="{00000000-0005-0000-0000-0000A5010000}"/>
    <cellStyle name="경고문 2 4" xfId="834" xr:uid="{00000000-0005-0000-0000-0000A6010000}"/>
    <cellStyle name="경고문 3" xfId="321" xr:uid="{00000000-0005-0000-0000-0000A7010000}"/>
    <cellStyle name="경고문 3 2" xfId="715" xr:uid="{00000000-0005-0000-0000-0000A8010000}"/>
    <cellStyle name="경고문 3 3" xfId="833" xr:uid="{00000000-0005-0000-0000-0000A9010000}"/>
    <cellStyle name="경고문 4" xfId="322" xr:uid="{00000000-0005-0000-0000-0000AA010000}"/>
    <cellStyle name="경고문 4 2" xfId="716" xr:uid="{00000000-0005-0000-0000-0000AB010000}"/>
    <cellStyle name="경고문 4 3" xfId="832" xr:uid="{00000000-0005-0000-0000-0000AC010000}"/>
    <cellStyle name="경고문 5" xfId="323" xr:uid="{00000000-0005-0000-0000-0000AD010000}"/>
    <cellStyle name="경고문 5 2" xfId="717" xr:uid="{00000000-0005-0000-0000-0000AE010000}"/>
    <cellStyle name="경고문 5 3" xfId="831" xr:uid="{00000000-0005-0000-0000-0000AF010000}"/>
    <cellStyle name="경고문 6" xfId="324" xr:uid="{00000000-0005-0000-0000-0000B0010000}"/>
    <cellStyle name="경고문 6 2" xfId="718" xr:uid="{00000000-0005-0000-0000-0000B1010000}"/>
    <cellStyle name="경고문 6 3" xfId="830" xr:uid="{00000000-0005-0000-0000-0000B2010000}"/>
    <cellStyle name="계산" xfId="33" builtinId="22" customBuiltin="1"/>
    <cellStyle name="계산 2" xfId="325" xr:uid="{00000000-0005-0000-0000-0000B4010000}"/>
    <cellStyle name="계산 2 2" xfId="326" xr:uid="{00000000-0005-0000-0000-0000B5010000}"/>
    <cellStyle name="계산 2 3" xfId="719" xr:uid="{00000000-0005-0000-0000-0000B6010000}"/>
    <cellStyle name="계산 2 4" xfId="829" xr:uid="{00000000-0005-0000-0000-0000B7010000}"/>
    <cellStyle name="계산 3" xfId="327" xr:uid="{00000000-0005-0000-0000-0000B8010000}"/>
    <cellStyle name="계산 3 2" xfId="720" xr:uid="{00000000-0005-0000-0000-0000B9010000}"/>
    <cellStyle name="계산 3 3" xfId="828" xr:uid="{00000000-0005-0000-0000-0000BA010000}"/>
    <cellStyle name="계산 4" xfId="328" xr:uid="{00000000-0005-0000-0000-0000BB010000}"/>
    <cellStyle name="계산 4 2" xfId="721" xr:uid="{00000000-0005-0000-0000-0000BC010000}"/>
    <cellStyle name="계산 4 3" xfId="827" xr:uid="{00000000-0005-0000-0000-0000BD010000}"/>
    <cellStyle name="계산 5" xfId="329" xr:uid="{00000000-0005-0000-0000-0000BE010000}"/>
    <cellStyle name="계산 5 2" xfId="722" xr:uid="{00000000-0005-0000-0000-0000BF010000}"/>
    <cellStyle name="계산 5 3" xfId="826" xr:uid="{00000000-0005-0000-0000-0000C0010000}"/>
    <cellStyle name="계산 6" xfId="330" xr:uid="{00000000-0005-0000-0000-0000C1010000}"/>
    <cellStyle name="계산 6 2" xfId="723" xr:uid="{00000000-0005-0000-0000-0000C2010000}"/>
    <cellStyle name="계산 6 3" xfId="825" xr:uid="{00000000-0005-0000-0000-0000C3010000}"/>
    <cellStyle name="나쁨" xfId="30" builtinId="27" customBuiltin="1"/>
    <cellStyle name="나쁨 2" xfId="331" xr:uid="{00000000-0005-0000-0000-0000C5010000}"/>
    <cellStyle name="나쁨 2 2" xfId="332" xr:uid="{00000000-0005-0000-0000-0000C6010000}"/>
    <cellStyle name="나쁨 2 3" xfId="724" xr:uid="{00000000-0005-0000-0000-0000C7010000}"/>
    <cellStyle name="나쁨 2 4" xfId="824" xr:uid="{00000000-0005-0000-0000-0000C8010000}"/>
    <cellStyle name="나쁨 3" xfId="333" xr:uid="{00000000-0005-0000-0000-0000C9010000}"/>
    <cellStyle name="나쁨 3 2" xfId="725" xr:uid="{00000000-0005-0000-0000-0000CA010000}"/>
    <cellStyle name="나쁨 3 3" xfId="823" xr:uid="{00000000-0005-0000-0000-0000CB010000}"/>
    <cellStyle name="나쁨 4" xfId="334" xr:uid="{00000000-0005-0000-0000-0000CC010000}"/>
    <cellStyle name="나쁨 4 2" xfId="726" xr:uid="{00000000-0005-0000-0000-0000CD010000}"/>
    <cellStyle name="나쁨 4 3" xfId="822" xr:uid="{00000000-0005-0000-0000-0000CE010000}"/>
    <cellStyle name="나쁨 5" xfId="335" xr:uid="{00000000-0005-0000-0000-0000CF010000}"/>
    <cellStyle name="나쁨 5 2" xfId="727" xr:uid="{00000000-0005-0000-0000-0000D0010000}"/>
    <cellStyle name="나쁨 5 3" xfId="821" xr:uid="{00000000-0005-0000-0000-0000D1010000}"/>
    <cellStyle name="나쁨 6" xfId="336" xr:uid="{00000000-0005-0000-0000-0000D2010000}"/>
    <cellStyle name="나쁨 6 2" xfId="728" xr:uid="{00000000-0005-0000-0000-0000D3010000}"/>
    <cellStyle name="나쁨 6 3" xfId="820" xr:uid="{00000000-0005-0000-0000-0000D4010000}"/>
    <cellStyle name="메모 2" xfId="63" xr:uid="{00000000-0005-0000-0000-0000D5010000}"/>
    <cellStyle name="메모 2 2" xfId="338" xr:uid="{00000000-0005-0000-0000-0000D6010000}"/>
    <cellStyle name="메모 2 3" xfId="729" xr:uid="{00000000-0005-0000-0000-0000D7010000}"/>
    <cellStyle name="메모 2 4" xfId="814" xr:uid="{00000000-0005-0000-0000-0000D8010000}"/>
    <cellStyle name="메모 2 5" xfId="337" xr:uid="{00000000-0005-0000-0000-0000D9010000}"/>
    <cellStyle name="메모 3" xfId="339" xr:uid="{00000000-0005-0000-0000-0000DA010000}"/>
    <cellStyle name="메모 3 2" xfId="730" xr:uid="{00000000-0005-0000-0000-0000DB010000}"/>
    <cellStyle name="메모 3 3" xfId="819" xr:uid="{00000000-0005-0000-0000-0000DC010000}"/>
    <cellStyle name="메모 4" xfId="340" xr:uid="{00000000-0005-0000-0000-0000DD010000}"/>
    <cellStyle name="메모 4 2" xfId="731" xr:uid="{00000000-0005-0000-0000-0000DE010000}"/>
    <cellStyle name="메모 4 3" xfId="818" xr:uid="{00000000-0005-0000-0000-0000DF010000}"/>
    <cellStyle name="메모 5" xfId="341" xr:uid="{00000000-0005-0000-0000-0000E0010000}"/>
    <cellStyle name="메모 5 2" xfId="732" xr:uid="{00000000-0005-0000-0000-0000E1010000}"/>
    <cellStyle name="메모 5 3" xfId="817" xr:uid="{00000000-0005-0000-0000-0000E2010000}"/>
    <cellStyle name="메모 6" xfId="342" xr:uid="{00000000-0005-0000-0000-0000E3010000}"/>
    <cellStyle name="메모 6 2" xfId="733" xr:uid="{00000000-0005-0000-0000-0000E4010000}"/>
    <cellStyle name="메모 6 3" xfId="816" xr:uid="{00000000-0005-0000-0000-0000E5010000}"/>
    <cellStyle name="백분율" xfId="1" builtinId="5"/>
    <cellStyle name="백분율 2" xfId="167" xr:uid="{00000000-0005-0000-0000-0000E7010000}"/>
    <cellStyle name="백분율 3" xfId="990" xr:uid="{00000000-0005-0000-0000-0000E8010000}"/>
    <cellStyle name="보통 2" xfId="61" xr:uid="{00000000-0005-0000-0000-0000E9010000}"/>
    <cellStyle name="보통 2 2" xfId="344" xr:uid="{00000000-0005-0000-0000-0000EA010000}"/>
    <cellStyle name="보통 2 3" xfId="734" xr:uid="{00000000-0005-0000-0000-0000EB010000}"/>
    <cellStyle name="보통 2 4" xfId="815" xr:uid="{00000000-0005-0000-0000-0000EC010000}"/>
    <cellStyle name="보통 2 5" xfId="343" xr:uid="{00000000-0005-0000-0000-0000ED010000}"/>
    <cellStyle name="보통 3" xfId="345" xr:uid="{00000000-0005-0000-0000-0000EE010000}"/>
    <cellStyle name="보통 3 2" xfId="735" xr:uid="{00000000-0005-0000-0000-0000EF010000}"/>
    <cellStyle name="보통 3 3" xfId="799" xr:uid="{00000000-0005-0000-0000-0000F0010000}"/>
    <cellStyle name="보통 4" xfId="346" xr:uid="{00000000-0005-0000-0000-0000F1010000}"/>
    <cellStyle name="보통 4 2" xfId="736" xr:uid="{00000000-0005-0000-0000-0000F2010000}"/>
    <cellStyle name="보통 4 3" xfId="593" xr:uid="{00000000-0005-0000-0000-0000F3010000}"/>
    <cellStyle name="보통 5" xfId="347" xr:uid="{00000000-0005-0000-0000-0000F4010000}"/>
    <cellStyle name="보통 5 2" xfId="737" xr:uid="{00000000-0005-0000-0000-0000F5010000}"/>
    <cellStyle name="보통 5 3" xfId="592" xr:uid="{00000000-0005-0000-0000-0000F6010000}"/>
    <cellStyle name="보통 6" xfId="348" xr:uid="{00000000-0005-0000-0000-0000F7010000}"/>
    <cellStyle name="보통 6 2" xfId="738" xr:uid="{00000000-0005-0000-0000-0000F8010000}"/>
    <cellStyle name="보통 6 3" xfId="579" xr:uid="{00000000-0005-0000-0000-0000F9010000}"/>
    <cellStyle name="설명 텍스트" xfId="37" builtinId="53" customBuiltin="1"/>
    <cellStyle name="설명 텍스트 2" xfId="349" xr:uid="{00000000-0005-0000-0000-0000FB010000}"/>
    <cellStyle name="설명 텍스트 2 2" xfId="350" xr:uid="{00000000-0005-0000-0000-0000FC010000}"/>
    <cellStyle name="설명 텍스트 2 3" xfId="739" xr:uid="{00000000-0005-0000-0000-0000FD010000}"/>
    <cellStyle name="설명 텍스트 2 4" xfId="800" xr:uid="{00000000-0005-0000-0000-0000FE010000}"/>
    <cellStyle name="설명 텍스트 3" xfId="351" xr:uid="{00000000-0005-0000-0000-0000FF010000}"/>
    <cellStyle name="설명 텍스트 3 2" xfId="740" xr:uid="{00000000-0005-0000-0000-000000020000}"/>
    <cellStyle name="설명 텍스트 3 3" xfId="801" xr:uid="{00000000-0005-0000-0000-000001020000}"/>
    <cellStyle name="설명 텍스트 4" xfId="352" xr:uid="{00000000-0005-0000-0000-000002020000}"/>
    <cellStyle name="설명 텍스트 4 2" xfId="741" xr:uid="{00000000-0005-0000-0000-000003020000}"/>
    <cellStyle name="설명 텍스트 4 3" xfId="802" xr:uid="{00000000-0005-0000-0000-000004020000}"/>
    <cellStyle name="설명 텍스트 5" xfId="353" xr:uid="{00000000-0005-0000-0000-000005020000}"/>
    <cellStyle name="설명 텍스트 5 2" xfId="742" xr:uid="{00000000-0005-0000-0000-000006020000}"/>
    <cellStyle name="설명 텍스트 5 3" xfId="591" xr:uid="{00000000-0005-0000-0000-000007020000}"/>
    <cellStyle name="설명 텍스트 6" xfId="354" xr:uid="{00000000-0005-0000-0000-000008020000}"/>
    <cellStyle name="설명 텍스트 6 2" xfId="743" xr:uid="{00000000-0005-0000-0000-000009020000}"/>
    <cellStyle name="설명 텍스트 6 3" xfId="590" xr:uid="{00000000-0005-0000-0000-00000A020000}"/>
    <cellStyle name="셀 확인" xfId="35" builtinId="23" customBuiltin="1"/>
    <cellStyle name="셀 확인 2" xfId="355" xr:uid="{00000000-0005-0000-0000-00000C020000}"/>
    <cellStyle name="셀 확인 2 2" xfId="356" xr:uid="{00000000-0005-0000-0000-00000D020000}"/>
    <cellStyle name="셀 확인 2 3" xfId="744" xr:uid="{00000000-0005-0000-0000-00000E020000}"/>
    <cellStyle name="셀 확인 2 4" xfId="803" xr:uid="{00000000-0005-0000-0000-00000F020000}"/>
    <cellStyle name="셀 확인 3" xfId="357" xr:uid="{00000000-0005-0000-0000-000010020000}"/>
    <cellStyle name="셀 확인 3 2" xfId="745" xr:uid="{00000000-0005-0000-0000-000011020000}"/>
    <cellStyle name="셀 확인 3 3" xfId="804" xr:uid="{00000000-0005-0000-0000-000012020000}"/>
    <cellStyle name="셀 확인 4" xfId="358" xr:uid="{00000000-0005-0000-0000-000013020000}"/>
    <cellStyle name="셀 확인 4 2" xfId="746" xr:uid="{00000000-0005-0000-0000-000014020000}"/>
    <cellStyle name="셀 확인 4 3" xfId="589" xr:uid="{00000000-0005-0000-0000-000015020000}"/>
    <cellStyle name="셀 확인 5" xfId="359" xr:uid="{00000000-0005-0000-0000-000016020000}"/>
    <cellStyle name="셀 확인 5 2" xfId="747" xr:uid="{00000000-0005-0000-0000-000017020000}"/>
    <cellStyle name="셀 확인 5 3" xfId="588" xr:uid="{00000000-0005-0000-0000-000018020000}"/>
    <cellStyle name="셀 확인 6" xfId="360" xr:uid="{00000000-0005-0000-0000-000019020000}"/>
    <cellStyle name="셀 확인 6 2" xfId="748" xr:uid="{00000000-0005-0000-0000-00001A020000}"/>
    <cellStyle name="셀 확인 6 3" xfId="805" xr:uid="{00000000-0005-0000-0000-00001B020000}"/>
    <cellStyle name="쉼표 [0]" xfId="2" builtinId="6"/>
    <cellStyle name="쉼표 [0] 14" xfId="7" xr:uid="{00000000-0005-0000-0000-00001D020000}"/>
    <cellStyle name="쉼표 [0] 14 2" xfId="14" xr:uid="{00000000-0005-0000-0000-00001E020000}"/>
    <cellStyle name="쉼표 [0] 14 2 2" xfId="22" xr:uid="{00000000-0005-0000-0000-00001F020000}"/>
    <cellStyle name="쉼표 [0] 14 2 3" xfId="60" xr:uid="{00000000-0005-0000-0000-000020020000}"/>
    <cellStyle name="쉼표 [0] 14 3" xfId="18" xr:uid="{00000000-0005-0000-0000-000021020000}"/>
    <cellStyle name="쉼표 [0] 14 4" xfId="171" xr:uid="{00000000-0005-0000-0000-000022020000}"/>
    <cellStyle name="쉼표 [0] 15 2" xfId="15" xr:uid="{00000000-0005-0000-0000-000023020000}"/>
    <cellStyle name="쉼표 [0] 15 2 2" xfId="23" xr:uid="{00000000-0005-0000-0000-000024020000}"/>
    <cellStyle name="쉼표 [0] 15 2 3" xfId="67" xr:uid="{00000000-0005-0000-0000-000025020000}"/>
    <cellStyle name="쉼표 [0] 2" xfId="12" xr:uid="{00000000-0005-0000-0000-000026020000}"/>
    <cellStyle name="쉼표 [0] 2 10" xfId="134" xr:uid="{00000000-0005-0000-0000-000027020000}"/>
    <cellStyle name="쉼표 [0] 2 11" xfId="70" xr:uid="{00000000-0005-0000-0000-000028020000}"/>
    <cellStyle name="쉼표 [0] 2 12" xfId="1035" xr:uid="{00000000-0005-0000-0000-000029020000}"/>
    <cellStyle name="쉼표 [0] 2 2" xfId="20" xr:uid="{00000000-0005-0000-0000-00002A020000}"/>
    <cellStyle name="쉼표 [0] 2 2 2" xfId="77" xr:uid="{00000000-0005-0000-0000-00002B020000}"/>
    <cellStyle name="쉼표 [0] 2 3" xfId="143" xr:uid="{00000000-0005-0000-0000-00002C020000}"/>
    <cellStyle name="쉼표 [0] 2 4" xfId="156" xr:uid="{00000000-0005-0000-0000-00002D020000}"/>
    <cellStyle name="쉼표 [0] 2 5" xfId="158" xr:uid="{00000000-0005-0000-0000-00002E020000}"/>
    <cellStyle name="쉼표 [0] 2 6" xfId="163" xr:uid="{00000000-0005-0000-0000-00002F020000}"/>
    <cellStyle name="쉼표 [0] 2 7" xfId="164" xr:uid="{00000000-0005-0000-0000-000030020000}"/>
    <cellStyle name="쉼표 [0] 2 8" xfId="160" xr:uid="{00000000-0005-0000-0000-000031020000}"/>
    <cellStyle name="쉼표 [0] 2 9" xfId="166" xr:uid="{00000000-0005-0000-0000-000032020000}"/>
    <cellStyle name="쉼표 [0] 3" xfId="17" xr:uid="{00000000-0005-0000-0000-000033020000}"/>
    <cellStyle name="쉼표 [0] 3 2" xfId="76" xr:uid="{00000000-0005-0000-0000-000034020000}"/>
    <cellStyle name="쉼표 [0] 4" xfId="58" xr:uid="{00000000-0005-0000-0000-000035020000}"/>
    <cellStyle name="쉼표 [0] 5" xfId="172" xr:uid="{00000000-0005-0000-0000-000036020000}"/>
    <cellStyle name="쉼표 [0] 6" xfId="174" xr:uid="{00000000-0005-0000-0000-000037020000}"/>
    <cellStyle name="쉼표 [0] 9" xfId="1064" xr:uid="{00000000-0005-0000-0000-000038020000}"/>
    <cellStyle name="연결된 셀" xfId="34" builtinId="24" customBuiltin="1"/>
    <cellStyle name="연결된 셀 2" xfId="361" xr:uid="{00000000-0005-0000-0000-00003A020000}"/>
    <cellStyle name="연결된 셀 2 2" xfId="362" xr:uid="{00000000-0005-0000-0000-00003B020000}"/>
    <cellStyle name="연결된 셀 2 3" xfId="749" xr:uid="{00000000-0005-0000-0000-00003C020000}"/>
    <cellStyle name="연결된 셀 2 4" xfId="806" xr:uid="{00000000-0005-0000-0000-00003D020000}"/>
    <cellStyle name="연결된 셀 3" xfId="363" xr:uid="{00000000-0005-0000-0000-00003E020000}"/>
    <cellStyle name="연결된 셀 3 2" xfId="750" xr:uid="{00000000-0005-0000-0000-00003F020000}"/>
    <cellStyle name="연결된 셀 3 3" xfId="807" xr:uid="{00000000-0005-0000-0000-000040020000}"/>
    <cellStyle name="연결된 셀 4" xfId="364" xr:uid="{00000000-0005-0000-0000-000041020000}"/>
    <cellStyle name="연결된 셀 4 2" xfId="751" xr:uid="{00000000-0005-0000-0000-000042020000}"/>
    <cellStyle name="연결된 셀 4 3" xfId="587" xr:uid="{00000000-0005-0000-0000-000043020000}"/>
    <cellStyle name="연결된 셀 5" xfId="365" xr:uid="{00000000-0005-0000-0000-000044020000}"/>
    <cellStyle name="연결된 셀 5 2" xfId="752" xr:uid="{00000000-0005-0000-0000-000045020000}"/>
    <cellStyle name="연결된 셀 5 3" xfId="586" xr:uid="{00000000-0005-0000-0000-000046020000}"/>
    <cellStyle name="연결된 셀 6" xfId="366" xr:uid="{00000000-0005-0000-0000-000047020000}"/>
    <cellStyle name="연결된 셀 6 2" xfId="753" xr:uid="{00000000-0005-0000-0000-000048020000}"/>
    <cellStyle name="연결된 셀 6 3" xfId="808" xr:uid="{00000000-0005-0000-0000-000049020000}"/>
    <cellStyle name="요약" xfId="38" builtinId="25" customBuiltin="1"/>
    <cellStyle name="요약 2" xfId="367" xr:uid="{00000000-0005-0000-0000-00004B020000}"/>
    <cellStyle name="요약 2 2" xfId="368" xr:uid="{00000000-0005-0000-0000-00004C020000}"/>
    <cellStyle name="요약 2 3" xfId="754" xr:uid="{00000000-0005-0000-0000-00004D020000}"/>
    <cellStyle name="요약 2 4" xfId="809" xr:uid="{00000000-0005-0000-0000-00004E020000}"/>
    <cellStyle name="요약 3" xfId="369" xr:uid="{00000000-0005-0000-0000-00004F020000}"/>
    <cellStyle name="요약 3 2" xfId="755" xr:uid="{00000000-0005-0000-0000-000050020000}"/>
    <cellStyle name="요약 3 3" xfId="810" xr:uid="{00000000-0005-0000-0000-000051020000}"/>
    <cellStyle name="요약 4" xfId="370" xr:uid="{00000000-0005-0000-0000-000052020000}"/>
    <cellStyle name="요약 4 2" xfId="756" xr:uid="{00000000-0005-0000-0000-000053020000}"/>
    <cellStyle name="요약 4 3" xfId="585" xr:uid="{00000000-0005-0000-0000-000054020000}"/>
    <cellStyle name="요약 5" xfId="371" xr:uid="{00000000-0005-0000-0000-000055020000}"/>
    <cellStyle name="요약 5 2" xfId="757" xr:uid="{00000000-0005-0000-0000-000056020000}"/>
    <cellStyle name="요약 5 3" xfId="584" xr:uid="{00000000-0005-0000-0000-000057020000}"/>
    <cellStyle name="요약 6" xfId="372" xr:uid="{00000000-0005-0000-0000-000058020000}"/>
    <cellStyle name="요약 6 2" xfId="758" xr:uid="{00000000-0005-0000-0000-000059020000}"/>
    <cellStyle name="요약 6 3" xfId="811" xr:uid="{00000000-0005-0000-0000-00005A020000}"/>
    <cellStyle name="입력" xfId="31" builtinId="20" customBuiltin="1"/>
    <cellStyle name="입력 2" xfId="373" xr:uid="{00000000-0005-0000-0000-00005C020000}"/>
    <cellStyle name="입력 2 2" xfId="374" xr:uid="{00000000-0005-0000-0000-00005D020000}"/>
    <cellStyle name="입력 2 3" xfId="759" xr:uid="{00000000-0005-0000-0000-00005E020000}"/>
    <cellStyle name="입력 2 4" xfId="583" xr:uid="{00000000-0005-0000-0000-00005F020000}"/>
    <cellStyle name="입력 3" xfId="375" xr:uid="{00000000-0005-0000-0000-000060020000}"/>
    <cellStyle name="입력 3 2" xfId="760" xr:uid="{00000000-0005-0000-0000-000061020000}"/>
    <cellStyle name="입력 3 3" xfId="582" xr:uid="{00000000-0005-0000-0000-000062020000}"/>
    <cellStyle name="입력 4" xfId="376" xr:uid="{00000000-0005-0000-0000-000063020000}"/>
    <cellStyle name="입력 4 2" xfId="761" xr:uid="{00000000-0005-0000-0000-000064020000}"/>
    <cellStyle name="입력 4 3" xfId="581" xr:uid="{00000000-0005-0000-0000-000065020000}"/>
    <cellStyle name="입력 5" xfId="377" xr:uid="{00000000-0005-0000-0000-000066020000}"/>
    <cellStyle name="입력 5 2" xfId="762" xr:uid="{00000000-0005-0000-0000-000067020000}"/>
    <cellStyle name="입력 5 3" xfId="812" xr:uid="{00000000-0005-0000-0000-000068020000}"/>
    <cellStyle name="입력 6" xfId="378" xr:uid="{00000000-0005-0000-0000-000069020000}"/>
    <cellStyle name="입력 6 2" xfId="763" xr:uid="{00000000-0005-0000-0000-00006A020000}"/>
    <cellStyle name="입력 6 3" xfId="813" xr:uid="{00000000-0005-0000-0000-00006B020000}"/>
    <cellStyle name="제목 1" xfId="25" builtinId="16" customBuiltin="1"/>
    <cellStyle name="제목 1 2" xfId="379" xr:uid="{00000000-0005-0000-0000-00006D020000}"/>
    <cellStyle name="제목 1 2 2" xfId="380" xr:uid="{00000000-0005-0000-0000-00006E020000}"/>
    <cellStyle name="제목 1 2 3" xfId="764" xr:uid="{00000000-0005-0000-0000-00006F020000}"/>
    <cellStyle name="제목 1 2 4" xfId="580" xr:uid="{00000000-0005-0000-0000-000070020000}"/>
    <cellStyle name="제목 1 3" xfId="381" xr:uid="{00000000-0005-0000-0000-000071020000}"/>
    <cellStyle name="제목 1 3 2" xfId="765" xr:uid="{00000000-0005-0000-0000-000072020000}"/>
    <cellStyle name="제목 1 3 3" xfId="955" xr:uid="{00000000-0005-0000-0000-000073020000}"/>
    <cellStyle name="제목 1 4" xfId="382" xr:uid="{00000000-0005-0000-0000-000074020000}"/>
    <cellStyle name="제목 1 4 2" xfId="766" xr:uid="{00000000-0005-0000-0000-000075020000}"/>
    <cellStyle name="제목 1 4 3" xfId="956" xr:uid="{00000000-0005-0000-0000-000076020000}"/>
    <cellStyle name="제목 1 5" xfId="383" xr:uid="{00000000-0005-0000-0000-000077020000}"/>
    <cellStyle name="제목 1 5 2" xfId="767" xr:uid="{00000000-0005-0000-0000-000078020000}"/>
    <cellStyle name="제목 1 5 3" xfId="957" xr:uid="{00000000-0005-0000-0000-000079020000}"/>
    <cellStyle name="제목 1 6" xfId="384" xr:uid="{00000000-0005-0000-0000-00007A020000}"/>
    <cellStyle name="제목 1 6 2" xfId="768" xr:uid="{00000000-0005-0000-0000-00007B020000}"/>
    <cellStyle name="제목 1 6 3" xfId="958" xr:uid="{00000000-0005-0000-0000-00007C020000}"/>
    <cellStyle name="제목 2" xfId="26" builtinId="17" customBuiltin="1"/>
    <cellStyle name="제목 2 2" xfId="385" xr:uid="{00000000-0005-0000-0000-00007E020000}"/>
    <cellStyle name="제목 2 2 2" xfId="386" xr:uid="{00000000-0005-0000-0000-00007F020000}"/>
    <cellStyle name="제목 2 2 3" xfId="769" xr:uid="{00000000-0005-0000-0000-000080020000}"/>
    <cellStyle name="제목 2 2 4" xfId="959" xr:uid="{00000000-0005-0000-0000-000081020000}"/>
    <cellStyle name="제목 2 3" xfId="387" xr:uid="{00000000-0005-0000-0000-000082020000}"/>
    <cellStyle name="제목 2 3 2" xfId="770" xr:uid="{00000000-0005-0000-0000-000083020000}"/>
    <cellStyle name="제목 2 3 3" xfId="960" xr:uid="{00000000-0005-0000-0000-000084020000}"/>
    <cellStyle name="제목 2 4" xfId="388" xr:uid="{00000000-0005-0000-0000-000085020000}"/>
    <cellStyle name="제목 2 4 2" xfId="771" xr:uid="{00000000-0005-0000-0000-000086020000}"/>
    <cellStyle name="제목 2 4 3" xfId="961" xr:uid="{00000000-0005-0000-0000-000087020000}"/>
    <cellStyle name="제목 2 5" xfId="389" xr:uid="{00000000-0005-0000-0000-000088020000}"/>
    <cellStyle name="제목 2 5 2" xfId="772" xr:uid="{00000000-0005-0000-0000-000089020000}"/>
    <cellStyle name="제목 2 5 3" xfId="962" xr:uid="{00000000-0005-0000-0000-00008A020000}"/>
    <cellStyle name="제목 2 6" xfId="390" xr:uid="{00000000-0005-0000-0000-00008B020000}"/>
    <cellStyle name="제목 2 6 2" xfId="773" xr:uid="{00000000-0005-0000-0000-00008C020000}"/>
    <cellStyle name="제목 2 6 3" xfId="963" xr:uid="{00000000-0005-0000-0000-00008D020000}"/>
    <cellStyle name="제목 3" xfId="27" builtinId="18" customBuiltin="1"/>
    <cellStyle name="제목 3 2" xfId="391" xr:uid="{00000000-0005-0000-0000-00008F020000}"/>
    <cellStyle name="제목 3 2 2" xfId="392" xr:uid="{00000000-0005-0000-0000-000090020000}"/>
    <cellStyle name="제목 3 2 3" xfId="774" xr:uid="{00000000-0005-0000-0000-000091020000}"/>
    <cellStyle name="제목 3 2 4" xfId="964" xr:uid="{00000000-0005-0000-0000-000092020000}"/>
    <cellStyle name="제목 3 3" xfId="393" xr:uid="{00000000-0005-0000-0000-000093020000}"/>
    <cellStyle name="제목 3 3 2" xfId="775" xr:uid="{00000000-0005-0000-0000-000094020000}"/>
    <cellStyle name="제목 3 3 3" xfId="965" xr:uid="{00000000-0005-0000-0000-000095020000}"/>
    <cellStyle name="제목 3 4" xfId="394" xr:uid="{00000000-0005-0000-0000-000096020000}"/>
    <cellStyle name="제목 3 4 2" xfId="776" xr:uid="{00000000-0005-0000-0000-000097020000}"/>
    <cellStyle name="제목 3 4 3" xfId="966" xr:uid="{00000000-0005-0000-0000-000098020000}"/>
    <cellStyle name="제목 3 5" xfId="395" xr:uid="{00000000-0005-0000-0000-000099020000}"/>
    <cellStyle name="제목 3 5 2" xfId="777" xr:uid="{00000000-0005-0000-0000-00009A020000}"/>
    <cellStyle name="제목 3 5 3" xfId="967" xr:uid="{00000000-0005-0000-0000-00009B020000}"/>
    <cellStyle name="제목 3 6" xfId="396" xr:uid="{00000000-0005-0000-0000-00009C020000}"/>
    <cellStyle name="제목 3 6 2" xfId="778" xr:uid="{00000000-0005-0000-0000-00009D020000}"/>
    <cellStyle name="제목 3 6 3" xfId="968" xr:uid="{00000000-0005-0000-0000-00009E020000}"/>
    <cellStyle name="제목 4" xfId="28" builtinId="19" customBuiltin="1"/>
    <cellStyle name="제목 4 2" xfId="397" xr:uid="{00000000-0005-0000-0000-0000A0020000}"/>
    <cellStyle name="제목 4 2 2" xfId="398" xr:uid="{00000000-0005-0000-0000-0000A1020000}"/>
    <cellStyle name="제목 4 2 3" xfId="779" xr:uid="{00000000-0005-0000-0000-0000A2020000}"/>
    <cellStyle name="제목 4 2 4" xfId="969" xr:uid="{00000000-0005-0000-0000-0000A3020000}"/>
    <cellStyle name="제목 4 3" xfId="399" xr:uid="{00000000-0005-0000-0000-0000A4020000}"/>
    <cellStyle name="제목 4 3 2" xfId="780" xr:uid="{00000000-0005-0000-0000-0000A5020000}"/>
    <cellStyle name="제목 4 3 3" xfId="970" xr:uid="{00000000-0005-0000-0000-0000A6020000}"/>
    <cellStyle name="제목 4 4" xfId="400" xr:uid="{00000000-0005-0000-0000-0000A7020000}"/>
    <cellStyle name="제목 4 4 2" xfId="781" xr:uid="{00000000-0005-0000-0000-0000A8020000}"/>
    <cellStyle name="제목 4 4 3" xfId="971" xr:uid="{00000000-0005-0000-0000-0000A9020000}"/>
    <cellStyle name="제목 4 5" xfId="401" xr:uid="{00000000-0005-0000-0000-0000AA020000}"/>
    <cellStyle name="제목 4 5 2" xfId="782" xr:uid="{00000000-0005-0000-0000-0000AB020000}"/>
    <cellStyle name="제목 4 5 3" xfId="972" xr:uid="{00000000-0005-0000-0000-0000AC020000}"/>
    <cellStyle name="제목 4 6" xfId="402" xr:uid="{00000000-0005-0000-0000-0000AD020000}"/>
    <cellStyle name="제목 4 6 2" xfId="783" xr:uid="{00000000-0005-0000-0000-0000AE020000}"/>
    <cellStyle name="제목 4 6 3" xfId="973" xr:uid="{00000000-0005-0000-0000-0000AF020000}"/>
    <cellStyle name="제목 5" xfId="59" xr:uid="{00000000-0005-0000-0000-0000B0020000}"/>
    <cellStyle name="제목 5 2" xfId="404" xr:uid="{00000000-0005-0000-0000-0000B1020000}"/>
    <cellStyle name="제목 5 3" xfId="784" xr:uid="{00000000-0005-0000-0000-0000B2020000}"/>
    <cellStyle name="제목 5 4" xfId="974" xr:uid="{00000000-0005-0000-0000-0000B3020000}"/>
    <cellStyle name="제목 5 5" xfId="403" xr:uid="{00000000-0005-0000-0000-0000B4020000}"/>
    <cellStyle name="제목 6" xfId="405" xr:uid="{00000000-0005-0000-0000-0000B5020000}"/>
    <cellStyle name="제목 6 2" xfId="785" xr:uid="{00000000-0005-0000-0000-0000B6020000}"/>
    <cellStyle name="제목 6 3" xfId="975" xr:uid="{00000000-0005-0000-0000-0000B7020000}"/>
    <cellStyle name="제목 7" xfId="406" xr:uid="{00000000-0005-0000-0000-0000B8020000}"/>
    <cellStyle name="제목 7 2" xfId="786" xr:uid="{00000000-0005-0000-0000-0000B9020000}"/>
    <cellStyle name="제목 7 3" xfId="976" xr:uid="{00000000-0005-0000-0000-0000BA020000}"/>
    <cellStyle name="제목 8" xfId="407" xr:uid="{00000000-0005-0000-0000-0000BB020000}"/>
    <cellStyle name="제목 8 2" xfId="787" xr:uid="{00000000-0005-0000-0000-0000BC020000}"/>
    <cellStyle name="제목 8 3" xfId="977" xr:uid="{00000000-0005-0000-0000-0000BD020000}"/>
    <cellStyle name="제목 9" xfId="408" xr:uid="{00000000-0005-0000-0000-0000BE020000}"/>
    <cellStyle name="제목 9 2" xfId="788" xr:uid="{00000000-0005-0000-0000-0000BF020000}"/>
    <cellStyle name="제목 9 3" xfId="978" xr:uid="{00000000-0005-0000-0000-0000C0020000}"/>
    <cellStyle name="좋음" xfId="29" builtinId="26" customBuiltin="1"/>
    <cellStyle name="좋음 2" xfId="409" xr:uid="{00000000-0005-0000-0000-0000C2020000}"/>
    <cellStyle name="좋음 2 2" xfId="410" xr:uid="{00000000-0005-0000-0000-0000C3020000}"/>
    <cellStyle name="좋음 2 3" xfId="789" xr:uid="{00000000-0005-0000-0000-0000C4020000}"/>
    <cellStyle name="좋음 2 4" xfId="979" xr:uid="{00000000-0005-0000-0000-0000C5020000}"/>
    <cellStyle name="좋음 3" xfId="411" xr:uid="{00000000-0005-0000-0000-0000C6020000}"/>
    <cellStyle name="좋음 3 2" xfId="790" xr:uid="{00000000-0005-0000-0000-0000C7020000}"/>
    <cellStyle name="좋음 3 3" xfId="980" xr:uid="{00000000-0005-0000-0000-0000C8020000}"/>
    <cellStyle name="좋음 4" xfId="412" xr:uid="{00000000-0005-0000-0000-0000C9020000}"/>
    <cellStyle name="좋음 4 2" xfId="791" xr:uid="{00000000-0005-0000-0000-0000CA020000}"/>
    <cellStyle name="좋음 4 3" xfId="981" xr:uid="{00000000-0005-0000-0000-0000CB020000}"/>
    <cellStyle name="좋음 5" xfId="413" xr:uid="{00000000-0005-0000-0000-0000CC020000}"/>
    <cellStyle name="좋음 5 2" xfId="792" xr:uid="{00000000-0005-0000-0000-0000CD020000}"/>
    <cellStyle name="좋음 5 3" xfId="982" xr:uid="{00000000-0005-0000-0000-0000CE020000}"/>
    <cellStyle name="좋음 6" xfId="414" xr:uid="{00000000-0005-0000-0000-0000CF020000}"/>
    <cellStyle name="좋음 6 2" xfId="793" xr:uid="{00000000-0005-0000-0000-0000D0020000}"/>
    <cellStyle name="좋음 6 3" xfId="983" xr:uid="{00000000-0005-0000-0000-0000D1020000}"/>
    <cellStyle name="출력" xfId="32" builtinId="21" customBuiltin="1"/>
    <cellStyle name="출력 2" xfId="415" xr:uid="{00000000-0005-0000-0000-0000D3020000}"/>
    <cellStyle name="출력 2 2" xfId="416" xr:uid="{00000000-0005-0000-0000-0000D4020000}"/>
    <cellStyle name="출력 2 3" xfId="794" xr:uid="{00000000-0005-0000-0000-0000D5020000}"/>
    <cellStyle name="출력 2 4" xfId="984" xr:uid="{00000000-0005-0000-0000-0000D6020000}"/>
    <cellStyle name="출력 3" xfId="417" xr:uid="{00000000-0005-0000-0000-0000D7020000}"/>
    <cellStyle name="출력 3 2" xfId="795" xr:uid="{00000000-0005-0000-0000-0000D8020000}"/>
    <cellStyle name="출력 3 3" xfId="985" xr:uid="{00000000-0005-0000-0000-0000D9020000}"/>
    <cellStyle name="출력 4" xfId="418" xr:uid="{00000000-0005-0000-0000-0000DA020000}"/>
    <cellStyle name="출력 4 2" xfId="796" xr:uid="{00000000-0005-0000-0000-0000DB020000}"/>
    <cellStyle name="출력 4 3" xfId="986" xr:uid="{00000000-0005-0000-0000-0000DC020000}"/>
    <cellStyle name="출력 5" xfId="419" xr:uid="{00000000-0005-0000-0000-0000DD020000}"/>
    <cellStyle name="출력 5 2" xfId="797" xr:uid="{00000000-0005-0000-0000-0000DE020000}"/>
    <cellStyle name="출력 5 3" xfId="987" xr:uid="{00000000-0005-0000-0000-0000DF020000}"/>
    <cellStyle name="출력 6" xfId="420" xr:uid="{00000000-0005-0000-0000-0000E0020000}"/>
    <cellStyle name="출력 6 2" xfId="798" xr:uid="{00000000-0005-0000-0000-0000E1020000}"/>
    <cellStyle name="출력 6 3" xfId="988" xr:uid="{00000000-0005-0000-0000-0000E2020000}"/>
    <cellStyle name="콤마 [0]_11월인원" xfId="144" xr:uid="{00000000-0005-0000-0000-0000E3020000}"/>
    <cellStyle name="콤마_95" xfId="145" xr:uid="{00000000-0005-0000-0000-0000E4020000}"/>
    <cellStyle name="표준" xfId="0" builtinId="0"/>
    <cellStyle name="표준 10" xfId="82" xr:uid="{00000000-0005-0000-0000-0000E6020000}"/>
    <cellStyle name="표준 10 2" xfId="422" xr:uid="{00000000-0005-0000-0000-0000E7020000}"/>
    <cellStyle name="표준 10 3" xfId="173" xr:uid="{00000000-0005-0000-0000-0000E8020000}"/>
    <cellStyle name="표준 10 3 2" xfId="423" xr:uid="{00000000-0005-0000-0000-0000E9020000}"/>
    <cellStyle name="표준 10 4" xfId="424" xr:uid="{00000000-0005-0000-0000-0000EA020000}"/>
    <cellStyle name="표준 10 5" xfId="425" xr:uid="{00000000-0005-0000-0000-0000EB020000}"/>
    <cellStyle name="표준 10 6" xfId="426" xr:uid="{00000000-0005-0000-0000-0000EC020000}"/>
    <cellStyle name="표준 10 7" xfId="421" xr:uid="{00000000-0005-0000-0000-0000ED020000}"/>
    <cellStyle name="표준 11" xfId="83" xr:uid="{00000000-0005-0000-0000-0000EE020000}"/>
    <cellStyle name="표준 11 2" xfId="428" xr:uid="{00000000-0005-0000-0000-0000EF020000}"/>
    <cellStyle name="표준 11 3" xfId="429" xr:uid="{00000000-0005-0000-0000-0000F0020000}"/>
    <cellStyle name="표준 11 4" xfId="430" xr:uid="{00000000-0005-0000-0000-0000F1020000}"/>
    <cellStyle name="표준 11 5" xfId="431" xr:uid="{00000000-0005-0000-0000-0000F2020000}"/>
    <cellStyle name="표준 11 6" xfId="432" xr:uid="{00000000-0005-0000-0000-0000F3020000}"/>
    <cellStyle name="표준 11 7" xfId="427" xr:uid="{00000000-0005-0000-0000-0000F4020000}"/>
    <cellStyle name="표준 12" xfId="84" xr:uid="{00000000-0005-0000-0000-0000F5020000}"/>
    <cellStyle name="표준 12 2" xfId="434" xr:uid="{00000000-0005-0000-0000-0000F6020000}"/>
    <cellStyle name="표준 12 3" xfId="435" xr:uid="{00000000-0005-0000-0000-0000F7020000}"/>
    <cellStyle name="표준 12 4" xfId="436" xr:uid="{00000000-0005-0000-0000-0000F8020000}"/>
    <cellStyle name="표준 12 5" xfId="437" xr:uid="{00000000-0005-0000-0000-0000F9020000}"/>
    <cellStyle name="표준 12 6" xfId="438" xr:uid="{00000000-0005-0000-0000-0000FA020000}"/>
    <cellStyle name="표준 12 7" xfId="433" xr:uid="{00000000-0005-0000-0000-0000FB020000}"/>
    <cellStyle name="표준 13" xfId="88" xr:uid="{00000000-0005-0000-0000-0000FC020000}"/>
    <cellStyle name="표준 13 2" xfId="1016" xr:uid="{00000000-0005-0000-0000-0000FD020000}"/>
    <cellStyle name="표준 13 2 2" xfId="1045" xr:uid="{00000000-0005-0000-0000-0000FE020000}"/>
    <cellStyle name="표준 13 3" xfId="1033" xr:uid="{00000000-0005-0000-0000-0000FF020000}"/>
    <cellStyle name="표준 13 3 2" xfId="1062" xr:uid="{00000000-0005-0000-0000-000000030000}"/>
    <cellStyle name="표준 13 4" xfId="1014" xr:uid="{00000000-0005-0000-0000-000001030000}"/>
    <cellStyle name="표준 13 4 2" xfId="1043" xr:uid="{00000000-0005-0000-0000-000002030000}"/>
    <cellStyle name="표준 13 5" xfId="991" xr:uid="{00000000-0005-0000-0000-000003030000}"/>
    <cellStyle name="표준 14" xfId="89" xr:uid="{00000000-0005-0000-0000-000004030000}"/>
    <cellStyle name="표준 14 2" xfId="1046" xr:uid="{00000000-0005-0000-0000-000005030000}"/>
    <cellStyle name="표준 14 3" xfId="1017" xr:uid="{00000000-0005-0000-0000-000006030000}"/>
    <cellStyle name="표준 15" xfId="90" xr:uid="{00000000-0005-0000-0000-000007030000}"/>
    <cellStyle name="표준 15 2" xfId="1047" xr:uid="{00000000-0005-0000-0000-000008030000}"/>
    <cellStyle name="표준 15 3" xfId="1018" xr:uid="{00000000-0005-0000-0000-000009030000}"/>
    <cellStyle name="표준 16" xfId="93" xr:uid="{00000000-0005-0000-0000-00000A030000}"/>
    <cellStyle name="표준 16 2" xfId="1053" xr:uid="{00000000-0005-0000-0000-00000B030000}"/>
    <cellStyle name="표준 16 3" xfId="1024" xr:uid="{00000000-0005-0000-0000-00000C030000}"/>
    <cellStyle name="표준 17" xfId="91" xr:uid="{00000000-0005-0000-0000-00000D030000}"/>
    <cellStyle name="표준 17 2" xfId="1054" xr:uid="{00000000-0005-0000-0000-00000E030000}"/>
    <cellStyle name="표준 17 3" xfId="1025" xr:uid="{00000000-0005-0000-0000-00000F030000}"/>
    <cellStyle name="표준 18" xfId="94" xr:uid="{00000000-0005-0000-0000-000010030000}"/>
    <cellStyle name="표준 18 2" xfId="1049" xr:uid="{00000000-0005-0000-0000-000011030000}"/>
    <cellStyle name="표준 18 3" xfId="1020" xr:uid="{00000000-0005-0000-0000-000012030000}"/>
    <cellStyle name="표준 19" xfId="92" xr:uid="{00000000-0005-0000-0000-000013030000}"/>
    <cellStyle name="표준 19 2" xfId="1050" xr:uid="{00000000-0005-0000-0000-000014030000}"/>
    <cellStyle name="표준 19 3" xfId="1021" xr:uid="{00000000-0005-0000-0000-000015030000}"/>
    <cellStyle name="표준 2" xfId="3" xr:uid="{00000000-0005-0000-0000-000016030000}"/>
    <cellStyle name="표준 2 10" xfId="75" xr:uid="{00000000-0005-0000-0000-000017030000}"/>
    <cellStyle name="표준 2 10 2" xfId="1048" xr:uid="{00000000-0005-0000-0000-000018030000}"/>
    <cellStyle name="표준 2 10 3" xfId="1019" xr:uid="{00000000-0005-0000-0000-000019030000}"/>
    <cellStyle name="표준 2 11" xfId="1034" xr:uid="{00000000-0005-0000-0000-00001A030000}"/>
    <cellStyle name="표준 2 11 2" xfId="1063" xr:uid="{00000000-0005-0000-0000-00001B030000}"/>
    <cellStyle name="표준 2 12" xfId="1012" xr:uid="{00000000-0005-0000-0000-00001C030000}"/>
    <cellStyle name="표준 2 12 2" xfId="1041" xr:uid="{00000000-0005-0000-0000-00001D030000}"/>
    <cellStyle name="표준 2 13" xfId="989" xr:uid="{00000000-0005-0000-0000-00001E030000}"/>
    <cellStyle name="표준 2 2" xfId="5" xr:uid="{00000000-0005-0000-0000-00001F030000}"/>
    <cellStyle name="표준 2 2 2" xfId="439" xr:uid="{00000000-0005-0000-0000-000020030000}"/>
    <cellStyle name="표준 2 2 2 2" xfId="440" xr:uid="{00000000-0005-0000-0000-000021030000}"/>
    <cellStyle name="표준 2 2 2 2 2" xfId="441" xr:uid="{00000000-0005-0000-0000-000022030000}"/>
    <cellStyle name="표준 2 2 2 2 2 2" xfId="442" xr:uid="{00000000-0005-0000-0000-000023030000}"/>
    <cellStyle name="표준 2 2 2 2 2 2 2" xfId="443" xr:uid="{00000000-0005-0000-0000-000024030000}"/>
    <cellStyle name="표준 2 2 2 2 2 2 2 2" xfId="444" xr:uid="{00000000-0005-0000-0000-000025030000}"/>
    <cellStyle name="표준 2 2 2 2 2 2 2 2 2" xfId="445" xr:uid="{00000000-0005-0000-0000-000026030000}"/>
    <cellStyle name="표준 2 2 2 2 2 2 2 2 2 2" xfId="446" xr:uid="{00000000-0005-0000-0000-000027030000}"/>
    <cellStyle name="표준 2 2 2 2 2 2 2 2 2 2 2" xfId="447" xr:uid="{00000000-0005-0000-0000-000028030000}"/>
    <cellStyle name="표준 2 2 2 2 2 2 2 2 2 2 2 2" xfId="448" xr:uid="{00000000-0005-0000-0000-000029030000}"/>
    <cellStyle name="표준 2 2 2 2 2 2 2 2 2 2 2 2 2" xfId="449" xr:uid="{00000000-0005-0000-0000-00002A030000}"/>
    <cellStyle name="표준 2 2 2 2 2 2 2 2 2 2 2 2 2 2" xfId="450" xr:uid="{00000000-0005-0000-0000-00002B030000}"/>
    <cellStyle name="표준 2 2 2 2 2 2 2 2 2 2 3" xfId="451" xr:uid="{00000000-0005-0000-0000-00002C030000}"/>
    <cellStyle name="표준 2 2 2 2 2 2 2 2 2 3" xfId="452" xr:uid="{00000000-0005-0000-0000-00002D030000}"/>
    <cellStyle name="표준 2 2 2 2 2 2 2 2 2 3 2" xfId="453" xr:uid="{00000000-0005-0000-0000-00002E030000}"/>
    <cellStyle name="표준 2 2 2 2 2 2 2 2 3" xfId="454" xr:uid="{00000000-0005-0000-0000-00002F030000}"/>
    <cellStyle name="표준 2 2 2 2 2 2 2 2 3 2" xfId="455" xr:uid="{00000000-0005-0000-0000-000030030000}"/>
    <cellStyle name="표준 2 2 2 2 2 2 2 2 3 2 2" xfId="456" xr:uid="{00000000-0005-0000-0000-000031030000}"/>
    <cellStyle name="표준 2 2 2 2 2 2 2 2 4" xfId="457" xr:uid="{00000000-0005-0000-0000-000032030000}"/>
    <cellStyle name="표준 2 2 2 2 2 2 2 3" xfId="458" xr:uid="{00000000-0005-0000-0000-000033030000}"/>
    <cellStyle name="표준 2 2 2 2 2 2 2 3 2" xfId="459" xr:uid="{00000000-0005-0000-0000-000034030000}"/>
    <cellStyle name="표준 2 2 2 2 2 2 2 3 2 2" xfId="460" xr:uid="{00000000-0005-0000-0000-000035030000}"/>
    <cellStyle name="표준 2 2 2 2 2 2 2 3 2 2 2" xfId="461" xr:uid="{00000000-0005-0000-0000-000036030000}"/>
    <cellStyle name="표준 2 2 2 2 2 2 2 3 3" xfId="462" xr:uid="{00000000-0005-0000-0000-000037030000}"/>
    <cellStyle name="표준 2 2 2 2 2 2 2 4" xfId="463" xr:uid="{00000000-0005-0000-0000-000038030000}"/>
    <cellStyle name="표준 2 2 2 2 2 2 2 4 2" xfId="464" xr:uid="{00000000-0005-0000-0000-000039030000}"/>
    <cellStyle name="표준 2 2 2 2 2 2 3" xfId="465" xr:uid="{00000000-0005-0000-0000-00003A030000}"/>
    <cellStyle name="표준 2 2 2 2 2 2 4" xfId="466" xr:uid="{00000000-0005-0000-0000-00003B030000}"/>
    <cellStyle name="표준 2 2 2 2 2 2 4 2" xfId="467" xr:uid="{00000000-0005-0000-0000-00003C030000}"/>
    <cellStyle name="표준 2 2 2 2 2 2 4 2 2" xfId="468" xr:uid="{00000000-0005-0000-0000-00003D030000}"/>
    <cellStyle name="표준 2 2 2 2 2 2 4 2 2 2" xfId="469" xr:uid="{00000000-0005-0000-0000-00003E030000}"/>
    <cellStyle name="표준 2 2 2 2 2 2 4 2 2 2 2" xfId="470" xr:uid="{00000000-0005-0000-0000-00003F030000}"/>
    <cellStyle name="표준 2 2 2 2 2 2 4 2 3" xfId="471" xr:uid="{00000000-0005-0000-0000-000040030000}"/>
    <cellStyle name="표준 2 2 2 2 2 2 4 3" xfId="472" xr:uid="{00000000-0005-0000-0000-000041030000}"/>
    <cellStyle name="표준 2 2 2 2 2 2 4 3 2" xfId="473" xr:uid="{00000000-0005-0000-0000-000042030000}"/>
    <cellStyle name="표준 2 2 2 2 2 2 5" xfId="474" xr:uid="{00000000-0005-0000-0000-000043030000}"/>
    <cellStyle name="표준 2 2 2 2 2 2 5 2" xfId="475" xr:uid="{00000000-0005-0000-0000-000044030000}"/>
    <cellStyle name="표준 2 2 2 2 2 2 5 2 2" xfId="476" xr:uid="{00000000-0005-0000-0000-000045030000}"/>
    <cellStyle name="표준 2 2 2 2 2 2 6" xfId="477" xr:uid="{00000000-0005-0000-0000-000046030000}"/>
    <cellStyle name="표준 2 2 2 2 2 3" xfId="478" xr:uid="{00000000-0005-0000-0000-000047030000}"/>
    <cellStyle name="표준 2 2 2 2 2 4" xfId="479" xr:uid="{00000000-0005-0000-0000-000048030000}"/>
    <cellStyle name="표준 2 2 2 2 2 4 2" xfId="480" xr:uid="{00000000-0005-0000-0000-000049030000}"/>
    <cellStyle name="표준 2 2 2 2 2 4 2 2" xfId="481" xr:uid="{00000000-0005-0000-0000-00004A030000}"/>
    <cellStyle name="표준 2 2 2 2 2 4 2 2 2" xfId="482" xr:uid="{00000000-0005-0000-0000-00004B030000}"/>
    <cellStyle name="표준 2 2 2 2 2 4 2 2 2 2" xfId="483" xr:uid="{00000000-0005-0000-0000-00004C030000}"/>
    <cellStyle name="표준 2 2 2 2 2 4 2 3" xfId="484" xr:uid="{00000000-0005-0000-0000-00004D030000}"/>
    <cellStyle name="표준 2 2 2 2 2 4 3" xfId="485" xr:uid="{00000000-0005-0000-0000-00004E030000}"/>
    <cellStyle name="표준 2 2 2 2 2 4 3 2" xfId="486" xr:uid="{00000000-0005-0000-0000-00004F030000}"/>
    <cellStyle name="표준 2 2 2 2 2 5" xfId="487" xr:uid="{00000000-0005-0000-0000-000050030000}"/>
    <cellStyle name="표준 2 2 2 2 2 5 2" xfId="488" xr:uid="{00000000-0005-0000-0000-000051030000}"/>
    <cellStyle name="표준 2 2 2 2 2 5 2 2" xfId="489" xr:uid="{00000000-0005-0000-0000-000052030000}"/>
    <cellStyle name="표준 2 2 2 2 2 6" xfId="490" xr:uid="{00000000-0005-0000-0000-000053030000}"/>
    <cellStyle name="표준 2 2 2 2 3" xfId="491" xr:uid="{00000000-0005-0000-0000-000054030000}"/>
    <cellStyle name="표준 2 2 2 2 4" xfId="492" xr:uid="{00000000-0005-0000-0000-000055030000}"/>
    <cellStyle name="표준 2 2 2 2 5" xfId="493" xr:uid="{00000000-0005-0000-0000-000056030000}"/>
    <cellStyle name="표준 2 2 2 2 5 2" xfId="494" xr:uid="{00000000-0005-0000-0000-000057030000}"/>
    <cellStyle name="표준 2 2 2 2 5 2 2" xfId="495" xr:uid="{00000000-0005-0000-0000-000058030000}"/>
    <cellStyle name="표준 2 2 2 2 5 2 2 2" xfId="496" xr:uid="{00000000-0005-0000-0000-000059030000}"/>
    <cellStyle name="표준 2 2 2 2 5 2 2 2 2" xfId="497" xr:uid="{00000000-0005-0000-0000-00005A030000}"/>
    <cellStyle name="표준 2 2 2 2 5 2 3" xfId="498" xr:uid="{00000000-0005-0000-0000-00005B030000}"/>
    <cellStyle name="표준 2 2 2 2 5 3" xfId="499" xr:uid="{00000000-0005-0000-0000-00005C030000}"/>
    <cellStyle name="표준 2 2 2 2 5 3 2" xfId="500" xr:uid="{00000000-0005-0000-0000-00005D030000}"/>
    <cellStyle name="표준 2 2 2 2 6" xfId="501" xr:uid="{00000000-0005-0000-0000-00005E030000}"/>
    <cellStyle name="표준 2 2 2 2 6 2" xfId="502" xr:uid="{00000000-0005-0000-0000-00005F030000}"/>
    <cellStyle name="표준 2 2 2 2 6 2 2" xfId="503" xr:uid="{00000000-0005-0000-0000-000060030000}"/>
    <cellStyle name="표준 2 2 2 2 7" xfId="504" xr:uid="{00000000-0005-0000-0000-000061030000}"/>
    <cellStyle name="표준 2 2 2 3" xfId="505" xr:uid="{00000000-0005-0000-0000-000062030000}"/>
    <cellStyle name="표준 2 2 2 3 2" xfId="506" xr:uid="{00000000-0005-0000-0000-000063030000}"/>
    <cellStyle name="표준 2 2 2 3 3" xfId="507" xr:uid="{00000000-0005-0000-0000-000064030000}"/>
    <cellStyle name="표준 2 2 2 4" xfId="508" xr:uid="{00000000-0005-0000-0000-000065030000}"/>
    <cellStyle name="표준 2 2 2 5" xfId="509" xr:uid="{00000000-0005-0000-0000-000066030000}"/>
    <cellStyle name="표준 2 2 2 5 2" xfId="510" xr:uid="{00000000-0005-0000-0000-000067030000}"/>
    <cellStyle name="표준 2 2 2 5 2 2" xfId="511" xr:uid="{00000000-0005-0000-0000-000068030000}"/>
    <cellStyle name="표준 2 2 2 5 2 2 2" xfId="512" xr:uid="{00000000-0005-0000-0000-000069030000}"/>
    <cellStyle name="표준 2 2 2 5 2 2 2 2" xfId="513" xr:uid="{00000000-0005-0000-0000-00006A030000}"/>
    <cellStyle name="표준 2 2 2 5 2 3" xfId="514" xr:uid="{00000000-0005-0000-0000-00006B030000}"/>
    <cellStyle name="표준 2 2 2 5 3" xfId="515" xr:uid="{00000000-0005-0000-0000-00006C030000}"/>
    <cellStyle name="표준 2 2 2 5 3 2" xfId="516" xr:uid="{00000000-0005-0000-0000-00006D030000}"/>
    <cellStyle name="표준 2 2 2 6" xfId="517" xr:uid="{00000000-0005-0000-0000-00006E030000}"/>
    <cellStyle name="표준 2 2 2 6 2" xfId="518" xr:uid="{00000000-0005-0000-0000-00006F030000}"/>
    <cellStyle name="표준 2 2 2 6 2 2" xfId="519" xr:uid="{00000000-0005-0000-0000-000070030000}"/>
    <cellStyle name="표준 2 2 2 7" xfId="520" xr:uid="{00000000-0005-0000-0000-000071030000}"/>
    <cellStyle name="표준 2 2 3" xfId="521" xr:uid="{00000000-0005-0000-0000-000072030000}"/>
    <cellStyle name="표준 2 2 3 2" xfId="522" xr:uid="{00000000-0005-0000-0000-000073030000}"/>
    <cellStyle name="표준 2 2 3 2 2" xfId="523" xr:uid="{00000000-0005-0000-0000-000074030000}"/>
    <cellStyle name="표준 2 2 3 2 3" xfId="524" xr:uid="{00000000-0005-0000-0000-000075030000}"/>
    <cellStyle name="표준 2 2 3 3" xfId="525" xr:uid="{00000000-0005-0000-0000-000076030000}"/>
    <cellStyle name="표준 2 2 4" xfId="4" xr:uid="{00000000-0005-0000-0000-000077030000}"/>
    <cellStyle name="표준 2 2 4 2" xfId="526" xr:uid="{00000000-0005-0000-0000-000078030000}"/>
    <cellStyle name="표준 2 2 5" xfId="527" xr:uid="{00000000-0005-0000-0000-000079030000}"/>
    <cellStyle name="표준 2 2 6" xfId="528" xr:uid="{00000000-0005-0000-0000-00007A030000}"/>
    <cellStyle name="표준 2 2 6 2" xfId="529" xr:uid="{00000000-0005-0000-0000-00007B030000}"/>
    <cellStyle name="표준 2 2 6 2 2" xfId="530" xr:uid="{00000000-0005-0000-0000-00007C030000}"/>
    <cellStyle name="표준 2 2 6 2 2 2" xfId="531" xr:uid="{00000000-0005-0000-0000-00007D030000}"/>
    <cellStyle name="표준 2 2 6 2 2 2 2" xfId="532" xr:uid="{00000000-0005-0000-0000-00007E030000}"/>
    <cellStyle name="표준 2 2 6 2 3" xfId="533" xr:uid="{00000000-0005-0000-0000-00007F030000}"/>
    <cellStyle name="표준 2 2 6 3" xfId="534" xr:uid="{00000000-0005-0000-0000-000080030000}"/>
    <cellStyle name="표준 2 2 6 3 2" xfId="535" xr:uid="{00000000-0005-0000-0000-000081030000}"/>
    <cellStyle name="표준 2 2 7" xfId="536" xr:uid="{00000000-0005-0000-0000-000082030000}"/>
    <cellStyle name="표준 2 2 7 2" xfId="537" xr:uid="{00000000-0005-0000-0000-000083030000}"/>
    <cellStyle name="표준 2 2 7 2 2" xfId="538" xr:uid="{00000000-0005-0000-0000-000084030000}"/>
    <cellStyle name="표준 2 2 8" xfId="539" xr:uid="{00000000-0005-0000-0000-000085030000}"/>
    <cellStyle name="표준 2 3" xfId="142" xr:uid="{00000000-0005-0000-0000-000086030000}"/>
    <cellStyle name="표준 2 3 2" xfId="540" xr:uid="{00000000-0005-0000-0000-000087030000}"/>
    <cellStyle name="표준 2 4" xfId="155" xr:uid="{00000000-0005-0000-0000-000088030000}"/>
    <cellStyle name="표준 2 4 2" xfId="541" xr:uid="{00000000-0005-0000-0000-000089030000}"/>
    <cellStyle name="표준 2 5" xfId="159" xr:uid="{00000000-0005-0000-0000-00008A030000}"/>
    <cellStyle name="표준 2 5 2" xfId="542" xr:uid="{00000000-0005-0000-0000-00008B030000}"/>
    <cellStyle name="표준 2 6" xfId="157" xr:uid="{00000000-0005-0000-0000-00008C030000}"/>
    <cellStyle name="표준 2 6 2" xfId="543" xr:uid="{00000000-0005-0000-0000-00008D030000}"/>
    <cellStyle name="표준 2 7" xfId="161" xr:uid="{00000000-0005-0000-0000-00008E030000}"/>
    <cellStyle name="표준 2 7 2" xfId="544" xr:uid="{00000000-0005-0000-0000-00008F030000}"/>
    <cellStyle name="표준 2 8" xfId="6" xr:uid="{00000000-0005-0000-0000-000090030000}"/>
    <cellStyle name="표준 2 8 2" xfId="162" xr:uid="{00000000-0005-0000-0000-000091030000}"/>
    <cellStyle name="표준 2 8 3" xfId="545" xr:uid="{00000000-0005-0000-0000-000092030000}"/>
    <cellStyle name="표준 2 9" xfId="165" xr:uid="{00000000-0005-0000-0000-000093030000}"/>
    <cellStyle name="표준 2 9 2" xfId="546" xr:uid="{00000000-0005-0000-0000-000094030000}"/>
    <cellStyle name="표준 2_Sheet2" xfId="72" xr:uid="{00000000-0005-0000-0000-000095030000}"/>
    <cellStyle name="표준 20" xfId="95" xr:uid="{00000000-0005-0000-0000-000096030000}"/>
    <cellStyle name="표준 20 2" xfId="1055" xr:uid="{00000000-0005-0000-0000-000097030000}"/>
    <cellStyle name="표준 20 3" xfId="1026" xr:uid="{00000000-0005-0000-0000-000098030000}"/>
    <cellStyle name="표준 21" xfId="13" xr:uid="{00000000-0005-0000-0000-000099030000}"/>
    <cellStyle name="표준 21 2" xfId="21" xr:uid="{00000000-0005-0000-0000-00009A030000}"/>
    <cellStyle name="표준 21 2 2" xfId="1051" xr:uid="{00000000-0005-0000-0000-00009B030000}"/>
    <cellStyle name="표준 21 3" xfId="96" xr:uid="{00000000-0005-0000-0000-00009C030000}"/>
    <cellStyle name="표준 21 4" xfId="62" xr:uid="{00000000-0005-0000-0000-00009D030000}"/>
    <cellStyle name="표준 21 5" xfId="1022" xr:uid="{00000000-0005-0000-0000-00009E030000}"/>
    <cellStyle name="표준 22" xfId="97" xr:uid="{00000000-0005-0000-0000-00009F030000}"/>
    <cellStyle name="표준 22 2" xfId="1052" xr:uid="{00000000-0005-0000-0000-0000A0030000}"/>
    <cellStyle name="표준 22 3" xfId="1023" xr:uid="{00000000-0005-0000-0000-0000A1030000}"/>
    <cellStyle name="표준 23" xfId="98" xr:uid="{00000000-0005-0000-0000-0000A2030000}"/>
    <cellStyle name="표준 23 2" xfId="1056" xr:uid="{00000000-0005-0000-0000-0000A3030000}"/>
    <cellStyle name="표준 23 3" xfId="1027" xr:uid="{00000000-0005-0000-0000-0000A4030000}"/>
    <cellStyle name="표준 24" xfId="80" xr:uid="{00000000-0005-0000-0000-0000A5030000}"/>
    <cellStyle name="표준 24 2" xfId="1057" xr:uid="{00000000-0005-0000-0000-0000A6030000}"/>
    <cellStyle name="표준 24 3" xfId="1028" xr:uid="{00000000-0005-0000-0000-0000A7030000}"/>
    <cellStyle name="표준 25" xfId="85" xr:uid="{00000000-0005-0000-0000-0000A8030000}"/>
    <cellStyle name="표준 25 2" xfId="1058" xr:uid="{00000000-0005-0000-0000-0000A9030000}"/>
    <cellStyle name="표준 25 3" xfId="1029" xr:uid="{00000000-0005-0000-0000-0000AA030000}"/>
    <cellStyle name="표준 26" xfId="86" xr:uid="{00000000-0005-0000-0000-0000AB030000}"/>
    <cellStyle name="표준 26 2" xfId="1059" xr:uid="{00000000-0005-0000-0000-0000AC030000}"/>
    <cellStyle name="표준 26 3" xfId="1030" xr:uid="{00000000-0005-0000-0000-0000AD030000}"/>
    <cellStyle name="표준 27" xfId="87" xr:uid="{00000000-0005-0000-0000-0000AE030000}"/>
    <cellStyle name="표준 27 2" xfId="1060" xr:uid="{00000000-0005-0000-0000-0000AF030000}"/>
    <cellStyle name="표준 27 3" xfId="1031" xr:uid="{00000000-0005-0000-0000-0000B0030000}"/>
    <cellStyle name="표준 28" xfId="99" xr:uid="{00000000-0005-0000-0000-0000B1030000}"/>
    <cellStyle name="표준 29" xfId="57" xr:uid="{00000000-0005-0000-0000-0000B2030000}"/>
    <cellStyle name="표준 3" xfId="79" xr:uid="{00000000-0005-0000-0000-0000B3030000}"/>
    <cellStyle name="표준 3 10" xfId="992" xr:uid="{00000000-0005-0000-0000-0000B4030000}"/>
    <cellStyle name="표준 3 2" xfId="135" xr:uid="{00000000-0005-0000-0000-0000B5030000}"/>
    <cellStyle name="표준 3 2 2" xfId="547" xr:uid="{00000000-0005-0000-0000-0000B6030000}"/>
    <cellStyle name="표준 3 3" xfId="16" xr:uid="{00000000-0005-0000-0000-0000B7030000}"/>
    <cellStyle name="표준 3 3 2" xfId="24" xr:uid="{00000000-0005-0000-0000-0000B8030000}"/>
    <cellStyle name="표준 3 3 3" xfId="169" xr:uid="{00000000-0005-0000-0000-0000B9030000}"/>
    <cellStyle name="표준 3 3 4" xfId="548" xr:uid="{00000000-0005-0000-0000-0000BA030000}"/>
    <cellStyle name="표준 3 4" xfId="549" xr:uid="{00000000-0005-0000-0000-0000BB030000}"/>
    <cellStyle name="표준 3 5" xfId="550" xr:uid="{00000000-0005-0000-0000-0000BC030000}"/>
    <cellStyle name="표준 3 6" xfId="551" xr:uid="{00000000-0005-0000-0000-0000BD030000}"/>
    <cellStyle name="표준 3 7" xfId="1015" xr:uid="{00000000-0005-0000-0000-0000BE030000}"/>
    <cellStyle name="표준 3 7 2" xfId="1044" xr:uid="{00000000-0005-0000-0000-0000BF030000}"/>
    <cellStyle name="표준 3 8" xfId="1032" xr:uid="{00000000-0005-0000-0000-0000C0030000}"/>
    <cellStyle name="표준 3 8 2" xfId="1061" xr:uid="{00000000-0005-0000-0000-0000C1030000}"/>
    <cellStyle name="표준 3 9" xfId="1013" xr:uid="{00000000-0005-0000-0000-0000C2030000}"/>
    <cellStyle name="표준 3 9 2" xfId="1042" xr:uid="{00000000-0005-0000-0000-0000C3030000}"/>
    <cellStyle name="표준 30" xfId="100" xr:uid="{00000000-0005-0000-0000-0000C4030000}"/>
    <cellStyle name="표준 31" xfId="105" xr:uid="{00000000-0005-0000-0000-0000C5030000}"/>
    <cellStyle name="표준 32" xfId="107" xr:uid="{00000000-0005-0000-0000-0000C6030000}"/>
    <cellStyle name="표준 33" xfId="109" xr:uid="{00000000-0005-0000-0000-0000C7030000}"/>
    <cellStyle name="표준 34" xfId="111" xr:uid="{00000000-0005-0000-0000-0000C8030000}"/>
    <cellStyle name="표준 35" xfId="112" xr:uid="{00000000-0005-0000-0000-0000C9030000}"/>
    <cellStyle name="표준 36" xfId="113" xr:uid="{00000000-0005-0000-0000-0000CA030000}"/>
    <cellStyle name="표준 37" xfId="114" xr:uid="{00000000-0005-0000-0000-0000CB030000}"/>
    <cellStyle name="표준 38" xfId="115" xr:uid="{00000000-0005-0000-0000-0000CC030000}"/>
    <cellStyle name="표준 39" xfId="116" xr:uid="{00000000-0005-0000-0000-0000CD030000}"/>
    <cellStyle name="표준 4" xfId="74" xr:uid="{00000000-0005-0000-0000-0000CE030000}"/>
    <cellStyle name="표준 4 2" xfId="552" xr:uid="{00000000-0005-0000-0000-0000CF030000}"/>
    <cellStyle name="표준 4 3" xfId="8" xr:uid="{00000000-0005-0000-0000-0000D0030000}"/>
    <cellStyle name="표준 4 4" xfId="553" xr:uid="{00000000-0005-0000-0000-0000D1030000}"/>
    <cellStyle name="표준 4 5" xfId="554" xr:uid="{00000000-0005-0000-0000-0000D2030000}"/>
    <cellStyle name="표준 40" xfId="117" xr:uid="{00000000-0005-0000-0000-0000D3030000}"/>
    <cellStyle name="표준 41" xfId="119" xr:uid="{00000000-0005-0000-0000-0000D4030000}"/>
    <cellStyle name="표준 42" xfId="120" xr:uid="{00000000-0005-0000-0000-0000D5030000}"/>
    <cellStyle name="표준 43" xfId="121" xr:uid="{00000000-0005-0000-0000-0000D6030000}"/>
    <cellStyle name="표준 44" xfId="122" xr:uid="{00000000-0005-0000-0000-0000D7030000}"/>
    <cellStyle name="표준 45" xfId="140" xr:uid="{00000000-0005-0000-0000-0000D8030000}"/>
    <cellStyle name="표준 46" xfId="123" xr:uid="{00000000-0005-0000-0000-0000D9030000}"/>
    <cellStyle name="표준 47" xfId="124" xr:uid="{00000000-0005-0000-0000-0000DA030000}"/>
    <cellStyle name="표준 48" xfId="125" xr:uid="{00000000-0005-0000-0000-0000DB030000}"/>
    <cellStyle name="표준 49" xfId="127" xr:uid="{00000000-0005-0000-0000-0000DC030000}"/>
    <cellStyle name="표준 5" xfId="133" xr:uid="{00000000-0005-0000-0000-0000DD030000}"/>
    <cellStyle name="표준 5 2" xfId="556" xr:uid="{00000000-0005-0000-0000-0000DE030000}"/>
    <cellStyle name="표준 5 3" xfId="9" xr:uid="{00000000-0005-0000-0000-0000DF030000}"/>
    <cellStyle name="표준 5 3 2" xfId="557" xr:uid="{00000000-0005-0000-0000-0000E0030000}"/>
    <cellStyle name="표준 5 4" xfId="558" xr:uid="{00000000-0005-0000-0000-0000E1030000}"/>
    <cellStyle name="표준 5 5" xfId="559" xr:uid="{00000000-0005-0000-0000-0000E2030000}"/>
    <cellStyle name="표준 5 6" xfId="555" xr:uid="{00000000-0005-0000-0000-0000E3030000}"/>
    <cellStyle name="표준 50" xfId="128" xr:uid="{00000000-0005-0000-0000-0000E4030000}"/>
    <cellStyle name="표준 51" xfId="129" xr:uid="{00000000-0005-0000-0000-0000E5030000}"/>
    <cellStyle name="표준 52" xfId="170" xr:uid="{00000000-0005-0000-0000-0000E6030000}"/>
    <cellStyle name="표준 53" xfId="131" xr:uid="{00000000-0005-0000-0000-0000E7030000}"/>
    <cellStyle name="표준 54" xfId="132" xr:uid="{00000000-0005-0000-0000-0000E8030000}"/>
    <cellStyle name="표준 56" xfId="993" xr:uid="{00000000-0005-0000-0000-0000E9030000}"/>
    <cellStyle name="표준 57" xfId="994" xr:uid="{00000000-0005-0000-0000-0000EA030000}"/>
    <cellStyle name="표준 58" xfId="995" xr:uid="{00000000-0005-0000-0000-0000EB030000}"/>
    <cellStyle name="표준 59" xfId="996" xr:uid="{00000000-0005-0000-0000-0000EC030000}"/>
    <cellStyle name="표준 6" xfId="78" xr:uid="{00000000-0005-0000-0000-0000ED030000}"/>
    <cellStyle name="표준 6 2" xfId="561" xr:uid="{00000000-0005-0000-0000-0000EE030000}"/>
    <cellStyle name="표준 6 3" xfId="562" xr:uid="{00000000-0005-0000-0000-0000EF030000}"/>
    <cellStyle name="표준 6 4" xfId="563" xr:uid="{00000000-0005-0000-0000-0000F0030000}"/>
    <cellStyle name="표준 6 5" xfId="564" xr:uid="{00000000-0005-0000-0000-0000F1030000}"/>
    <cellStyle name="표준 6 6" xfId="560" xr:uid="{00000000-0005-0000-0000-0000F2030000}"/>
    <cellStyle name="표준 60" xfId="997" xr:uid="{00000000-0005-0000-0000-0000F3030000}"/>
    <cellStyle name="표준 61" xfId="998" xr:uid="{00000000-0005-0000-0000-0000F4030000}"/>
    <cellStyle name="표준 62" xfId="999" xr:uid="{00000000-0005-0000-0000-0000F5030000}"/>
    <cellStyle name="표준 63" xfId="1000" xr:uid="{00000000-0005-0000-0000-0000F6030000}"/>
    <cellStyle name="표준 64" xfId="1001" xr:uid="{00000000-0005-0000-0000-0000F7030000}"/>
    <cellStyle name="표준 65" xfId="1002" xr:uid="{00000000-0005-0000-0000-0000F8030000}"/>
    <cellStyle name="표준 66" xfId="1003" xr:uid="{00000000-0005-0000-0000-0000F9030000}"/>
    <cellStyle name="표준 67" xfId="1004" xr:uid="{00000000-0005-0000-0000-0000FA030000}"/>
    <cellStyle name="표준 68" xfId="101" xr:uid="{00000000-0005-0000-0000-0000FB030000}"/>
    <cellStyle name="표준 68 2" xfId="1005" xr:uid="{00000000-0005-0000-0000-0000FC030000}"/>
    <cellStyle name="표준 69" xfId="102" xr:uid="{00000000-0005-0000-0000-0000FD030000}"/>
    <cellStyle name="표준 7" xfId="11" xr:uid="{00000000-0005-0000-0000-0000FE030000}"/>
    <cellStyle name="표준 7 2" xfId="19" xr:uid="{00000000-0005-0000-0000-0000FF030000}"/>
    <cellStyle name="표준 7 2 2" xfId="565" xr:uid="{00000000-0005-0000-0000-000000040000}"/>
    <cellStyle name="표준 7 3" xfId="136" xr:uid="{00000000-0005-0000-0000-000001040000}"/>
    <cellStyle name="표준 7 4" xfId="168" xr:uid="{00000000-0005-0000-0000-000002040000}"/>
    <cellStyle name="표준 7 4 2" xfId="566" xr:uid="{00000000-0005-0000-0000-000003040000}"/>
    <cellStyle name="표준 7 5" xfId="567" xr:uid="{00000000-0005-0000-0000-000004040000}"/>
    <cellStyle name="표준 70" xfId="103" xr:uid="{00000000-0005-0000-0000-000005040000}"/>
    <cellStyle name="표준 71" xfId="104" xr:uid="{00000000-0005-0000-0000-000006040000}"/>
    <cellStyle name="표준 72" xfId="106" xr:uid="{00000000-0005-0000-0000-000007040000}"/>
    <cellStyle name="표준 72 2" xfId="1006" xr:uid="{00000000-0005-0000-0000-000008040000}"/>
    <cellStyle name="표준 73" xfId="108" xr:uid="{00000000-0005-0000-0000-000009040000}"/>
    <cellStyle name="표준 73 2" xfId="1036" xr:uid="{00000000-0005-0000-0000-00000A040000}"/>
    <cellStyle name="표준 73 3" xfId="1007" xr:uid="{00000000-0005-0000-0000-00000B040000}"/>
    <cellStyle name="표준 74" xfId="1008" xr:uid="{00000000-0005-0000-0000-00000C040000}"/>
    <cellStyle name="표준 74 2" xfId="1037" xr:uid="{00000000-0005-0000-0000-00000D040000}"/>
    <cellStyle name="표준 75" xfId="110" xr:uid="{00000000-0005-0000-0000-00000E040000}"/>
    <cellStyle name="표준 75 2" xfId="1038" xr:uid="{00000000-0005-0000-0000-00000F040000}"/>
    <cellStyle name="표준 75 3" xfId="1009" xr:uid="{00000000-0005-0000-0000-000010040000}"/>
    <cellStyle name="표준 76" xfId="118" xr:uid="{00000000-0005-0000-0000-000011040000}"/>
    <cellStyle name="표준 76 2" xfId="1039" xr:uid="{00000000-0005-0000-0000-000012040000}"/>
    <cellStyle name="표준 76 3" xfId="1010" xr:uid="{00000000-0005-0000-0000-000013040000}"/>
    <cellStyle name="표준 77" xfId="126" xr:uid="{00000000-0005-0000-0000-000014040000}"/>
    <cellStyle name="표준 77 2" xfId="1040" xr:uid="{00000000-0005-0000-0000-000015040000}"/>
    <cellStyle name="표준 77 3" xfId="1011" xr:uid="{00000000-0005-0000-0000-000016040000}"/>
    <cellStyle name="표준 78" xfId="130" xr:uid="{00000000-0005-0000-0000-000017040000}"/>
    <cellStyle name="표준 8" xfId="81" xr:uid="{00000000-0005-0000-0000-000018040000}"/>
    <cellStyle name="표준 8 2" xfId="569" xr:uid="{00000000-0005-0000-0000-000019040000}"/>
    <cellStyle name="표준 8 3" xfId="570" xr:uid="{00000000-0005-0000-0000-00001A040000}"/>
    <cellStyle name="표준 8 4" xfId="571" xr:uid="{00000000-0005-0000-0000-00001B040000}"/>
    <cellStyle name="표준 8 5" xfId="572" xr:uid="{00000000-0005-0000-0000-00001C040000}"/>
    <cellStyle name="표준 8 6" xfId="573" xr:uid="{00000000-0005-0000-0000-00001D040000}"/>
    <cellStyle name="표준 8 7" xfId="568" xr:uid="{00000000-0005-0000-0000-00001E040000}"/>
    <cellStyle name="표준 80" xfId="137" xr:uid="{00000000-0005-0000-0000-00001F040000}"/>
    <cellStyle name="표준 81" xfId="138" xr:uid="{00000000-0005-0000-0000-000020040000}"/>
    <cellStyle name="표준 83" xfId="141" xr:uid="{00000000-0005-0000-0000-000021040000}"/>
    <cellStyle name="표준 9" xfId="139" xr:uid="{00000000-0005-0000-0000-000022040000}"/>
    <cellStyle name="표준 9 2" xfId="574" xr:uid="{00000000-0005-0000-0000-000023040000}"/>
    <cellStyle name="표준 9 3" xfId="575" xr:uid="{00000000-0005-0000-0000-000024040000}"/>
    <cellStyle name="표준 9 4" xfId="576" xr:uid="{00000000-0005-0000-0000-000025040000}"/>
    <cellStyle name="표준 9 5" xfId="577" xr:uid="{00000000-0005-0000-0000-000026040000}"/>
    <cellStyle name="표준 9 6" xfId="578" xr:uid="{00000000-0005-0000-0000-000027040000}"/>
    <cellStyle name="하이퍼링크" xfId="10" builtinId="8"/>
  </cellStyles>
  <dxfs count="2">
    <dxf>
      <font>
        <b/>
        <i val="0"/>
      </font>
      <fill>
        <patternFill>
          <bgColor rgb="FFFF0000"/>
        </patternFill>
      </fill>
    </dxf>
    <dxf>
      <font>
        <b/>
        <i val="0"/>
      </font>
      <fill>
        <patternFill>
          <bgColor rgb="FFFF0000"/>
        </patternFill>
      </fill>
    </dxf>
  </dxfs>
  <tableStyles count="0" defaultTableStyle="TableStyleMedium2" defaultPivotStyle="PivotStyleLight16"/>
  <colors>
    <mruColors>
      <color rgb="FFF2DCDB"/>
      <color rgb="FFF2DDDC"/>
      <color rgb="FFC00000"/>
      <color rgb="FF17375D"/>
      <color rgb="FFD997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3371849</xdr:colOff>
      <xdr:row>34</xdr:row>
      <xdr:rowOff>66675</xdr:rowOff>
    </xdr:from>
    <xdr:ext cx="2381251" cy="1253100"/>
    <xdr:sp macro="" textlink="">
      <xdr:nvSpPr>
        <xdr:cNvPr id="3" name="Text Box 22">
          <a:extLst>
            <a:ext uri="{FF2B5EF4-FFF2-40B4-BE49-F238E27FC236}">
              <a16:creationId xmlns:a16="http://schemas.microsoft.com/office/drawing/2014/main" id="{00000000-0008-0000-0000-000003000000}"/>
            </a:ext>
          </a:extLst>
        </xdr:cNvPr>
        <xdr:cNvSpPr txBox="1">
          <a:spLocks noChangeArrowheads="1"/>
        </xdr:cNvSpPr>
      </xdr:nvSpPr>
      <xdr:spPr bwMode="auto">
        <a:xfrm>
          <a:off x="3638549" y="6229350"/>
          <a:ext cx="2381251" cy="1253100"/>
        </a:xfrm>
        <a:prstGeom prst="rect">
          <a:avLst/>
        </a:prstGeom>
        <a:noFill/>
        <a:ln w="9525">
          <a:noFill/>
          <a:miter lim="800000"/>
          <a:headEnd/>
          <a:tailEnd/>
        </a:ln>
      </xdr:spPr>
      <xdr:txBody>
        <a:bodyPr vertOverflow="clip" horzOverflow="clip" wrap="square" lIns="91440" tIns="45720" rIns="91440" bIns="45720" anchor="t" upright="1">
          <a:noAutofit/>
        </a:bodyPr>
        <a:lstStyle/>
        <a:p>
          <a:pPr marL="0" marR="0" indent="0" algn="l" defTabSz="914400" rtl="1" eaLnBrk="1" fontAlgn="auto" latinLnBrk="0" hangingPunct="1">
            <a:lnSpc>
              <a:spcPct val="100000"/>
            </a:lnSpc>
            <a:spcBef>
              <a:spcPts val="0"/>
            </a:spcBef>
            <a:spcAft>
              <a:spcPts val="0"/>
            </a:spcAft>
            <a:buClrTx/>
            <a:buSzTx/>
            <a:buFontTx/>
            <a:buNone/>
            <a:tabLst/>
            <a:defRPr sz="1000"/>
          </a:pPr>
          <a:r>
            <a:rPr lang="en-US" altLang="ko-KR" sz="600" b="0" i="0" baseline="0">
              <a:latin typeface="+mn-lt"/>
              <a:ea typeface="+mn-ea"/>
              <a:cs typeface="+mn-cs"/>
            </a:rPr>
            <a:t>ⓒ TONGYANG Life Insurance Co., Ltd. All right reserved. The content and structure of this materials are protected by copy right. No part of the information or data may be used or reproduced in any form without prior written permission from TONGYANGLife Insurance Co., Ltd. We make reasonable efforts to provide accurate and current information but make no representations about the accuracy, reliability, completeness, or timeliness of the material. Use of the material is at your own risk. Changes may be made at any time. TONGYANG Life Insurance Co., Ltd. is not responsible for the content provided by this information. In addition, this publication is produced for and distributed to the investors without complete and full external audit. Therefore some numbers contained herein could be changed according to the auditing results.</a:t>
          </a:r>
        </a:p>
        <a:p>
          <a:pPr algn="l" rtl="1">
            <a:defRPr sz="1000"/>
          </a:pPr>
          <a:endParaRPr lang="en-US" altLang="ko-KR" sz="600" b="0" i="1" strike="noStrike">
            <a:solidFill>
              <a:sysClr val="windowText" lastClr="000000"/>
            </a:solidFill>
            <a:latin typeface="Arial"/>
            <a:cs typeface="Arial"/>
          </a:endParaRPr>
        </a:p>
      </xdr:txBody>
    </xdr:sp>
    <xdr:clientData/>
  </xdr:oneCellAnchor>
  <xdr:twoCellAnchor editAs="oneCell">
    <xdr:from>
      <xdr:col>4</xdr:col>
      <xdr:colOff>0</xdr:colOff>
      <xdr:row>22</xdr:row>
      <xdr:rowOff>142875</xdr:rowOff>
    </xdr:from>
    <xdr:to>
      <xdr:col>8</xdr:col>
      <xdr:colOff>266700</xdr:colOff>
      <xdr:row>34</xdr:row>
      <xdr:rowOff>104775</xdr:rowOff>
    </xdr:to>
    <xdr:sp macro="" textlink="">
      <xdr:nvSpPr>
        <xdr:cNvPr id="6" name="Text Box 21">
          <a:extLst>
            <a:ext uri="{FF2B5EF4-FFF2-40B4-BE49-F238E27FC236}">
              <a16:creationId xmlns:a16="http://schemas.microsoft.com/office/drawing/2014/main" id="{00000000-0008-0000-0000-000006000000}"/>
            </a:ext>
          </a:extLst>
        </xdr:cNvPr>
        <xdr:cNvSpPr txBox="1">
          <a:spLocks noChangeArrowheads="1"/>
        </xdr:cNvSpPr>
      </xdr:nvSpPr>
      <xdr:spPr bwMode="auto">
        <a:xfrm>
          <a:off x="3648075" y="4324350"/>
          <a:ext cx="2705100" cy="1790700"/>
        </a:xfrm>
        <a:prstGeom prst="rect">
          <a:avLst/>
        </a:prstGeom>
        <a:noFill/>
        <a:ln w="9525">
          <a:solidFill>
            <a:schemeClr val="bg1">
              <a:lumMod val="85000"/>
            </a:schemeClr>
          </a:solidFill>
          <a:miter lim="800000"/>
          <a:headEnd/>
          <a:tailEnd/>
        </a:ln>
      </xdr:spPr>
      <xdr:txBody>
        <a:bodyPr vertOverflow="clip" wrap="square" lIns="91440" tIns="45720" rIns="91440" bIns="45720" anchor="t" upright="1"/>
        <a:lstStyle/>
        <a:p>
          <a:pPr rtl="0" fontAlgn="base"/>
          <a:r>
            <a:rPr lang="ko-KR" altLang="ko-KR" sz="900" b="1" i="0" baseline="0">
              <a:latin typeface="+mn-lt"/>
              <a:ea typeface="+mn-ea"/>
              <a:cs typeface="+mn-cs"/>
            </a:rPr>
            <a:t>■ 주소</a:t>
          </a:r>
          <a:r>
            <a:rPr lang="en-US" altLang="ko-KR" sz="900" b="1" i="0" baseline="0">
              <a:latin typeface="+mn-lt"/>
              <a:ea typeface="+mn-ea"/>
              <a:cs typeface="+mn-cs"/>
            </a:rPr>
            <a:t> Address :</a:t>
          </a:r>
          <a:endParaRPr lang="ko-KR" altLang="ko-KR" sz="900" b="1">
            <a:latin typeface="+mn-lt"/>
            <a:ea typeface="+mn-ea"/>
          </a:endParaRPr>
        </a:p>
        <a:p>
          <a:pPr rtl="0" fontAlgn="base"/>
          <a:r>
            <a:rPr lang="ko-KR" altLang="ko-KR" sz="900" b="0" i="0" baseline="0">
              <a:latin typeface="+mn-lt"/>
              <a:ea typeface="+mn-ea"/>
              <a:cs typeface="+mn-cs"/>
            </a:rPr>
            <a:t>서울특별시 </a:t>
          </a:r>
          <a:r>
            <a:rPr lang="ko-KR" altLang="en-US" sz="900" b="0" i="0" baseline="0">
              <a:latin typeface="+mn-lt"/>
              <a:ea typeface="+mn-ea"/>
              <a:cs typeface="+mn-cs"/>
            </a:rPr>
            <a:t>종로구 종로</a:t>
          </a:r>
          <a:r>
            <a:rPr lang="en-US" altLang="ko-KR" sz="900" b="0" i="0" baseline="0">
              <a:latin typeface="+mn-lt"/>
              <a:ea typeface="+mn-ea"/>
              <a:cs typeface="+mn-cs"/>
            </a:rPr>
            <a:t>33 (</a:t>
          </a:r>
          <a:r>
            <a:rPr lang="ko-KR" altLang="en-US" sz="900" b="0" i="0" baseline="0">
              <a:latin typeface="+mn-lt"/>
              <a:ea typeface="+mn-ea"/>
              <a:cs typeface="+mn-cs"/>
            </a:rPr>
            <a:t>청진동</a:t>
          </a:r>
          <a:r>
            <a:rPr lang="en-US" altLang="ko-KR" sz="900" b="0" i="0" baseline="0">
              <a:latin typeface="+mn-lt"/>
              <a:ea typeface="+mn-ea"/>
              <a:cs typeface="+mn-cs"/>
            </a:rPr>
            <a:t>) </a:t>
          </a:r>
          <a:r>
            <a:rPr lang="ko-KR" altLang="en-US" sz="900" b="0" i="0" baseline="0">
              <a:latin typeface="+mn-lt"/>
              <a:ea typeface="+mn-ea"/>
              <a:cs typeface="+mn-cs"/>
            </a:rPr>
            <a:t>그랑서울빌딩 </a:t>
          </a:r>
          <a:r>
            <a:rPr lang="en-US" altLang="ko-KR" sz="900" b="0" i="0" baseline="0">
              <a:latin typeface="+mn-lt"/>
              <a:ea typeface="+mn-ea"/>
              <a:cs typeface="+mn-cs"/>
            </a:rPr>
            <a:t>11</a:t>
          </a:r>
          <a:r>
            <a:rPr lang="ko-KR" altLang="en-US" sz="900" b="0" i="0" baseline="0">
              <a:latin typeface="+mn-lt"/>
              <a:ea typeface="+mn-ea"/>
              <a:cs typeface="+mn-cs"/>
            </a:rPr>
            <a:t>층 동양생명 </a:t>
          </a:r>
          <a:r>
            <a:rPr lang="en-US" altLang="ko-KR" sz="900" b="0" i="0" baseline="0">
              <a:latin typeface="+mn-lt"/>
              <a:ea typeface="+mn-ea"/>
              <a:cs typeface="+mn-cs"/>
            </a:rPr>
            <a:t>IR</a:t>
          </a:r>
          <a:r>
            <a:rPr lang="ko-KR" altLang="en-US" sz="900" b="0" i="0" baseline="0">
              <a:latin typeface="+mn-lt"/>
              <a:ea typeface="+mn-ea"/>
              <a:cs typeface="+mn-cs"/>
            </a:rPr>
            <a:t>파트 </a:t>
          </a:r>
          <a:endParaRPr lang="en-US" altLang="ko-KR" sz="900" b="0" i="0" baseline="0">
            <a:latin typeface="+mn-lt"/>
            <a:ea typeface="+mn-ea"/>
            <a:cs typeface="+mn-cs"/>
          </a:endParaRPr>
        </a:p>
        <a:p>
          <a:pPr rtl="0" fontAlgn="base"/>
          <a:r>
            <a:rPr lang="en-US" altLang="ko-KR" sz="900" b="0" i="0" baseline="0">
              <a:latin typeface="+mn-lt"/>
              <a:ea typeface="+mn-ea"/>
              <a:cs typeface="+mn-cs"/>
            </a:rPr>
            <a:t>IR Part, 11F, Gran Seoul bldg. 33, Jong-ro, Jongno-gu, Seoul, Korea (ROK)</a:t>
          </a:r>
        </a:p>
        <a:p>
          <a:pPr rtl="0" fontAlgn="base"/>
          <a:endParaRPr lang="en-US" altLang="ko-KR" sz="900" b="0" i="0" baseline="0">
            <a:latin typeface="+mn-lt"/>
            <a:ea typeface="+mn-ea"/>
            <a:cs typeface="+mn-cs"/>
          </a:endParaRPr>
        </a:p>
        <a:p>
          <a:pPr rtl="0" fontAlgn="base"/>
          <a:r>
            <a:rPr lang="ko-KR" altLang="ko-KR" sz="900" b="1" i="0" baseline="0">
              <a:effectLst/>
              <a:latin typeface="+mn-lt"/>
              <a:ea typeface="+mn-ea"/>
              <a:cs typeface="+mn-cs"/>
            </a:rPr>
            <a:t>■ </a:t>
          </a:r>
          <a:r>
            <a:rPr lang="en-US" altLang="ko-KR" sz="900" b="1" i="0" baseline="0">
              <a:effectLst/>
              <a:latin typeface="+mn-lt"/>
              <a:ea typeface="+mn-ea"/>
              <a:cs typeface="+mn-cs"/>
            </a:rPr>
            <a:t>Investor Relations : </a:t>
          </a:r>
          <a:endParaRPr lang="ko-KR" altLang="ko-KR" sz="900">
            <a:effectLst/>
            <a:latin typeface="+mn-lt"/>
          </a:endParaRPr>
        </a:p>
        <a:p>
          <a:pPr rtl="0" fontAlgn="base"/>
          <a:r>
            <a:rPr lang="en-US" altLang="ko-KR" sz="900" b="0" i="0" baseline="0">
              <a:effectLst/>
              <a:latin typeface="+mn-lt"/>
              <a:ea typeface="+mn-ea"/>
              <a:cs typeface="+mn-cs"/>
            </a:rPr>
            <a:t>e-mail : ir.tongyanglife@myangel.co.kr  </a:t>
          </a:r>
          <a:endParaRPr lang="ko-KR" altLang="ko-KR" sz="900">
            <a:effectLst/>
            <a:latin typeface="+mn-lt"/>
          </a:endParaRPr>
        </a:p>
        <a:p>
          <a:pPr rtl="0" fontAlgn="base"/>
          <a:r>
            <a:rPr lang="en-US" altLang="ko-KR" sz="900" b="0" i="0" baseline="0">
              <a:effectLst/>
              <a:latin typeface="+mn-lt"/>
              <a:ea typeface="+mn-ea"/>
              <a:cs typeface="+mn-cs"/>
            </a:rPr>
            <a:t>Tel : 02-728-9517 / Fax : 02-2095-6479</a:t>
          </a:r>
          <a:endParaRPr lang="ko-KR" altLang="ko-KR" sz="900">
            <a:effectLst/>
            <a:latin typeface="+mn-lt"/>
          </a:endParaRPr>
        </a:p>
        <a:p>
          <a:pPr rtl="0" fontAlgn="base"/>
          <a:endParaRPr lang="en-US" altLang="ko-KR" sz="900" b="0" i="0" baseline="0">
            <a:latin typeface="+mn-lt"/>
            <a:ea typeface="+mn-ea"/>
            <a:cs typeface="+mn-cs"/>
          </a:endParaRPr>
        </a:p>
      </xdr:txBody>
    </xdr:sp>
    <xdr:clientData/>
  </xdr:twoCellAnchor>
  <xdr:twoCellAnchor>
    <xdr:from>
      <xdr:col>3</xdr:col>
      <xdr:colOff>295275</xdr:colOff>
      <xdr:row>0</xdr:row>
      <xdr:rowOff>47625</xdr:rowOff>
    </xdr:from>
    <xdr:to>
      <xdr:col>7</xdr:col>
      <xdr:colOff>0</xdr:colOff>
      <xdr:row>2</xdr:row>
      <xdr:rowOff>123825</xdr:rowOff>
    </xdr:to>
    <xdr:sp macro="" textlink="">
      <xdr:nvSpPr>
        <xdr:cNvPr id="1026" name="AutoShape 2">
          <a:extLst>
            <a:ext uri="{FF2B5EF4-FFF2-40B4-BE49-F238E27FC236}">
              <a16:creationId xmlns:a16="http://schemas.microsoft.com/office/drawing/2014/main" id="{338D180D-9591-42DA-84D6-F9D6885A46F2}"/>
            </a:ext>
          </a:extLst>
        </xdr:cNvPr>
        <xdr:cNvSpPr>
          <a:spLocks noChangeAspect="1" noChangeArrowheads="1" noTextEdit="1"/>
        </xdr:cNvSpPr>
      </xdr:nvSpPr>
      <xdr:spPr bwMode="auto">
        <a:xfrm>
          <a:off x="561975" y="47625"/>
          <a:ext cx="49149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809626</xdr:colOff>
      <xdr:row>1</xdr:row>
      <xdr:rowOff>1</xdr:rowOff>
    </xdr:from>
    <xdr:to>
      <xdr:col>6</xdr:col>
      <xdr:colOff>314325</xdr:colOff>
      <xdr:row>2</xdr:row>
      <xdr:rowOff>11227</xdr:rowOff>
    </xdr:to>
    <xdr:pic>
      <xdr:nvPicPr>
        <xdr:cNvPr id="8" name="그림 7">
          <a:extLst>
            <a:ext uri="{FF2B5EF4-FFF2-40B4-BE49-F238E27FC236}">
              <a16:creationId xmlns:a16="http://schemas.microsoft.com/office/drawing/2014/main" id="{98688AEC-5882-4EDF-B0D8-68C001B05FA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711" r="386"/>
        <a:stretch/>
      </xdr:blipFill>
      <xdr:spPr bwMode="auto">
        <a:xfrm>
          <a:off x="1076326" y="304801"/>
          <a:ext cx="4105274" cy="773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3</xdr:row>
      <xdr:rowOff>0</xdr:rowOff>
    </xdr:from>
    <xdr:to>
      <xdr:col>19</xdr:col>
      <xdr:colOff>0</xdr:colOff>
      <xdr:row>3</xdr:row>
      <xdr:rowOff>0</xdr:rowOff>
    </xdr:to>
    <xdr:sp macro="" textlink="">
      <xdr:nvSpPr>
        <xdr:cNvPr id="4" name="Rectangle 7" descr="□ 보험회사의 리스크 종류&#10;">
          <a:extLst>
            <a:ext uri="{FF2B5EF4-FFF2-40B4-BE49-F238E27FC236}">
              <a16:creationId xmlns:a16="http://schemas.microsoft.com/office/drawing/2014/main" id="{1F8FE24E-D566-4E63-BF1A-4FF33AF4F24B}"/>
            </a:ext>
          </a:extLst>
        </xdr:cNvPr>
        <xdr:cNvSpPr>
          <a:spLocks noChangeArrowheads="1"/>
        </xdr:cNvSpPr>
      </xdr:nvSpPr>
      <xdr:spPr bwMode="auto">
        <a:xfrm>
          <a:off x="18078450" y="609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5" name="Rectangle 7" descr="□ 보험회사의 리스크 종류&#10;">
          <a:extLst>
            <a:ext uri="{FF2B5EF4-FFF2-40B4-BE49-F238E27FC236}">
              <a16:creationId xmlns:a16="http://schemas.microsoft.com/office/drawing/2014/main" id="{3DD1B074-B8EB-4BE5-B84B-297B031F9F29}"/>
            </a:ext>
          </a:extLst>
        </xdr:cNvPr>
        <xdr:cNvSpPr>
          <a:spLocks noChangeArrowheads="1"/>
        </xdr:cNvSpPr>
      </xdr:nvSpPr>
      <xdr:spPr bwMode="auto">
        <a:xfrm>
          <a:off x="18078450" y="609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twoCellAnchor>
    <xdr:from>
      <xdr:col>18</xdr:col>
      <xdr:colOff>0</xdr:colOff>
      <xdr:row>3</xdr:row>
      <xdr:rowOff>0</xdr:rowOff>
    </xdr:from>
    <xdr:to>
      <xdr:col>19</xdr:col>
      <xdr:colOff>0</xdr:colOff>
      <xdr:row>3</xdr:row>
      <xdr:rowOff>0</xdr:rowOff>
    </xdr:to>
    <xdr:sp macro="" textlink="">
      <xdr:nvSpPr>
        <xdr:cNvPr id="14" name="Rectangle 7" descr="□ 보험회사의 리스크 종류&#10;">
          <a:extLst>
            <a:ext uri="{FF2B5EF4-FFF2-40B4-BE49-F238E27FC236}">
              <a16:creationId xmlns:a16="http://schemas.microsoft.com/office/drawing/2014/main" id="{82191DA5-B6C2-41CA-B9A0-8B29217DEE56}"/>
            </a:ext>
          </a:extLst>
        </xdr:cNvPr>
        <xdr:cNvSpPr>
          <a:spLocks noChangeArrowheads="1"/>
        </xdr:cNvSpPr>
      </xdr:nvSpPr>
      <xdr:spPr bwMode="auto">
        <a:xfrm>
          <a:off x="18078450" y="609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15" name="Rectangle 7" descr="□ 보험회사의 리스크 종류&#10;">
          <a:extLst>
            <a:ext uri="{FF2B5EF4-FFF2-40B4-BE49-F238E27FC236}">
              <a16:creationId xmlns:a16="http://schemas.microsoft.com/office/drawing/2014/main" id="{2AF63005-F512-4E95-8FE0-623C789C5BB4}"/>
            </a:ext>
          </a:extLst>
        </xdr:cNvPr>
        <xdr:cNvSpPr>
          <a:spLocks noChangeArrowheads="1"/>
        </xdr:cNvSpPr>
      </xdr:nvSpPr>
      <xdr:spPr bwMode="auto">
        <a:xfrm>
          <a:off x="18078450" y="609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twoCellAnchor>
    <xdr:from>
      <xdr:col>18</xdr:col>
      <xdr:colOff>0</xdr:colOff>
      <xdr:row>3</xdr:row>
      <xdr:rowOff>0</xdr:rowOff>
    </xdr:from>
    <xdr:to>
      <xdr:col>19</xdr:col>
      <xdr:colOff>0</xdr:colOff>
      <xdr:row>3</xdr:row>
      <xdr:rowOff>0</xdr:rowOff>
    </xdr:to>
    <xdr:sp macro="" textlink="">
      <xdr:nvSpPr>
        <xdr:cNvPr id="24" name="Rectangle 7" descr="□ 보험회사의 리스크 종류&#10;">
          <a:extLst>
            <a:ext uri="{FF2B5EF4-FFF2-40B4-BE49-F238E27FC236}">
              <a16:creationId xmlns:a16="http://schemas.microsoft.com/office/drawing/2014/main" id="{50BC7E3D-D74B-43BB-BD0C-530E85F890B5}"/>
            </a:ext>
          </a:extLst>
        </xdr:cNvPr>
        <xdr:cNvSpPr>
          <a:spLocks noChangeArrowheads="1"/>
        </xdr:cNvSpPr>
      </xdr:nvSpPr>
      <xdr:spPr bwMode="auto">
        <a:xfrm>
          <a:off x="18078450" y="609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25" name="Rectangle 7" descr="□ 보험회사의 리스크 종류&#10;">
          <a:extLst>
            <a:ext uri="{FF2B5EF4-FFF2-40B4-BE49-F238E27FC236}">
              <a16:creationId xmlns:a16="http://schemas.microsoft.com/office/drawing/2014/main" id="{ECA04EDF-AF58-4084-B92D-9BB4355E2C54}"/>
            </a:ext>
          </a:extLst>
        </xdr:cNvPr>
        <xdr:cNvSpPr>
          <a:spLocks noChangeArrowheads="1"/>
        </xdr:cNvSpPr>
      </xdr:nvSpPr>
      <xdr:spPr bwMode="auto">
        <a:xfrm>
          <a:off x="18078450" y="609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19050</xdr:colOff>
      <xdr:row>101</xdr:row>
      <xdr:rowOff>0</xdr:rowOff>
    </xdr:from>
    <xdr:to>
      <xdr:col>18</xdr:col>
      <xdr:colOff>0</xdr:colOff>
      <xdr:row>101</xdr:row>
      <xdr:rowOff>0</xdr:rowOff>
    </xdr:to>
    <xdr:sp macro="" textlink="">
      <xdr:nvSpPr>
        <xdr:cNvPr id="2" name="Text Box 13">
          <a:extLst>
            <a:ext uri="{FF2B5EF4-FFF2-40B4-BE49-F238E27FC236}">
              <a16:creationId xmlns:a16="http://schemas.microsoft.com/office/drawing/2014/main" id="{60E00672-DE9F-47EC-AA8A-F7517E0BBA0B}"/>
            </a:ext>
          </a:extLst>
        </xdr:cNvPr>
        <xdr:cNvSpPr txBox="1">
          <a:spLocks noChangeArrowheads="1"/>
        </xdr:cNvSpPr>
      </xdr:nvSpPr>
      <xdr:spPr bwMode="auto">
        <a:xfrm>
          <a:off x="254000" y="18135600"/>
          <a:ext cx="2654300" cy="0"/>
        </a:xfrm>
        <a:prstGeom prst="rect">
          <a:avLst/>
        </a:prstGeom>
        <a:noFill/>
        <a:ln w="0">
          <a:noFill/>
          <a:miter lim="800000"/>
          <a:headEnd/>
          <a:tailEnd/>
        </a:ln>
      </xdr:spPr>
      <xdr:txBody>
        <a:bodyPr vertOverflow="clip" wrap="square" lIns="36576" tIns="27432" rIns="36576" bIns="27432" anchor="ctr" upright="1"/>
        <a:lstStyle/>
        <a:p>
          <a:pPr algn="ctr" rtl="0">
            <a:defRPr sz="1000"/>
          </a:pPr>
          <a:r>
            <a:rPr lang="ko-KR" altLang="en-US" sz="1400" b="1" i="0" u="none" strike="noStrike" baseline="0">
              <a:solidFill>
                <a:srgbClr val="FFFFFF"/>
              </a:solidFill>
              <a:latin typeface="SLI 파트너 EB"/>
            </a:rPr>
            <a:t>요약 손익계산서 </a:t>
          </a:r>
          <a:r>
            <a:rPr lang="en-US" altLang="ko-KR" sz="1400" b="1" i="0" u="none" strike="noStrike" baseline="0">
              <a:solidFill>
                <a:srgbClr val="FFFFFF"/>
              </a:solidFill>
              <a:latin typeface="SLI 파트너 EB"/>
            </a:rPr>
            <a:t>(</a:t>
          </a:r>
          <a:r>
            <a:rPr lang="ko-KR" altLang="en-US" sz="1400" b="1" i="0" u="none" strike="noStrike" baseline="0">
              <a:solidFill>
                <a:srgbClr val="FFFFFF"/>
              </a:solidFill>
              <a:latin typeface="SLI 파트너 EB"/>
            </a:rPr>
            <a:t>조정前</a:t>
          </a:r>
          <a:r>
            <a:rPr lang="en-US" altLang="ko-KR" sz="1400" b="1" i="0" u="none" strike="noStrike" baseline="0">
              <a:solidFill>
                <a:srgbClr val="FFFFFF"/>
              </a:solidFill>
              <a:latin typeface="SLI 파트너 EB"/>
            </a:rPr>
            <a:t>)</a:t>
          </a:r>
        </a:p>
      </xdr:txBody>
    </xdr:sp>
    <xdr:clientData/>
  </xdr:twoCellAnchor>
  <xdr:twoCellAnchor>
    <xdr:from>
      <xdr:col>17</xdr:col>
      <xdr:colOff>19050</xdr:colOff>
      <xdr:row>71</xdr:row>
      <xdr:rowOff>0</xdr:rowOff>
    </xdr:from>
    <xdr:to>
      <xdr:col>18</xdr:col>
      <xdr:colOff>0</xdr:colOff>
      <xdr:row>71</xdr:row>
      <xdr:rowOff>0</xdr:rowOff>
    </xdr:to>
    <xdr:sp macro="" textlink="">
      <xdr:nvSpPr>
        <xdr:cNvPr id="16" name="Text Box 13">
          <a:extLst>
            <a:ext uri="{FF2B5EF4-FFF2-40B4-BE49-F238E27FC236}">
              <a16:creationId xmlns:a16="http://schemas.microsoft.com/office/drawing/2014/main" id="{E880B961-6856-4FA7-AD22-3DC95FC6340D}"/>
            </a:ext>
          </a:extLst>
        </xdr:cNvPr>
        <xdr:cNvSpPr txBox="1">
          <a:spLocks noChangeArrowheads="1"/>
        </xdr:cNvSpPr>
      </xdr:nvSpPr>
      <xdr:spPr bwMode="auto">
        <a:xfrm>
          <a:off x="254000" y="12471400"/>
          <a:ext cx="2654300" cy="0"/>
        </a:xfrm>
        <a:prstGeom prst="rect">
          <a:avLst/>
        </a:prstGeom>
        <a:noFill/>
        <a:ln w="0">
          <a:noFill/>
          <a:miter lim="800000"/>
          <a:headEnd/>
          <a:tailEnd/>
        </a:ln>
      </xdr:spPr>
      <xdr:txBody>
        <a:bodyPr vertOverflow="clip" wrap="square" lIns="36576" tIns="27432" rIns="36576" bIns="27432" anchor="ctr" upright="1"/>
        <a:lstStyle/>
        <a:p>
          <a:pPr algn="ctr" rtl="0">
            <a:defRPr sz="1000"/>
          </a:pPr>
          <a:r>
            <a:rPr lang="ko-KR" altLang="en-US" sz="1400" b="1" i="0" u="none" strike="noStrike" baseline="0">
              <a:solidFill>
                <a:srgbClr val="FFFFFF"/>
              </a:solidFill>
              <a:latin typeface="SLI 파트너 EB"/>
            </a:rPr>
            <a:t>요약 손익계산서 </a:t>
          </a:r>
          <a:r>
            <a:rPr lang="en-US" altLang="ko-KR" sz="1400" b="1" i="0" u="none" strike="noStrike" baseline="0">
              <a:solidFill>
                <a:srgbClr val="FFFFFF"/>
              </a:solidFill>
              <a:latin typeface="SLI 파트너 EB"/>
            </a:rPr>
            <a:t>(</a:t>
          </a:r>
          <a:r>
            <a:rPr lang="ko-KR" altLang="en-US" sz="1400" b="1" i="0" u="none" strike="noStrike" baseline="0">
              <a:solidFill>
                <a:srgbClr val="FFFFFF"/>
              </a:solidFill>
              <a:latin typeface="SLI 파트너 EB"/>
            </a:rPr>
            <a:t>조정前</a:t>
          </a:r>
          <a:r>
            <a:rPr lang="en-US" altLang="ko-KR" sz="1400" b="1" i="0" u="none" strike="noStrike" baseline="0">
              <a:solidFill>
                <a:srgbClr val="FFFFFF"/>
              </a:solidFill>
              <a:latin typeface="SLI 파트너 EB"/>
            </a:rPr>
            <a:t>)</a:t>
          </a:r>
        </a:p>
      </xdr:txBody>
    </xdr:sp>
    <xdr:clientData/>
  </xdr:twoCellAnchor>
  <xdr:twoCellAnchor>
    <xdr:from>
      <xdr:col>18</xdr:col>
      <xdr:colOff>0</xdr:colOff>
      <xdr:row>23</xdr:row>
      <xdr:rowOff>0</xdr:rowOff>
    </xdr:from>
    <xdr:to>
      <xdr:col>19</xdr:col>
      <xdr:colOff>0</xdr:colOff>
      <xdr:row>23</xdr:row>
      <xdr:rowOff>0</xdr:rowOff>
    </xdr:to>
    <xdr:sp macro="" textlink="">
      <xdr:nvSpPr>
        <xdr:cNvPr id="6" name="Rectangle 7" descr="□ 보험회사의 리스크 종류&#10;">
          <a:extLst>
            <a:ext uri="{FF2B5EF4-FFF2-40B4-BE49-F238E27FC236}">
              <a16:creationId xmlns:a16="http://schemas.microsoft.com/office/drawing/2014/main" id="{8B6BEC72-70FD-4D6A-96E3-48F924AAFD2B}"/>
            </a:ext>
          </a:extLst>
        </xdr:cNvPr>
        <xdr:cNvSpPr>
          <a:spLocks noChangeArrowheads="1"/>
        </xdr:cNvSpPr>
      </xdr:nvSpPr>
      <xdr:spPr bwMode="auto">
        <a:xfrm>
          <a:off x="18040350" y="3657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23</xdr:row>
      <xdr:rowOff>0</xdr:rowOff>
    </xdr:from>
    <xdr:to>
      <xdr:col>19</xdr:col>
      <xdr:colOff>0</xdr:colOff>
      <xdr:row>23</xdr:row>
      <xdr:rowOff>0</xdr:rowOff>
    </xdr:to>
    <xdr:sp macro="" textlink="">
      <xdr:nvSpPr>
        <xdr:cNvPr id="7" name="Rectangle 7" descr="□ 보험회사의 리스크 종류&#10;">
          <a:extLst>
            <a:ext uri="{FF2B5EF4-FFF2-40B4-BE49-F238E27FC236}">
              <a16:creationId xmlns:a16="http://schemas.microsoft.com/office/drawing/2014/main" id="{133D929B-8AAD-4B47-B4AC-6C1208DE7DAE}"/>
            </a:ext>
          </a:extLst>
        </xdr:cNvPr>
        <xdr:cNvSpPr>
          <a:spLocks noChangeArrowheads="1"/>
        </xdr:cNvSpPr>
      </xdr:nvSpPr>
      <xdr:spPr bwMode="auto">
        <a:xfrm>
          <a:off x="18040350" y="3657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twoCellAnchor>
    <xdr:from>
      <xdr:col>18</xdr:col>
      <xdr:colOff>0</xdr:colOff>
      <xdr:row>23</xdr:row>
      <xdr:rowOff>0</xdr:rowOff>
    </xdr:from>
    <xdr:to>
      <xdr:col>19</xdr:col>
      <xdr:colOff>0</xdr:colOff>
      <xdr:row>23</xdr:row>
      <xdr:rowOff>0</xdr:rowOff>
    </xdr:to>
    <xdr:sp macro="" textlink="">
      <xdr:nvSpPr>
        <xdr:cNvPr id="17" name="Rectangle 7" descr="□ 보험회사의 리스크 종류&#10;">
          <a:extLst>
            <a:ext uri="{FF2B5EF4-FFF2-40B4-BE49-F238E27FC236}">
              <a16:creationId xmlns:a16="http://schemas.microsoft.com/office/drawing/2014/main" id="{F576B81A-DAFA-4A80-8E39-BA84630CA618}"/>
            </a:ext>
          </a:extLst>
        </xdr:cNvPr>
        <xdr:cNvSpPr>
          <a:spLocks noChangeArrowheads="1"/>
        </xdr:cNvSpPr>
      </xdr:nvSpPr>
      <xdr:spPr bwMode="auto">
        <a:xfrm>
          <a:off x="18040350" y="3657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23</xdr:row>
      <xdr:rowOff>0</xdr:rowOff>
    </xdr:from>
    <xdr:to>
      <xdr:col>19</xdr:col>
      <xdr:colOff>0</xdr:colOff>
      <xdr:row>23</xdr:row>
      <xdr:rowOff>0</xdr:rowOff>
    </xdr:to>
    <xdr:sp macro="" textlink="">
      <xdr:nvSpPr>
        <xdr:cNvPr id="18" name="Rectangle 7" descr="□ 보험회사의 리스크 종류&#10;">
          <a:extLst>
            <a:ext uri="{FF2B5EF4-FFF2-40B4-BE49-F238E27FC236}">
              <a16:creationId xmlns:a16="http://schemas.microsoft.com/office/drawing/2014/main" id="{731B3ED2-60A5-4E75-9FF0-8DCBDCD54B70}"/>
            </a:ext>
          </a:extLst>
        </xdr:cNvPr>
        <xdr:cNvSpPr>
          <a:spLocks noChangeArrowheads="1"/>
        </xdr:cNvSpPr>
      </xdr:nvSpPr>
      <xdr:spPr bwMode="auto">
        <a:xfrm>
          <a:off x="18040350" y="3657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twoCellAnchor>
    <xdr:from>
      <xdr:col>18</xdr:col>
      <xdr:colOff>0</xdr:colOff>
      <xdr:row>23</xdr:row>
      <xdr:rowOff>0</xdr:rowOff>
    </xdr:from>
    <xdr:to>
      <xdr:col>19</xdr:col>
      <xdr:colOff>0</xdr:colOff>
      <xdr:row>23</xdr:row>
      <xdr:rowOff>0</xdr:rowOff>
    </xdr:to>
    <xdr:sp macro="" textlink="">
      <xdr:nvSpPr>
        <xdr:cNvPr id="27" name="Rectangle 7" descr="□ 보험회사의 리스크 종류&#10;">
          <a:extLst>
            <a:ext uri="{FF2B5EF4-FFF2-40B4-BE49-F238E27FC236}">
              <a16:creationId xmlns:a16="http://schemas.microsoft.com/office/drawing/2014/main" id="{7EBA6C85-803F-4DCB-B4C4-0837DB642CBF}"/>
            </a:ext>
          </a:extLst>
        </xdr:cNvPr>
        <xdr:cNvSpPr>
          <a:spLocks noChangeArrowheads="1"/>
        </xdr:cNvSpPr>
      </xdr:nvSpPr>
      <xdr:spPr bwMode="auto">
        <a:xfrm>
          <a:off x="18040350" y="3657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23</xdr:row>
      <xdr:rowOff>0</xdr:rowOff>
    </xdr:from>
    <xdr:to>
      <xdr:col>19</xdr:col>
      <xdr:colOff>0</xdr:colOff>
      <xdr:row>23</xdr:row>
      <xdr:rowOff>0</xdr:rowOff>
    </xdr:to>
    <xdr:sp macro="" textlink="">
      <xdr:nvSpPr>
        <xdr:cNvPr id="28" name="Rectangle 7" descr="□ 보험회사의 리스크 종류&#10;">
          <a:extLst>
            <a:ext uri="{FF2B5EF4-FFF2-40B4-BE49-F238E27FC236}">
              <a16:creationId xmlns:a16="http://schemas.microsoft.com/office/drawing/2014/main" id="{B40A3F83-640A-4F72-B398-B715470F94D9}"/>
            </a:ext>
          </a:extLst>
        </xdr:cNvPr>
        <xdr:cNvSpPr>
          <a:spLocks noChangeArrowheads="1"/>
        </xdr:cNvSpPr>
      </xdr:nvSpPr>
      <xdr:spPr bwMode="auto">
        <a:xfrm>
          <a:off x="18040350" y="365760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25"/>
  <sheetViews>
    <sheetView showGridLines="0" tabSelected="1" zoomScale="85" zoomScaleNormal="85" zoomScaleSheetLayoutView="100" workbookViewId="0"/>
  </sheetViews>
  <sheetFormatPr defaultColWidth="9.140625" defaultRowHeight="18.75"/>
  <cols>
    <col min="1" max="1" width="1.28515625" style="5" customWidth="1"/>
    <col min="2" max="2" width="1" style="5" customWidth="1"/>
    <col min="3" max="3" width="1.7109375" style="1" customWidth="1"/>
    <col min="4" max="4" width="50.7109375" style="1" customWidth="1"/>
    <col min="5" max="7" width="9.140625" style="1"/>
    <col min="8" max="8" width="9.140625" style="1" customWidth="1"/>
    <col min="9" max="10" width="9.140625" style="1"/>
    <col min="11" max="11" width="1.7109375" style="5" customWidth="1"/>
    <col min="12" max="16384" width="9.140625" style="1"/>
  </cols>
  <sheetData>
    <row r="1" spans="1:11" s="3" customFormat="1" ht="24" customHeight="1">
      <c r="A1" s="6"/>
      <c r="B1" s="6"/>
      <c r="K1" s="6"/>
    </row>
    <row r="2" spans="1:11" ht="60" customHeight="1">
      <c r="A2" s="182"/>
      <c r="B2" s="182"/>
      <c r="C2" s="182"/>
      <c r="D2" s="182"/>
      <c r="E2" s="182"/>
      <c r="F2" s="182"/>
      <c r="G2" s="182"/>
      <c r="H2" s="182"/>
      <c r="I2" s="182"/>
      <c r="J2" s="182"/>
      <c r="K2" s="182"/>
    </row>
    <row r="3" spans="1:11" ht="12" customHeight="1">
      <c r="A3" s="43" t="s">
        <v>21</v>
      </c>
      <c r="B3" s="43"/>
      <c r="C3" s="44"/>
      <c r="D3" s="44"/>
      <c r="K3" s="43"/>
    </row>
    <row r="4" spans="1:11" s="54" customFormat="1" ht="26.25">
      <c r="A4" s="51"/>
      <c r="B4" s="51"/>
      <c r="C4" s="52"/>
      <c r="D4" s="183" t="s">
        <v>39</v>
      </c>
      <c r="E4" s="53"/>
      <c r="F4" s="53"/>
      <c r="G4" s="53"/>
      <c r="H4" s="53"/>
      <c r="I4" s="53"/>
      <c r="J4" s="53"/>
      <c r="K4" s="51"/>
    </row>
    <row r="5" spans="1:11" s="45" customFormat="1" ht="19.5">
      <c r="A5" s="46"/>
      <c r="B5" s="46"/>
      <c r="C5" s="46"/>
      <c r="D5" s="184" t="s">
        <v>264</v>
      </c>
      <c r="E5" s="216"/>
      <c r="F5" s="216"/>
      <c r="G5" s="48"/>
      <c r="H5" s="48"/>
      <c r="I5" s="48"/>
      <c r="J5" s="48"/>
      <c r="K5" s="46"/>
    </row>
    <row r="6" spans="1:11" s="45" customFormat="1" ht="24" customHeight="1">
      <c r="A6" s="46"/>
      <c r="B6" s="46"/>
      <c r="C6" s="47"/>
      <c r="D6" s="47"/>
      <c r="E6" s="48"/>
      <c r="F6" s="48"/>
      <c r="G6" s="48"/>
      <c r="H6" s="48"/>
      <c r="I6" s="48"/>
      <c r="J6" s="48"/>
      <c r="K6" s="46"/>
    </row>
    <row r="7" spans="1:11" s="45" customFormat="1" ht="19.5" customHeight="1">
      <c r="A7" s="46"/>
      <c r="B7" s="46"/>
      <c r="C7" s="47"/>
      <c r="D7" s="47"/>
      <c r="E7" s="48"/>
      <c r="F7" s="48"/>
      <c r="G7" s="48"/>
      <c r="H7" s="48"/>
      <c r="I7" s="48"/>
      <c r="J7" s="48"/>
      <c r="K7" s="46"/>
    </row>
    <row r="8" spans="1:11" s="7" customFormat="1" ht="12" customHeight="1">
      <c r="A8" s="176"/>
      <c r="B8" s="176"/>
      <c r="C8" s="179" t="s">
        <v>155</v>
      </c>
      <c r="D8" s="180"/>
      <c r="E8" s="177"/>
      <c r="K8" s="176"/>
    </row>
    <row r="9" spans="1:11" s="7" customFormat="1" ht="12" customHeight="1">
      <c r="A9" s="176"/>
      <c r="B9" s="176"/>
      <c r="C9" s="178"/>
      <c r="D9" s="180"/>
      <c r="E9" s="177"/>
      <c r="K9" s="176"/>
    </row>
    <row r="10" spans="1:11" s="7" customFormat="1" ht="12" customHeight="1">
      <c r="A10" s="176"/>
      <c r="B10" s="176"/>
      <c r="C10" s="179" t="s">
        <v>226</v>
      </c>
      <c r="D10" s="180"/>
      <c r="E10" s="177"/>
      <c r="K10" s="176"/>
    </row>
    <row r="11" spans="1:11" s="7" customFormat="1" ht="12" customHeight="1">
      <c r="A11" s="176"/>
      <c r="B11" s="176"/>
      <c r="C11" s="179" t="s">
        <v>227</v>
      </c>
      <c r="D11" s="180"/>
      <c r="E11" s="177"/>
      <c r="K11" s="176"/>
    </row>
    <row r="12" spans="1:11" s="7" customFormat="1" ht="12" customHeight="1">
      <c r="A12" s="176"/>
      <c r="B12" s="176"/>
      <c r="C12" s="179"/>
      <c r="D12" s="180"/>
      <c r="E12" s="177"/>
      <c r="K12" s="176"/>
    </row>
    <row r="13" spans="1:11" s="488" customFormat="1" ht="12" customHeight="1">
      <c r="A13" s="176"/>
      <c r="B13" s="176"/>
      <c r="C13" s="179" t="s">
        <v>171</v>
      </c>
      <c r="D13" s="180"/>
      <c r="E13" s="180"/>
      <c r="K13" s="176"/>
    </row>
    <row r="14" spans="1:11" s="488" customFormat="1" ht="12" customHeight="1">
      <c r="A14" s="176"/>
      <c r="B14" s="176"/>
      <c r="C14" s="179" t="s">
        <v>165</v>
      </c>
      <c r="D14" s="180"/>
      <c r="E14" s="180"/>
      <c r="K14" s="176"/>
    </row>
    <row r="15" spans="1:11" s="488" customFormat="1" ht="12" customHeight="1">
      <c r="A15" s="176"/>
      <c r="B15" s="176"/>
      <c r="C15" s="179" t="s">
        <v>222</v>
      </c>
      <c r="D15" s="180"/>
      <c r="E15" s="180"/>
      <c r="H15" s="489"/>
      <c r="J15" s="489"/>
      <c r="K15" s="176"/>
    </row>
    <row r="16" spans="1:11" s="7" customFormat="1" ht="12" customHeight="1">
      <c r="A16" s="176"/>
      <c r="B16" s="176"/>
      <c r="C16" s="179"/>
      <c r="D16" s="180"/>
      <c r="E16" s="177"/>
      <c r="J16" s="92"/>
      <c r="K16" s="176"/>
    </row>
    <row r="17" spans="1:11" s="7" customFormat="1" ht="12" customHeight="1">
      <c r="A17" s="176"/>
      <c r="B17" s="176"/>
      <c r="C17" s="178" t="s">
        <v>173</v>
      </c>
      <c r="D17" s="180"/>
      <c r="E17" s="177"/>
      <c r="K17" s="176"/>
    </row>
    <row r="18" spans="1:11" s="7" customFormat="1" ht="12" customHeight="1">
      <c r="A18" s="176"/>
      <c r="B18" s="176"/>
      <c r="C18" s="178"/>
      <c r="D18" s="179" t="s">
        <v>174</v>
      </c>
      <c r="E18" s="177"/>
      <c r="K18" s="176"/>
    </row>
    <row r="19" spans="1:11" s="7" customFormat="1" ht="12" customHeight="1">
      <c r="A19" s="176"/>
      <c r="B19" s="176"/>
      <c r="C19" s="178"/>
      <c r="D19" s="179" t="s">
        <v>175</v>
      </c>
      <c r="E19" s="177"/>
      <c r="K19" s="176"/>
    </row>
    <row r="20" spans="1:11" s="7" customFormat="1" ht="12" customHeight="1">
      <c r="A20" s="176"/>
      <c r="B20" s="176"/>
      <c r="C20" s="178"/>
      <c r="D20" s="179"/>
      <c r="E20" s="177"/>
      <c r="K20" s="176"/>
    </row>
    <row r="21" spans="1:11" s="7" customFormat="1" ht="12" customHeight="1">
      <c r="A21" s="176"/>
      <c r="B21" s="176"/>
      <c r="C21" s="178" t="s">
        <v>176</v>
      </c>
      <c r="D21" s="180"/>
      <c r="E21" s="177"/>
      <c r="K21" s="176"/>
    </row>
    <row r="22" spans="1:11" s="7" customFormat="1" ht="12" customHeight="1">
      <c r="A22" s="176"/>
      <c r="B22" s="176"/>
      <c r="C22" s="178"/>
      <c r="D22" s="179" t="s">
        <v>177</v>
      </c>
      <c r="E22" s="177"/>
      <c r="K22" s="176"/>
    </row>
    <row r="23" spans="1:11" s="7" customFormat="1" ht="12" customHeight="1">
      <c r="A23" s="176"/>
      <c r="B23" s="176"/>
      <c r="C23" s="178"/>
      <c r="D23" s="179" t="s">
        <v>178</v>
      </c>
      <c r="E23" s="177"/>
      <c r="K23" s="176"/>
    </row>
    <row r="24" spans="1:11" s="7" customFormat="1" ht="12" customHeight="1">
      <c r="A24" s="176"/>
      <c r="B24" s="176"/>
      <c r="C24" s="178"/>
      <c r="D24" s="179" t="s">
        <v>179</v>
      </c>
      <c r="E24" s="177"/>
      <c r="K24" s="176"/>
    </row>
    <row r="25" spans="1:11" s="7" customFormat="1" ht="12" customHeight="1">
      <c r="A25" s="176"/>
      <c r="B25" s="176"/>
      <c r="C25" s="178"/>
      <c r="D25" s="179" t="s">
        <v>180</v>
      </c>
      <c r="E25" s="177"/>
      <c r="K25" s="176"/>
    </row>
    <row r="26" spans="1:11" s="7" customFormat="1" ht="12" customHeight="1">
      <c r="A26" s="176"/>
      <c r="B26" s="176"/>
      <c r="C26" s="178"/>
      <c r="D26" s="179"/>
      <c r="E26" s="177"/>
      <c r="K26" s="176"/>
    </row>
    <row r="27" spans="1:11" s="7" customFormat="1" ht="12" customHeight="1">
      <c r="A27" s="176"/>
      <c r="B27" s="176"/>
      <c r="C27" s="178" t="s">
        <v>181</v>
      </c>
      <c r="D27" s="180"/>
      <c r="E27" s="177"/>
      <c r="K27" s="176"/>
    </row>
    <row r="28" spans="1:11" s="7" customFormat="1" ht="12" customHeight="1">
      <c r="A28" s="176"/>
      <c r="B28" s="176"/>
      <c r="C28" s="178"/>
      <c r="D28" s="179" t="s">
        <v>182</v>
      </c>
      <c r="E28" s="177"/>
      <c r="K28" s="176"/>
    </row>
    <row r="29" spans="1:11" s="7" customFormat="1" ht="12" customHeight="1">
      <c r="A29" s="176"/>
      <c r="B29" s="176"/>
      <c r="C29" s="178"/>
      <c r="D29" s="179" t="s">
        <v>183</v>
      </c>
      <c r="E29" s="177"/>
      <c r="K29" s="176"/>
    </row>
    <row r="30" spans="1:11" s="7" customFormat="1" ht="12" customHeight="1">
      <c r="A30" s="176"/>
      <c r="B30" s="176"/>
      <c r="C30" s="178"/>
      <c r="D30" s="179" t="s">
        <v>184</v>
      </c>
      <c r="E30" s="177"/>
      <c r="K30" s="176"/>
    </row>
    <row r="31" spans="1:11" s="7" customFormat="1" ht="12" customHeight="1">
      <c r="A31" s="176"/>
      <c r="B31" s="176"/>
      <c r="C31" s="178"/>
      <c r="D31" s="179"/>
      <c r="E31" s="177"/>
      <c r="K31" s="176"/>
    </row>
    <row r="32" spans="1:11" s="7" customFormat="1" ht="12" customHeight="1">
      <c r="A32" s="176"/>
      <c r="B32" s="176"/>
      <c r="C32" s="178"/>
      <c r="D32" s="179"/>
      <c r="E32" s="177"/>
      <c r="K32" s="176"/>
    </row>
    <row r="33" spans="1:11" s="7" customFormat="1" ht="12" customHeight="1">
      <c r="A33" s="176"/>
      <c r="B33" s="176"/>
      <c r="C33" s="178" t="s">
        <v>185</v>
      </c>
      <c r="D33" s="180"/>
      <c r="E33" s="177"/>
      <c r="K33" s="176"/>
    </row>
    <row r="34" spans="1:11" s="7" customFormat="1" ht="12" customHeight="1">
      <c r="A34" s="176"/>
      <c r="B34" s="176"/>
      <c r="C34" s="178"/>
      <c r="D34" s="179" t="s">
        <v>186</v>
      </c>
      <c r="E34" s="177"/>
      <c r="K34" s="176"/>
    </row>
    <row r="35" spans="1:11" s="7" customFormat="1" ht="12" customHeight="1">
      <c r="A35" s="176"/>
      <c r="B35" s="176"/>
      <c r="C35" s="178"/>
      <c r="D35" s="179" t="s">
        <v>187</v>
      </c>
      <c r="E35" s="177"/>
      <c r="K35" s="176"/>
    </row>
    <row r="36" spans="1:11" s="7" customFormat="1" ht="12" customHeight="1">
      <c r="A36" s="176"/>
      <c r="B36" s="176"/>
      <c r="C36" s="178"/>
      <c r="D36" s="179"/>
      <c r="E36" s="177"/>
      <c r="K36" s="176"/>
    </row>
    <row r="37" spans="1:11" s="7" customFormat="1" ht="12" customHeight="1">
      <c r="A37" s="176"/>
      <c r="B37" s="176"/>
      <c r="C37" s="178" t="s">
        <v>188</v>
      </c>
      <c r="D37" s="180"/>
      <c r="E37" s="177"/>
      <c r="K37" s="176"/>
    </row>
    <row r="38" spans="1:11" s="7" customFormat="1" ht="12.75">
      <c r="A38" s="176"/>
      <c r="B38" s="176"/>
      <c r="C38" s="178"/>
      <c r="D38" s="179" t="s">
        <v>262</v>
      </c>
      <c r="E38" s="177"/>
      <c r="K38" s="176"/>
    </row>
    <row r="39" spans="1:11" s="7" customFormat="1" ht="12.75">
      <c r="A39" s="176"/>
      <c r="B39" s="176"/>
      <c r="C39" s="178"/>
      <c r="D39" s="179" t="s">
        <v>263</v>
      </c>
      <c r="E39" s="177"/>
      <c r="K39" s="176"/>
    </row>
    <row r="40" spans="1:11" s="7" customFormat="1" ht="12.75">
      <c r="A40" s="176"/>
      <c r="B40" s="176"/>
      <c r="C40" s="178"/>
      <c r="D40" s="179"/>
      <c r="E40" s="177"/>
      <c r="K40" s="176"/>
    </row>
    <row r="41" spans="1:11" s="7" customFormat="1" ht="14.25">
      <c r="A41" s="43"/>
      <c r="B41" s="49"/>
      <c r="C41" s="181"/>
      <c r="D41" s="181"/>
      <c r="E41" s="177"/>
      <c r="K41" s="176"/>
    </row>
    <row r="42" spans="1:11" ht="14.25">
      <c r="A42" s="43"/>
      <c r="B42" s="49"/>
      <c r="C42" s="181"/>
      <c r="D42" s="181"/>
      <c r="E42" s="50"/>
      <c r="K42" s="43"/>
    </row>
    <row r="43" spans="1:11" ht="14.25">
      <c r="A43" s="43"/>
      <c r="B43" s="49"/>
      <c r="C43" s="181"/>
      <c r="D43" s="181"/>
      <c r="E43" s="50"/>
      <c r="K43" s="43"/>
    </row>
    <row r="44" spans="1:11" ht="14.25">
      <c r="A44" s="43"/>
      <c r="B44" s="49"/>
      <c r="C44" s="2"/>
      <c r="D44" s="181"/>
      <c r="E44" s="50"/>
      <c r="K44" s="43"/>
    </row>
    <row r="45" spans="1:11" ht="14.25">
      <c r="A45" s="43"/>
      <c r="B45" s="43"/>
      <c r="C45" s="44"/>
      <c r="D45" s="44"/>
      <c r="K45" s="43"/>
    </row>
    <row r="46" spans="1:11" ht="14.25">
      <c r="A46" s="43"/>
      <c r="B46" s="43"/>
      <c r="C46" s="44"/>
      <c r="D46" s="44"/>
      <c r="K46" s="43"/>
    </row>
    <row r="47" spans="1:11" ht="14.25">
      <c r="A47" s="43"/>
      <c r="B47" s="43"/>
      <c r="C47" s="44"/>
      <c r="D47" s="44"/>
      <c r="K47" s="43"/>
    </row>
    <row r="48" spans="1:11" ht="22.5">
      <c r="A48" s="6"/>
      <c r="B48" s="6"/>
      <c r="C48" s="3"/>
      <c r="D48" s="3"/>
      <c r="K48" s="43"/>
    </row>
    <row r="49" spans="1:11" ht="14.25">
      <c r="A49" s="25"/>
      <c r="B49" s="25"/>
      <c r="K49" s="43"/>
    </row>
    <row r="50" spans="1:11" ht="22.5">
      <c r="A50" s="6"/>
      <c r="B50" s="6"/>
      <c r="C50" s="3"/>
      <c r="D50" s="3"/>
      <c r="K50" s="43"/>
    </row>
    <row r="51" spans="1:11" ht="14.25">
      <c r="A51" s="25"/>
      <c r="B51" s="25"/>
      <c r="K51" s="43"/>
    </row>
    <row r="52" spans="1:11" ht="22.5">
      <c r="A52" s="25"/>
      <c r="B52" s="25"/>
      <c r="K52" s="6"/>
    </row>
    <row r="53" spans="1:11" ht="14.25">
      <c r="A53" s="25"/>
      <c r="B53" s="25"/>
      <c r="K53" s="25"/>
    </row>
    <row r="54" spans="1:11" ht="22.5">
      <c r="A54" s="25"/>
      <c r="B54" s="25"/>
      <c r="K54" s="6"/>
    </row>
    <row r="55" spans="1:11" ht="14.25">
      <c r="A55" s="25"/>
      <c r="B55" s="25"/>
      <c r="K55" s="25"/>
    </row>
    <row r="56" spans="1:11" ht="14.25">
      <c r="A56" s="25"/>
      <c r="B56" s="25"/>
      <c r="K56" s="25"/>
    </row>
    <row r="57" spans="1:11" ht="14.25">
      <c r="A57" s="25"/>
      <c r="B57" s="25"/>
      <c r="K57" s="25"/>
    </row>
    <row r="58" spans="1:11" ht="14.25">
      <c r="A58" s="25"/>
      <c r="B58" s="25"/>
      <c r="K58" s="25"/>
    </row>
    <row r="59" spans="1:11" ht="14.25">
      <c r="A59" s="25"/>
      <c r="B59" s="25"/>
      <c r="K59" s="25"/>
    </row>
    <row r="60" spans="1:11" ht="14.25">
      <c r="A60" s="25"/>
      <c r="B60" s="25"/>
      <c r="K60" s="25"/>
    </row>
    <row r="61" spans="1:11" ht="14.25">
      <c r="A61" s="25"/>
      <c r="B61" s="25"/>
      <c r="K61" s="25"/>
    </row>
    <row r="62" spans="1:11" ht="14.25">
      <c r="A62" s="25"/>
      <c r="B62" s="25"/>
      <c r="K62" s="25"/>
    </row>
    <row r="63" spans="1:11" ht="14.25">
      <c r="A63" s="25"/>
      <c r="B63" s="25"/>
      <c r="K63" s="25"/>
    </row>
    <row r="64" spans="1:11" ht="14.25">
      <c r="A64" s="25"/>
      <c r="B64" s="25"/>
      <c r="K64" s="25"/>
    </row>
    <row r="65" spans="1:11" ht="14.25">
      <c r="A65" s="25"/>
      <c r="B65" s="25"/>
      <c r="K65" s="25"/>
    </row>
    <row r="66" spans="1:11" ht="14.25">
      <c r="A66" s="25"/>
      <c r="B66" s="25"/>
      <c r="K66" s="25"/>
    </row>
    <row r="67" spans="1:11" ht="14.25">
      <c r="A67" s="25"/>
      <c r="B67" s="25"/>
      <c r="K67" s="25"/>
    </row>
    <row r="68" spans="1:11" ht="14.25">
      <c r="A68" s="25"/>
      <c r="B68" s="25"/>
      <c r="K68" s="25"/>
    </row>
    <row r="69" spans="1:11" ht="14.25">
      <c r="A69" s="25"/>
      <c r="B69" s="25"/>
      <c r="K69" s="25"/>
    </row>
    <row r="70" spans="1:11" ht="14.25">
      <c r="A70" s="25"/>
      <c r="B70" s="25"/>
      <c r="K70" s="25"/>
    </row>
    <row r="71" spans="1:11" ht="14.25">
      <c r="A71" s="25"/>
      <c r="B71" s="25"/>
      <c r="K71" s="25"/>
    </row>
    <row r="72" spans="1:11" ht="14.25">
      <c r="A72" s="25"/>
      <c r="B72" s="25"/>
      <c r="K72" s="25"/>
    </row>
    <row r="73" spans="1:11" ht="14.25">
      <c r="A73" s="25"/>
      <c r="B73" s="25"/>
      <c r="K73" s="25"/>
    </row>
    <row r="74" spans="1:11" ht="14.25">
      <c r="A74" s="25"/>
      <c r="B74" s="25"/>
      <c r="K74" s="25"/>
    </row>
    <row r="75" spans="1:11" ht="14.25">
      <c r="A75" s="25"/>
      <c r="B75" s="25"/>
      <c r="K75" s="25"/>
    </row>
    <row r="76" spans="1:11" ht="14.25">
      <c r="A76" s="25"/>
      <c r="B76" s="25"/>
      <c r="K76" s="25"/>
    </row>
    <row r="77" spans="1:11" ht="14.25">
      <c r="A77" s="25"/>
      <c r="B77" s="25"/>
      <c r="K77" s="25"/>
    </row>
    <row r="78" spans="1:11" ht="14.25">
      <c r="A78" s="25"/>
      <c r="B78" s="25"/>
      <c r="K78" s="25"/>
    </row>
    <row r="79" spans="1:11" ht="14.25">
      <c r="A79" s="25"/>
      <c r="B79" s="25"/>
      <c r="K79" s="25"/>
    </row>
    <row r="80" spans="1:11" ht="14.25">
      <c r="A80" s="25"/>
      <c r="B80" s="25"/>
      <c r="K80" s="25"/>
    </row>
    <row r="81" spans="1:11" ht="14.25">
      <c r="A81" s="25"/>
      <c r="B81" s="25"/>
      <c r="K81" s="25"/>
    </row>
    <row r="82" spans="1:11" ht="14.25">
      <c r="A82" s="25"/>
      <c r="B82" s="25"/>
      <c r="K82" s="25"/>
    </row>
    <row r="83" spans="1:11" ht="14.25">
      <c r="A83" s="25"/>
      <c r="B83" s="25"/>
      <c r="K83" s="25"/>
    </row>
    <row r="84" spans="1:11" ht="14.25">
      <c r="A84" s="25"/>
      <c r="B84" s="25"/>
      <c r="K84" s="25"/>
    </row>
    <row r="85" spans="1:11" ht="14.25">
      <c r="A85" s="25"/>
      <c r="B85" s="25"/>
      <c r="K85" s="25"/>
    </row>
    <row r="86" spans="1:11" ht="14.25">
      <c r="A86" s="25"/>
      <c r="B86" s="25"/>
      <c r="K86" s="25"/>
    </row>
    <row r="87" spans="1:11" ht="14.25">
      <c r="A87" s="25"/>
      <c r="B87" s="25"/>
      <c r="K87" s="25"/>
    </row>
    <row r="88" spans="1:11" ht="14.25">
      <c r="A88" s="25"/>
      <c r="B88" s="25"/>
      <c r="K88" s="25"/>
    </row>
    <row r="89" spans="1:11" ht="14.25">
      <c r="A89" s="25"/>
      <c r="B89" s="25"/>
      <c r="K89" s="25"/>
    </row>
    <row r="90" spans="1:11" ht="14.25">
      <c r="A90" s="25"/>
      <c r="B90" s="25"/>
      <c r="K90" s="25"/>
    </row>
    <row r="91" spans="1:11" ht="14.25">
      <c r="A91" s="25"/>
      <c r="B91" s="25"/>
      <c r="K91" s="25"/>
    </row>
    <row r="92" spans="1:11" ht="14.25">
      <c r="A92" s="25"/>
      <c r="B92" s="25"/>
      <c r="K92" s="25"/>
    </row>
    <row r="93" spans="1:11" ht="14.25">
      <c r="A93" s="25"/>
      <c r="B93" s="25"/>
      <c r="K93" s="25"/>
    </row>
    <row r="94" spans="1:11">
      <c r="K94" s="25"/>
    </row>
    <row r="95" spans="1:11">
      <c r="K95" s="25"/>
    </row>
    <row r="96" spans="1:11">
      <c r="K96" s="25"/>
    </row>
    <row r="97" spans="1:11">
      <c r="K97" s="25"/>
    </row>
    <row r="109" spans="1:11">
      <c r="A109" s="1"/>
      <c r="B109" s="1"/>
    </row>
    <row r="110" spans="1:11">
      <c r="A110" s="1"/>
      <c r="B110" s="1"/>
    </row>
    <row r="111" spans="1:11">
      <c r="A111" s="1"/>
      <c r="B111" s="1"/>
    </row>
    <row r="112" spans="1:11">
      <c r="A112" s="1"/>
      <c r="B112" s="1"/>
    </row>
    <row r="113" spans="1:11" ht="12">
      <c r="A113" s="1"/>
      <c r="B113" s="1"/>
      <c r="K113" s="1"/>
    </row>
    <row r="114" spans="1:11" ht="12">
      <c r="A114" s="1"/>
      <c r="B114" s="1"/>
      <c r="K114" s="1"/>
    </row>
    <row r="115" spans="1:11" ht="12">
      <c r="A115" s="1"/>
      <c r="B115" s="1"/>
      <c r="K115" s="1"/>
    </row>
    <row r="116" spans="1:11" ht="12">
      <c r="A116" s="1"/>
      <c r="B116" s="1"/>
      <c r="K116" s="1"/>
    </row>
    <row r="117" spans="1:11" ht="12">
      <c r="A117" s="1"/>
      <c r="B117" s="1"/>
      <c r="K117" s="1"/>
    </row>
    <row r="118" spans="1:11" ht="12">
      <c r="A118" s="1"/>
      <c r="B118" s="1"/>
      <c r="K118" s="1"/>
    </row>
    <row r="119" spans="1:11" ht="12">
      <c r="A119" s="1"/>
      <c r="B119" s="1"/>
      <c r="K119" s="1"/>
    </row>
    <row r="120" spans="1:11" ht="12">
      <c r="A120" s="1"/>
      <c r="B120" s="1"/>
      <c r="K120" s="1"/>
    </row>
    <row r="121" spans="1:11" ht="12">
      <c r="A121" s="1"/>
      <c r="B121" s="1"/>
      <c r="K121" s="1"/>
    </row>
    <row r="122" spans="1:11">
      <c r="K122" s="1"/>
    </row>
    <row r="123" spans="1:11">
      <c r="K123" s="1"/>
    </row>
    <row r="124" spans="1:11">
      <c r="K124" s="1"/>
    </row>
    <row r="125" spans="1:11">
      <c r="K125" s="1"/>
    </row>
  </sheetData>
  <phoneticPr fontId="7" type="noConversion"/>
  <hyperlinks>
    <hyperlink ref="C8" location="FH!A1" display="재무현황" xr:uid="{00000000-0004-0000-0000-000000000000}"/>
    <hyperlink ref="D18" location="Stability!A1" display="재무 안정성 (Financial Stability)" xr:uid="{00000000-0004-0000-0000-000002000000}"/>
    <hyperlink ref="D19" location="Productivity!A1" display="생산성 / 경영효율 (Productivity / Operating Efficiency)" xr:uid="{00000000-0004-0000-0000-000003000000}"/>
    <hyperlink ref="D23" location="'Premium Income by P.T.(GA+SA)'!A1" display="상품별 수입보험료 (Premium Income)" xr:uid="{00000000-0004-0000-0000-000005000000}"/>
    <hyperlink ref="D24" location="'Initial P. by P.T.'!A1" display="상품별 초회보험료 (Initial Premium)" xr:uid="{00000000-0004-0000-0000-000006000000}"/>
    <hyperlink ref="D25" location="'First-year P. by P.T.'!A1" display="상품별 초년도보험료 (First Year Premium)" xr:uid="{00000000-0004-0000-0000-000007000000}"/>
    <hyperlink ref="D29" location="'Premium Income by D.C.(GA+SA)'!A1" display="채널별 수입보험료 (Premium Income)" xr:uid="{00000000-0004-0000-0000-000009000000}"/>
    <hyperlink ref="D30" location="'First-year P. by D.C'!A1" display="채널별 초년도보험료 (First Year Premium)" xr:uid="{00000000-0004-0000-0000-00000A000000}"/>
    <hyperlink ref="D34" location="'&gt;Loan'!A1" display="대출 (Loan)/ 자산건전성 (Asset Quality of Loan)" xr:uid="{00000000-0004-0000-0000-00000C000000}"/>
    <hyperlink ref="D35" location="'&gt;Bond'!A1" display="채권 (Bond)" xr:uid="{00000000-0004-0000-0000-00000D000000}"/>
    <hyperlink ref="D38" location="'BS  K-IFRS'!A1" display="재무상태표 (Balance Sheet - KIFRS)" xr:uid="{00000000-0004-0000-0000-000010000000}"/>
    <hyperlink ref="D39" location="'IS  K-IFRS'!A1" display="손익계산서 (Income Statement - KIFRS)" xr:uid="{00000000-0004-0000-0000-000011000000}"/>
    <hyperlink ref="C13" location="CSM!A1" display="RA, CSM, BEL Movement" xr:uid="{00000000-0004-0000-0000-000013000000}"/>
    <hyperlink ref="C14" location="CSM!A1" display="신계약 CSM (New Business CSM)" xr:uid="{00000000-0004-0000-0000-000014000000}"/>
    <hyperlink ref="C15" location="CSM!A1" display="신계약 CSM 배수 (New Business CSM Margin)" xr:uid="{00000000-0004-0000-0000-000016000000}"/>
    <hyperlink ref="D22" location="'APE by P.T'!A1" display="상품별 APE (Annualized Premium Equivalent (APE))" xr:uid="{431C3C3A-EBEA-45FB-9ECC-6BA4F51D129D}"/>
    <hyperlink ref="D28" location="'APE by D.C'!A1" display="채널별 APE (Annualized Premium Equivalent (APE))" xr:uid="{E49A85D6-BFC9-4EF9-A77A-07FB3CABE577}"/>
    <hyperlink ref="C11" location="FS!A1" display="요약손익계산서 (Selected Income Statement)" xr:uid="{00000000-0004-0000-0000-000012000000}"/>
    <hyperlink ref="C10" location="FS!A1" display="요약재무상태표 (Selected Balance sheet)" xr:uid="{00000000-0004-0000-0000-000001000000}"/>
  </hyperlinks>
  <printOptions horizontalCentered="1"/>
  <pageMargins left="0.70866141732283472" right="0.70866141732283472" top="0.74803149606299213" bottom="0.74803149606299213" header="0.31496062992125984" footer="0.31496062992125984"/>
  <pageSetup paperSize="9" scale="9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76"/>
  <sheetViews>
    <sheetView showGridLines="0" zoomScale="85" zoomScaleNormal="85" zoomScaleSheetLayoutView="115" workbookViewId="0">
      <selection activeCell="C44" sqref="C44"/>
    </sheetView>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36.28515625" style="1" customWidth="1"/>
    <col min="10" max="10" width="10.7109375" style="1" customWidth="1"/>
    <col min="11" max="13" width="9.140625" style="1"/>
    <col min="14" max="17" width="10.7109375" style="1" customWidth="1"/>
    <col min="18" max="18" width="22.7109375" style="1" bestFit="1" customWidth="1"/>
    <col min="19" max="16384" width="9.140625" style="1"/>
  </cols>
  <sheetData>
    <row r="1" spans="1:25" s="3" customFormat="1" ht="24" customHeight="1">
      <c r="A1" s="515" t="s">
        <v>396</v>
      </c>
      <c r="F1" s="81" t="s">
        <v>28</v>
      </c>
      <c r="G1" s="81"/>
      <c r="H1" s="82"/>
      <c r="I1" s="82"/>
    </row>
    <row r="2" spans="1:25" ht="12" customHeight="1">
      <c r="A2" s="140"/>
      <c r="B2" s="141"/>
      <c r="C2" s="141"/>
      <c r="F2" s="83" t="s">
        <v>43</v>
      </c>
      <c r="G2" s="83"/>
      <c r="H2" s="83"/>
      <c r="I2" s="83"/>
      <c r="J2" s="270">
        <v>45382</v>
      </c>
      <c r="K2" s="270">
        <v>45473</v>
      </c>
      <c r="L2" s="270">
        <v>45565</v>
      </c>
      <c r="M2" s="375">
        <v>45657</v>
      </c>
      <c r="N2" s="270">
        <v>45747</v>
      </c>
      <c r="O2" s="270">
        <v>45838</v>
      </c>
      <c r="P2" s="270">
        <v>45930</v>
      </c>
      <c r="Q2" s="270">
        <v>46022</v>
      </c>
    </row>
    <row r="3" spans="1:25" ht="12" customHeight="1">
      <c r="A3" s="140" t="s">
        <v>27</v>
      </c>
      <c r="B3" s="141"/>
      <c r="C3" s="141"/>
      <c r="F3" s="185" t="s">
        <v>42</v>
      </c>
      <c r="G3" s="84"/>
      <c r="H3" s="84"/>
      <c r="I3" s="84"/>
      <c r="J3" s="271"/>
      <c r="K3" s="271"/>
      <c r="L3" s="271"/>
      <c r="M3" s="376"/>
      <c r="N3" s="271"/>
      <c r="O3" s="271"/>
      <c r="P3" s="271"/>
      <c r="Q3" s="615"/>
    </row>
    <row r="4" spans="1:25" ht="12" customHeight="1">
      <c r="A4" s="140"/>
      <c r="B4" s="141"/>
      <c r="C4" s="141"/>
      <c r="F4" s="85" t="s">
        <v>202</v>
      </c>
      <c r="G4" s="85"/>
      <c r="H4" s="85"/>
      <c r="I4" s="85"/>
      <c r="J4" s="712">
        <v>32402.274003225997</v>
      </c>
      <c r="K4" s="713">
        <v>33306.063605890995</v>
      </c>
      <c r="L4" s="713">
        <v>33881.763694890011</v>
      </c>
      <c r="M4" s="714">
        <v>34546.485304416005</v>
      </c>
      <c r="N4" s="712">
        <v>35159.109568600004</v>
      </c>
      <c r="O4" s="713">
        <v>35613.337341861996</v>
      </c>
      <c r="P4" s="713">
        <v>35694.262764644001</v>
      </c>
      <c r="Q4" s="676">
        <v>35347.237061940003</v>
      </c>
    </row>
    <row r="5" spans="1:25" ht="12" customHeight="1">
      <c r="A5" s="150"/>
      <c r="B5" s="140" t="s">
        <v>155</v>
      </c>
      <c r="C5" s="140"/>
      <c r="D5" s="50"/>
      <c r="F5" s="86"/>
      <c r="G5" s="674" t="s">
        <v>44</v>
      </c>
      <c r="H5" s="674"/>
      <c r="I5" s="674"/>
      <c r="J5" s="715">
        <v>30674.435194729998</v>
      </c>
      <c r="K5" s="715">
        <v>31213.2525695</v>
      </c>
      <c r="L5" s="715">
        <v>31532.044119823</v>
      </c>
      <c r="M5" s="716">
        <v>32255.955787485</v>
      </c>
      <c r="N5" s="715">
        <v>32574.976863838001</v>
      </c>
      <c r="O5" s="715">
        <v>33014.313918542997</v>
      </c>
      <c r="P5" s="715">
        <v>33114.563276979003</v>
      </c>
      <c r="Q5" s="836">
        <v>32704.988032254005</v>
      </c>
    </row>
    <row r="6" spans="1:25" ht="12" customHeight="1">
      <c r="A6" s="150"/>
      <c r="B6" s="149"/>
      <c r="C6" s="141"/>
      <c r="D6" s="50"/>
      <c r="F6" s="87" t="s">
        <v>45</v>
      </c>
      <c r="G6" s="87"/>
      <c r="H6" s="87"/>
      <c r="I6" s="87"/>
      <c r="J6" s="717">
        <v>29872.808930859999</v>
      </c>
      <c r="K6" s="718">
        <v>31113.782767770997</v>
      </c>
      <c r="L6" s="718">
        <v>31813.114486608003</v>
      </c>
      <c r="M6" s="719">
        <v>32577.372004638004</v>
      </c>
      <c r="N6" s="717">
        <v>33673.417913091005</v>
      </c>
      <c r="O6" s="718">
        <v>33960.729601216</v>
      </c>
      <c r="P6" s="718">
        <v>34351.542878457993</v>
      </c>
      <c r="Q6" s="678">
        <v>33798.362384316999</v>
      </c>
      <c r="R6" s="746"/>
    </row>
    <row r="7" spans="1:25" ht="12" customHeight="1">
      <c r="A7" s="150"/>
      <c r="B7" s="149" t="s">
        <v>212</v>
      </c>
      <c r="C7" s="141"/>
      <c r="D7" s="50"/>
      <c r="G7" s="107" t="s">
        <v>248</v>
      </c>
      <c r="H7" s="107"/>
      <c r="I7" s="107"/>
      <c r="J7" s="715">
        <v>2691.1530632389999</v>
      </c>
      <c r="K7" s="715">
        <v>2754.0303232729998</v>
      </c>
      <c r="L7" s="715">
        <v>2859.0489075410001</v>
      </c>
      <c r="M7" s="716">
        <v>2671.0888680560001</v>
      </c>
      <c r="N7" s="715">
        <v>2661.1771350059998</v>
      </c>
      <c r="O7" s="715">
        <v>2744.235267686</v>
      </c>
      <c r="P7" s="715">
        <v>2796.980899876</v>
      </c>
      <c r="Q7" s="677">
        <v>2457.0954806220002</v>
      </c>
    </row>
    <row r="8" spans="1:25" ht="12" customHeight="1">
      <c r="A8" s="150"/>
      <c r="B8" s="149" t="s">
        <v>213</v>
      </c>
      <c r="C8" s="141"/>
      <c r="D8" s="50"/>
      <c r="G8" s="107" t="s">
        <v>203</v>
      </c>
      <c r="H8" s="107"/>
      <c r="I8" s="107"/>
      <c r="J8" s="715">
        <v>204.34755168131079</v>
      </c>
      <c r="K8" s="715">
        <v>343.51463352056646</v>
      </c>
      <c r="L8" s="715">
        <v>567.10164555217114</v>
      </c>
      <c r="M8" s="716">
        <v>731.97555891156969</v>
      </c>
      <c r="N8" s="715">
        <v>190.38142138493527</v>
      </c>
      <c r="O8" s="715">
        <v>302.88628537201737</v>
      </c>
      <c r="P8" s="715">
        <v>425.8484432181387</v>
      </c>
      <c r="Q8" s="677">
        <v>529.1322275170121</v>
      </c>
    </row>
    <row r="9" spans="1:25" ht="12" customHeight="1">
      <c r="A9" s="150"/>
      <c r="B9" s="149"/>
      <c r="C9" s="141"/>
      <c r="D9" s="50"/>
      <c r="F9" s="87" t="s">
        <v>46</v>
      </c>
      <c r="G9" s="87"/>
      <c r="H9" s="87"/>
      <c r="I9" s="87"/>
      <c r="J9" s="717">
        <v>2529.4650723659997</v>
      </c>
      <c r="K9" s="718">
        <v>2192.2808381199993</v>
      </c>
      <c r="L9" s="718">
        <v>2068.649208282</v>
      </c>
      <c r="M9" s="719">
        <v>1969.1132997779998</v>
      </c>
      <c r="N9" s="717">
        <v>1485.6916555090002</v>
      </c>
      <c r="O9" s="718">
        <v>1652.6077406460004</v>
      </c>
      <c r="P9" s="718">
        <v>1342.7198861860002</v>
      </c>
      <c r="Q9" s="678">
        <v>1548.8746776229998</v>
      </c>
    </row>
    <row r="10" spans="1:25" ht="12" customHeight="1">
      <c r="A10" s="140"/>
      <c r="B10" s="149" t="s">
        <v>171</v>
      </c>
      <c r="C10" s="141"/>
      <c r="D10" s="50"/>
      <c r="F10" s="88" t="s">
        <v>47</v>
      </c>
      <c r="G10" s="88"/>
      <c r="H10" s="88"/>
      <c r="I10" s="88"/>
      <c r="J10" s="720">
        <f t="shared" ref="J10:Q10" si="0">SUM(J11:J12)</f>
        <v>1096.28230659</v>
      </c>
      <c r="K10" s="720">
        <f t="shared" si="0"/>
        <v>2423.2688134320001</v>
      </c>
      <c r="L10" s="720">
        <f t="shared" si="0"/>
        <v>3458.7774614320006</v>
      </c>
      <c r="M10" s="721">
        <f t="shared" si="0"/>
        <v>4749.5508056380013</v>
      </c>
      <c r="N10" s="720">
        <f t="shared" si="0"/>
        <v>993.99902702699967</v>
      </c>
      <c r="O10" s="720">
        <f t="shared" si="0"/>
        <v>2060.3061776170002</v>
      </c>
      <c r="P10" s="720">
        <f t="shared" si="0"/>
        <v>3290.0985828900007</v>
      </c>
      <c r="Q10" s="679">
        <f t="shared" si="0"/>
        <v>4814.4476407730008</v>
      </c>
      <c r="S10" s="231"/>
    </row>
    <row r="11" spans="1:25" ht="12" customHeight="1">
      <c r="A11" s="140"/>
      <c r="B11" s="149" t="s">
        <v>166</v>
      </c>
      <c r="C11" s="141"/>
      <c r="D11" s="50"/>
      <c r="F11" s="86"/>
      <c r="G11" s="674" t="s">
        <v>48</v>
      </c>
      <c r="H11" s="674"/>
      <c r="I11" s="674"/>
      <c r="J11" s="715">
        <v>889.49024631500004</v>
      </c>
      <c r="K11" s="715">
        <v>2108.4068635960002</v>
      </c>
      <c r="L11" s="715">
        <v>3049.8662687210008</v>
      </c>
      <c r="M11" s="716">
        <v>3937.5532568770013</v>
      </c>
      <c r="N11" s="715">
        <v>900.07485542499967</v>
      </c>
      <c r="O11" s="715">
        <v>1828.9107769300001</v>
      </c>
      <c r="P11" s="715">
        <v>3001.2197416610006</v>
      </c>
      <c r="Q11" s="836">
        <v>3986.933932976001</v>
      </c>
      <c r="S11" s="231"/>
    </row>
    <row r="12" spans="1:25" ht="12" customHeight="1">
      <c r="A12" s="140"/>
      <c r="B12" s="149" t="s">
        <v>222</v>
      </c>
      <c r="C12" s="141"/>
      <c r="D12" s="50"/>
      <c r="F12" s="86"/>
      <c r="G12" s="674" t="s">
        <v>74</v>
      </c>
      <c r="H12" s="674"/>
      <c r="I12" s="674"/>
      <c r="J12" s="715">
        <v>206.79206027500001</v>
      </c>
      <c r="K12" s="715">
        <v>314.86194983600001</v>
      </c>
      <c r="L12" s="715">
        <v>408.91119271099996</v>
      </c>
      <c r="M12" s="716">
        <v>811.99754876099985</v>
      </c>
      <c r="N12" s="715">
        <v>93.924171602000001</v>
      </c>
      <c r="O12" s="715">
        <v>231.39540068700001</v>
      </c>
      <c r="P12" s="715">
        <v>288.87884122900005</v>
      </c>
      <c r="Q12" s="836">
        <v>827.51370779699982</v>
      </c>
      <c r="S12" s="231"/>
    </row>
    <row r="13" spans="1:25" ht="12" customHeight="1">
      <c r="A13" s="140"/>
      <c r="B13" s="149"/>
      <c r="C13" s="141"/>
      <c r="D13" s="50"/>
      <c r="F13" s="87" t="s">
        <v>156</v>
      </c>
      <c r="G13" s="107"/>
      <c r="H13" s="107"/>
      <c r="I13" s="107"/>
      <c r="J13" s="722">
        <v>56.271888736999983</v>
      </c>
      <c r="K13" s="722">
        <v>136.84848964899999</v>
      </c>
      <c r="L13" s="722">
        <v>233.39682858099999</v>
      </c>
      <c r="M13" s="723">
        <v>274.40816082599997</v>
      </c>
      <c r="N13" s="722">
        <v>4.0710674249999954</v>
      </c>
      <c r="O13" s="722">
        <v>70.419566477000004</v>
      </c>
      <c r="P13" s="722">
        <v>94.982298655000093</v>
      </c>
      <c r="Q13" s="680">
        <v>113.7708135980001</v>
      </c>
      <c r="R13" s="652"/>
      <c r="S13" s="69"/>
      <c r="T13" s="69"/>
    </row>
    <row r="14" spans="1:25" ht="12" customHeight="1">
      <c r="A14" s="140"/>
      <c r="B14" s="140" t="s">
        <v>173</v>
      </c>
      <c r="C14" s="141"/>
      <c r="D14" s="50"/>
      <c r="F14" s="255" t="s">
        <v>157</v>
      </c>
      <c r="G14" s="107"/>
      <c r="H14" s="107"/>
      <c r="I14" s="107"/>
      <c r="J14" s="722">
        <v>31.608343191999925</v>
      </c>
      <c r="K14" s="722">
        <v>61.64983168000014</v>
      </c>
      <c r="L14" s="722">
        <v>79.760538080999964</v>
      </c>
      <c r="M14" s="723">
        <v>93.649997228999993</v>
      </c>
      <c r="N14" s="722">
        <v>54.593749300999988</v>
      </c>
      <c r="O14" s="722">
        <v>29.633784729000062</v>
      </c>
      <c r="P14" s="722">
        <v>52.81492007099969</v>
      </c>
      <c r="Q14" s="680">
        <v>85.040865586000606</v>
      </c>
      <c r="R14" s="69"/>
      <c r="S14" s="69"/>
      <c r="T14" s="69"/>
      <c r="U14" s="69"/>
      <c r="V14" s="69"/>
      <c r="W14" s="69"/>
      <c r="X14" s="69"/>
      <c r="Y14" s="69"/>
    </row>
    <row r="15" spans="1:25" ht="12" customHeight="1">
      <c r="A15" s="140"/>
      <c r="B15" s="142"/>
      <c r="C15" s="149" t="s">
        <v>40</v>
      </c>
      <c r="D15" s="50"/>
      <c r="F15" s="87" t="s">
        <v>49</v>
      </c>
      <c r="G15" s="86"/>
      <c r="H15" s="86"/>
      <c r="I15" s="86"/>
      <c r="J15" s="722">
        <v>87.880231929000004</v>
      </c>
      <c r="K15" s="722">
        <v>198.49832132899999</v>
      </c>
      <c r="L15" s="722">
        <v>313.15736666200002</v>
      </c>
      <c r="M15" s="723">
        <v>368.05815805499998</v>
      </c>
      <c r="N15" s="722">
        <v>58.664816725999998</v>
      </c>
      <c r="O15" s="722">
        <v>100.053351206</v>
      </c>
      <c r="P15" s="722">
        <v>147.79721872600001</v>
      </c>
      <c r="Q15" s="680">
        <v>198.81167918400001</v>
      </c>
      <c r="R15" s="69"/>
      <c r="S15" s="69"/>
      <c r="T15" s="69"/>
      <c r="U15" s="69"/>
      <c r="V15" s="69"/>
      <c r="W15" s="69"/>
      <c r="X15" s="69"/>
      <c r="Y15" s="69"/>
    </row>
    <row r="16" spans="1:25" ht="12" customHeight="1">
      <c r="A16" s="140"/>
      <c r="B16" s="140"/>
      <c r="C16" s="149" t="s">
        <v>41</v>
      </c>
      <c r="D16" s="50"/>
      <c r="F16" s="87" t="s">
        <v>158</v>
      </c>
      <c r="G16" s="86"/>
      <c r="H16" s="86"/>
      <c r="I16" s="86"/>
      <c r="J16" s="722">
        <v>2.3588358029999998</v>
      </c>
      <c r="K16" s="722">
        <v>-0.19342979600000021</v>
      </c>
      <c r="L16" s="722">
        <v>-3.4864657270000001</v>
      </c>
      <c r="M16" s="723">
        <v>2.9960259809999989</v>
      </c>
      <c r="N16" s="722">
        <v>-5.0065736919999999</v>
      </c>
      <c r="O16" s="722">
        <v>-3.925442232</v>
      </c>
      <c r="P16" s="722">
        <v>-21.179163041999999</v>
      </c>
      <c r="Q16" s="680">
        <v>-23.383388642999996</v>
      </c>
      <c r="R16" s="69"/>
      <c r="S16" s="69"/>
      <c r="T16" s="69"/>
    </row>
    <row r="17" spans="1:20" ht="12" customHeight="1">
      <c r="A17" s="140"/>
      <c r="B17" s="140"/>
      <c r="C17" s="149"/>
      <c r="D17" s="50"/>
      <c r="F17" s="87" t="s">
        <v>159</v>
      </c>
      <c r="G17" s="86"/>
      <c r="H17" s="86"/>
      <c r="I17" s="86"/>
      <c r="J17" s="722">
        <v>90.239067731999995</v>
      </c>
      <c r="K17" s="722">
        <v>198.30489153299999</v>
      </c>
      <c r="L17" s="722">
        <v>309.67090093500002</v>
      </c>
      <c r="M17" s="723">
        <v>371.05418403599998</v>
      </c>
      <c r="N17" s="722">
        <v>53.658243034000002</v>
      </c>
      <c r="O17" s="722">
        <v>96.127908973999993</v>
      </c>
      <c r="P17" s="722">
        <v>126.618055684</v>
      </c>
      <c r="Q17" s="680">
        <v>175.428290541</v>
      </c>
      <c r="R17" s="69"/>
      <c r="S17" s="69"/>
      <c r="T17" s="69"/>
    </row>
    <row r="18" spans="1:20" ht="12" customHeight="1">
      <c r="A18" s="140"/>
      <c r="B18" s="140" t="s">
        <v>176</v>
      </c>
      <c r="C18" s="149"/>
      <c r="D18" s="50"/>
      <c r="F18" s="272" t="s">
        <v>50</v>
      </c>
      <c r="G18" s="272"/>
      <c r="H18" s="272"/>
      <c r="I18" s="272"/>
      <c r="J18" s="724">
        <v>73.578091822999994</v>
      </c>
      <c r="K18" s="724">
        <v>157.08287277299999</v>
      </c>
      <c r="L18" s="724">
        <v>244.77991088300001</v>
      </c>
      <c r="M18" s="725">
        <v>314.29343426100002</v>
      </c>
      <c r="N18" s="724">
        <v>46.194080006</v>
      </c>
      <c r="O18" s="724">
        <v>82.412271501000006</v>
      </c>
      <c r="P18" s="724">
        <v>109.856386323</v>
      </c>
      <c r="Q18" s="681">
        <v>124.493636544</v>
      </c>
      <c r="R18" s="69"/>
      <c r="S18" s="69"/>
      <c r="T18" s="69"/>
    </row>
    <row r="19" spans="1:20" ht="12" customHeight="1">
      <c r="A19" s="140"/>
      <c r="B19" s="140"/>
      <c r="C19" s="149" t="s">
        <v>33</v>
      </c>
      <c r="D19" s="50"/>
      <c r="F19" s="674"/>
      <c r="G19" s="657"/>
      <c r="H19" s="657"/>
      <c r="I19" s="657"/>
      <c r="J19" s="709"/>
      <c r="K19" s="597"/>
      <c r="L19" s="597"/>
      <c r="M19" s="597"/>
      <c r="N19" s="709"/>
      <c r="O19" s="709"/>
      <c r="P19" s="709"/>
      <c r="Q19" s="657"/>
    </row>
    <row r="20" spans="1:20" ht="12" customHeight="1">
      <c r="A20" s="140"/>
      <c r="B20" s="140"/>
      <c r="C20" s="149" t="s">
        <v>29</v>
      </c>
      <c r="D20" s="50"/>
      <c r="F20" s="107"/>
      <c r="G20" s="107"/>
      <c r="H20" s="107"/>
      <c r="I20" s="107"/>
      <c r="J20" s="107"/>
      <c r="K20" s="191"/>
      <c r="L20" s="74"/>
      <c r="M20" s="74"/>
      <c r="N20" s="107"/>
      <c r="O20" s="657"/>
      <c r="P20" s="107"/>
      <c r="Q20" s="773"/>
    </row>
    <row r="21" spans="1:20" s="597" customFormat="1" ht="12" customHeight="1">
      <c r="A21" s="140"/>
      <c r="B21" s="140"/>
      <c r="C21" s="149" t="s">
        <v>30</v>
      </c>
      <c r="D21" s="708"/>
      <c r="F21" s="107"/>
      <c r="G21" s="107"/>
      <c r="H21" s="107"/>
      <c r="I21" s="107"/>
      <c r="J21" s="107"/>
      <c r="K21" s="1"/>
      <c r="L21" s="1"/>
      <c r="M21" s="1"/>
      <c r="N21" s="107"/>
      <c r="O21" s="107"/>
      <c r="P21" s="107"/>
      <c r="Q21" s="774"/>
    </row>
    <row r="22" spans="1:20" ht="12" customHeight="1">
      <c r="A22" s="140"/>
      <c r="B22" s="140"/>
      <c r="C22" s="149" t="s">
        <v>31</v>
      </c>
      <c r="D22" s="50"/>
      <c r="F22" s="83" t="s">
        <v>43</v>
      </c>
      <c r="G22" s="83"/>
      <c r="H22" s="83"/>
      <c r="I22" s="83"/>
      <c r="J22" s="270">
        <v>45382</v>
      </c>
      <c r="K22" s="270">
        <v>45473</v>
      </c>
      <c r="L22" s="270">
        <v>45565</v>
      </c>
      <c r="M22" s="375">
        <v>45657</v>
      </c>
      <c r="N22" s="270">
        <v>45747</v>
      </c>
      <c r="O22" s="270">
        <v>45838</v>
      </c>
      <c r="P22" s="270">
        <v>45930</v>
      </c>
      <c r="Q22" s="270">
        <v>46022</v>
      </c>
    </row>
    <row r="23" spans="1:20" ht="12" customHeight="1">
      <c r="A23" s="140"/>
      <c r="B23" s="140"/>
      <c r="C23" s="149"/>
      <c r="D23" s="50"/>
      <c r="F23" s="185" t="s">
        <v>42</v>
      </c>
      <c r="G23" s="84"/>
      <c r="H23" s="84"/>
      <c r="I23" s="84"/>
      <c r="J23" s="24"/>
      <c r="K23" s="24"/>
      <c r="L23" s="24"/>
      <c r="M23" s="377"/>
      <c r="N23" s="24"/>
      <c r="O23" s="24"/>
      <c r="P23" s="24"/>
      <c r="Q23" s="24"/>
    </row>
    <row r="24" spans="1:20" ht="12" customHeight="1">
      <c r="A24" s="140"/>
      <c r="B24" s="140" t="s">
        <v>181</v>
      </c>
      <c r="C24" s="149"/>
      <c r="D24" s="50"/>
      <c r="F24" s="88" t="s">
        <v>51</v>
      </c>
      <c r="G24" s="88"/>
      <c r="H24" s="88"/>
      <c r="I24" s="88"/>
      <c r="J24" s="726">
        <v>3.8261585278596244E-2</v>
      </c>
      <c r="K24" s="726">
        <v>3.8814450980576808E-2</v>
      </c>
      <c r="L24" s="726">
        <v>3.8316279590577228E-2</v>
      </c>
      <c r="M24" s="727">
        <v>3.7735726211589486E-2</v>
      </c>
      <c r="N24" s="726">
        <v>3.9219519045179549E-2</v>
      </c>
      <c r="O24" s="726">
        <v>3.4722378929815487E-2</v>
      </c>
      <c r="P24" s="726">
        <v>3.5294827575510647E-2</v>
      </c>
      <c r="Q24" s="616">
        <v>3.4280119531898391E-2</v>
      </c>
    </row>
    <row r="25" spans="1:20" ht="12" customHeight="1">
      <c r="A25" s="140"/>
      <c r="B25" s="140"/>
      <c r="C25" s="149" t="s">
        <v>32</v>
      </c>
      <c r="D25" s="50"/>
      <c r="F25" s="88" t="s">
        <v>211</v>
      </c>
      <c r="G25" s="88"/>
      <c r="H25" s="88"/>
      <c r="I25" s="88"/>
      <c r="J25" s="449">
        <v>1.7742903003613284</v>
      </c>
      <c r="K25" s="449">
        <v>1.6623871227816527</v>
      </c>
      <c r="L25" s="449">
        <v>1.6028847077351822</v>
      </c>
      <c r="M25" s="728">
        <v>1.5549999999999999</v>
      </c>
      <c r="N25" s="449">
        <v>1.2716316131756702</v>
      </c>
      <c r="O25" s="449">
        <v>1.7696418912290659</v>
      </c>
      <c r="P25" s="796">
        <v>1.7359479676963407</v>
      </c>
      <c r="Q25" s="834">
        <v>1.7729500596105445</v>
      </c>
    </row>
    <row r="26" spans="1:20" ht="12" customHeight="1">
      <c r="A26" s="140"/>
      <c r="B26" s="140"/>
      <c r="C26" s="149" t="s">
        <v>34</v>
      </c>
      <c r="D26" s="50"/>
      <c r="F26" s="87" t="s">
        <v>204</v>
      </c>
      <c r="G26" s="87"/>
      <c r="H26" s="87"/>
      <c r="I26" s="87"/>
      <c r="J26" s="729">
        <v>9.1851890419673166E-3</v>
      </c>
      <c r="K26" s="729">
        <v>7.9571538678606703E-3</v>
      </c>
      <c r="L26" s="729">
        <v>8.4519929522646874E-3</v>
      </c>
      <c r="M26" s="730">
        <v>7.7450493821141341E-3</v>
      </c>
      <c r="N26" s="729">
        <v>8.1432904757240219E-3</v>
      </c>
      <c r="O26" s="729">
        <v>1.7153668265324173E-2</v>
      </c>
      <c r="P26" s="729">
        <v>1.3365532449799886E-2</v>
      </c>
      <c r="Q26" s="707">
        <v>1.3896943235036185E-2</v>
      </c>
    </row>
    <row r="27" spans="1:20" ht="12" customHeight="1">
      <c r="A27" s="140"/>
      <c r="B27" s="140"/>
      <c r="C27" s="149" t="s">
        <v>35</v>
      </c>
      <c r="D27" s="50"/>
      <c r="F27" s="88" t="s">
        <v>52</v>
      </c>
      <c r="G27" s="88"/>
      <c r="H27" s="88"/>
      <c r="I27" s="88"/>
      <c r="J27" s="731">
        <v>16220.211013180951</v>
      </c>
      <c r="K27" s="731">
        <v>14058.014946693189</v>
      </c>
      <c r="L27" s="731">
        <v>13265.226326765693</v>
      </c>
      <c r="M27" s="732">
        <v>12626.951674562888</v>
      </c>
      <c r="N27" s="731">
        <v>9519.8454747393935</v>
      </c>
      <c r="O27" s="731">
        <v>10589.391320178154</v>
      </c>
      <c r="P27" s="731">
        <v>8603.7272841591675</v>
      </c>
      <c r="Q27" s="617">
        <v>9924.7024347431488</v>
      </c>
      <c r="R27" s="582"/>
      <c r="S27" s="672"/>
    </row>
    <row r="28" spans="1:20" ht="12" customHeight="1">
      <c r="A28" s="140"/>
      <c r="B28" s="140"/>
      <c r="C28" s="149"/>
      <c r="D28" s="50"/>
      <c r="F28" s="89" t="s">
        <v>53</v>
      </c>
      <c r="G28" s="89"/>
      <c r="H28" s="89"/>
      <c r="I28" s="89"/>
      <c r="J28" s="733">
        <v>455.99118152281767</v>
      </c>
      <c r="K28" s="733">
        <v>973.50179894673715</v>
      </c>
      <c r="L28" s="733">
        <v>1516.993414902591</v>
      </c>
      <c r="M28" s="734">
        <v>1947.7949330120862</v>
      </c>
      <c r="N28" s="733">
        <v>286.28213370859692</v>
      </c>
      <c r="O28" s="733">
        <v>510.73992438022435</v>
      </c>
      <c r="P28" s="733">
        <v>680.82145318143444</v>
      </c>
      <c r="Q28" s="618">
        <v>771.53401254727169</v>
      </c>
      <c r="S28" s="672"/>
    </row>
    <row r="29" spans="1:20" ht="12" customHeight="1">
      <c r="A29" s="140"/>
      <c r="B29" s="140"/>
      <c r="C29" s="149"/>
      <c r="D29" s="50"/>
      <c r="F29" s="87" t="s">
        <v>54</v>
      </c>
      <c r="G29" s="87"/>
      <c r="H29" s="87"/>
      <c r="I29" s="87"/>
      <c r="J29" s="735">
        <v>9.0180680423152543E-3</v>
      </c>
      <c r="K29" s="735">
        <v>9.4949260925037797E-3</v>
      </c>
      <c r="L29" s="735">
        <v>9.778796761867381E-3</v>
      </c>
      <c r="M29" s="736">
        <v>9.3240119455116448E-3</v>
      </c>
      <c r="N29" s="735">
        <v>5.3016209204041799E-3</v>
      </c>
      <c r="O29" s="735">
        <v>4.6985450300520114E-3</v>
      </c>
      <c r="P29" s="735">
        <v>4.1706612127760103E-3</v>
      </c>
      <c r="Q29" s="619">
        <v>3.562369618588984E-3</v>
      </c>
      <c r="S29" s="672"/>
    </row>
    <row r="30" spans="1:20" ht="12" customHeight="1">
      <c r="A30" s="140"/>
      <c r="B30" s="140" t="s">
        <v>185</v>
      </c>
      <c r="C30" s="149"/>
      <c r="D30" s="50"/>
      <c r="F30" s="272" t="s">
        <v>55</v>
      </c>
      <c r="G30" s="272"/>
      <c r="H30" s="272"/>
      <c r="I30" s="272"/>
      <c r="J30" s="450">
        <v>0.10833361537535413</v>
      </c>
      <c r="K30" s="450">
        <v>0.12329265063922913</v>
      </c>
      <c r="L30" s="450">
        <v>0.13126787031639553</v>
      </c>
      <c r="M30" s="737">
        <v>0.12899135037664136</v>
      </c>
      <c r="N30" s="450">
        <v>0.10696772895455695</v>
      </c>
      <c r="O30" s="450">
        <v>9.1020010189798481E-2</v>
      </c>
      <c r="P30" s="450">
        <v>8.8455651924004966E-2</v>
      </c>
      <c r="Q30" s="620">
        <v>7.0775475836601764E-2</v>
      </c>
      <c r="S30" s="672"/>
    </row>
    <row r="31" spans="1:20" ht="12" customHeight="1">
      <c r="A31" s="140"/>
      <c r="B31" s="140"/>
      <c r="C31" s="149" t="s">
        <v>147</v>
      </c>
      <c r="D31" s="50"/>
      <c r="F31" s="86" t="s">
        <v>265</v>
      </c>
      <c r="G31" s="7"/>
      <c r="H31" s="273"/>
      <c r="I31" s="273"/>
      <c r="J31" s="107"/>
      <c r="N31" s="107"/>
      <c r="O31" s="107"/>
      <c r="P31" s="107"/>
      <c r="Q31" s="273"/>
    </row>
    <row r="32" spans="1:20" ht="12" customHeight="1">
      <c r="A32" s="140"/>
      <c r="B32" s="140"/>
      <c r="C32" s="149" t="s">
        <v>36</v>
      </c>
      <c r="D32" s="50"/>
      <c r="F32" s="86" t="s">
        <v>243</v>
      </c>
      <c r="G32" s="7"/>
      <c r="H32" s="273"/>
      <c r="I32" s="273"/>
    </row>
    <row r="33" spans="1:18" ht="12" customHeight="1">
      <c r="A33" s="140"/>
      <c r="B33" s="140"/>
      <c r="C33" s="149"/>
      <c r="D33" s="50"/>
      <c r="F33" s="674"/>
      <c r="G33" s="657"/>
      <c r="H33" s="657"/>
      <c r="I33" s="657"/>
      <c r="J33" s="710"/>
      <c r="K33" s="597"/>
      <c r="L33" s="597"/>
      <c r="M33" s="597"/>
      <c r="N33" s="710"/>
      <c r="O33" s="710"/>
      <c r="P33" s="710"/>
      <c r="Q33" s="597"/>
      <c r="R33" s="191"/>
    </row>
    <row r="34" spans="1:18" ht="12" customHeight="1">
      <c r="A34" s="140"/>
      <c r="B34" s="140" t="s">
        <v>188</v>
      </c>
      <c r="C34" s="149"/>
      <c r="D34" s="50"/>
      <c r="R34" s="684"/>
    </row>
    <row r="35" spans="1:18" s="597" customFormat="1" ht="12" customHeight="1">
      <c r="A35" s="140"/>
      <c r="B35" s="140"/>
      <c r="C35" s="149" t="s">
        <v>37</v>
      </c>
      <c r="D35" s="708"/>
      <c r="F35" s="1"/>
      <c r="G35" s="1"/>
      <c r="H35" s="1"/>
      <c r="I35" s="1"/>
      <c r="J35" s="1"/>
      <c r="K35" s="1"/>
      <c r="L35" s="1"/>
      <c r="M35" s="1"/>
      <c r="N35" s="1"/>
      <c r="O35" s="1"/>
      <c r="P35" s="1"/>
      <c r="Q35" s="1"/>
      <c r="R35" s="711"/>
    </row>
    <row r="36" spans="1:18" ht="12" customHeight="1">
      <c r="A36" s="140"/>
      <c r="B36" s="140"/>
      <c r="C36" s="149" t="s">
        <v>38</v>
      </c>
      <c r="D36" s="50"/>
      <c r="J36" s="174"/>
      <c r="N36" s="174"/>
      <c r="O36" s="174"/>
      <c r="P36" s="174"/>
      <c r="Q36" s="174"/>
    </row>
    <row r="37" spans="1:18" ht="12" customHeight="1">
      <c r="A37" s="25"/>
      <c r="D37" s="50"/>
      <c r="J37" s="174"/>
      <c r="N37" s="174"/>
      <c r="O37" s="174"/>
      <c r="P37" s="174"/>
      <c r="Q37" s="174"/>
    </row>
    <row r="38" spans="1:18" ht="14.25">
      <c r="A38" s="25"/>
      <c r="J38" s="174"/>
      <c r="N38" s="174"/>
      <c r="O38" s="174"/>
      <c r="P38" s="174"/>
      <c r="Q38" s="174"/>
    </row>
    <row r="39" spans="1:18" ht="14.25">
      <c r="A39" s="25"/>
    </row>
    <row r="40" spans="1:18" ht="14.25">
      <c r="A40" s="25"/>
    </row>
    <row r="41" spans="1:18" ht="14.25">
      <c r="A41" s="25"/>
    </row>
    <row r="42" spans="1:18" ht="14.25">
      <c r="A42" s="25"/>
    </row>
    <row r="43" spans="1:18" ht="14.25">
      <c r="A43" s="25"/>
    </row>
    <row r="44" spans="1:18" ht="14.25">
      <c r="A44" s="25"/>
    </row>
    <row r="45" spans="1:18" ht="14.25">
      <c r="A45" s="25"/>
    </row>
    <row r="46" spans="1:18" ht="14.25">
      <c r="A46" s="25"/>
    </row>
    <row r="47" spans="1:18" ht="14.25">
      <c r="A47" s="25"/>
    </row>
    <row r="48" spans="1:18"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phoneticPr fontId="7" type="noConversion"/>
  <hyperlinks>
    <hyperlink ref="B5" location="FH!A1" display="재무현황" xr:uid="{0F15BEE5-B175-458B-98C4-D81CE56A7AA1}"/>
    <hyperlink ref="B7" location="FS!A1" display="요약재무상태표 (Selected Balance sheet)" xr:uid="{F9338AE3-718D-43EA-9F45-246C2CFC3C22}"/>
    <hyperlink ref="C15" location="Stability!A1" display="재무 안정성 (Financial Stability)" xr:uid="{6E88F16D-83B9-4171-B90A-25F7745859FE}"/>
    <hyperlink ref="C16" location="Productivity!A1" display="생산성 / 경영효율 (Productivity / Operating Efficiency)" xr:uid="{18A7258A-0295-4635-BB09-99BDC6F0819E}"/>
    <hyperlink ref="C20" location="'Premium Income by P.T.(GA+SA)'!A1" display="상품별 수입보험료 (Premium Income)" xr:uid="{9568484F-56C1-4B7F-9564-435F4F02891A}"/>
    <hyperlink ref="C21" location="'Initial P. by P.T.'!A1" display="상품별 초회보험료 (Initial Premium)" xr:uid="{E9982B1A-1E4E-4D34-8D54-837DEA12BD8E}"/>
    <hyperlink ref="C22" location="'First-year P. by P.T.'!A1" display="상품별 초년도보험료 (First Year Premium)" xr:uid="{CF60F87F-5344-4AE9-BA1F-5A2AC3EA6B77}"/>
    <hyperlink ref="C26" location="'Premium Income by D.C.(GA+SA)'!A1" display="채널별 수입보험료 (Premium Income)" xr:uid="{5F186A31-D1A3-45F4-B2B6-8B4DAA0E3F8D}"/>
    <hyperlink ref="C27" location="'First-year P. by D.C'!A1" display="채널별 초년도보험료 (First Year Premium)" xr:uid="{CB085E49-4CF6-4808-8EDF-424B844DA198}"/>
    <hyperlink ref="C31" location="'&gt;Loan'!A1" display="대출 (Loan)/ 자산건전성 (Asset Quality of Loan)" xr:uid="{2A57B2F8-E4D7-47FB-8307-00050E92774D}"/>
    <hyperlink ref="C32" location="'&gt;Bond'!A1" display="채권 (Bond)" xr:uid="{7444519C-F2A8-46BB-8B0A-91A47A4572AE}"/>
    <hyperlink ref="C35" location="'BS  K-IFRS'!A1" display="재무상태표 (Balance Sheet - KIFRS)" xr:uid="{848B1451-E8AA-458A-89CA-68CF9D9B2B0B}"/>
    <hyperlink ref="C36" location="'IS  K-IFRS'!A1" display="손익계산서 (Income Statement - KIFRS)" xr:uid="{D4858AFD-B84F-4AFF-9261-FBEE0E832082}"/>
    <hyperlink ref="B8" location="FS!A1" display="요약손익계산서 (Selected Income Statement)" xr:uid="{05636EB0-838D-4738-BA02-1127F4A371D0}"/>
    <hyperlink ref="B10" location="CSM!A1" display="RA, CSM, BEL Movement" xr:uid="{97B21EFF-8C6A-4112-BBC7-95BDFD25B055}"/>
    <hyperlink ref="B11" location="CSM!A1" display="신계약 CSM (New Business CSM)" xr:uid="{52F0E904-E08C-4256-B9A2-4D9BC3439208}"/>
    <hyperlink ref="B13" location="'Sources of Margin'!A1" display="이원별손익" xr:uid="{C6F86109-9BAA-4170-B6E4-E75A48EFF531}"/>
    <hyperlink ref="B12" location="CSM!A1" display="신계약 CSM 배수 (New Business CSM Margin)" xr:uid="{951CA43C-B819-48CD-B9C5-7C65E73F04F7}"/>
    <hyperlink ref="C19" location="'APE by P.T'!A1" display="상품별 APE (Annualized Premium Equivalent (APE))" xr:uid="{F57F1FA9-7E94-4560-8A41-8ACDD30DA791}"/>
    <hyperlink ref="C25" location="'APE by D.C'!A1" display="채널별 APE (Annualized Premium Equivalent (APE))" xr:uid="{5DCF98CF-5A4F-4517-9152-19723F97233C}"/>
  </hyperlinks>
  <pageMargins left="0.19685039370078741" right="0.19685039370078741"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78"/>
  <sheetViews>
    <sheetView showGridLines="0" zoomScale="85" zoomScaleNormal="85" zoomScaleSheetLayoutView="115" workbookViewId="0">
      <selection activeCell="B1" sqref="B1"/>
    </sheetView>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50.140625" style="1" customWidth="1"/>
    <col min="10" max="13" width="9.28515625" style="1" customWidth="1"/>
    <col min="14" max="15" width="9.140625" style="1"/>
    <col min="16" max="17" width="9.140625" style="1" customWidth="1"/>
    <col min="18" max="18" width="3.28515625" style="1" customWidth="1"/>
    <col min="19" max="22" width="9.28515625" style="1" customWidth="1"/>
    <col min="23" max="16384" width="9.140625" style="1"/>
  </cols>
  <sheetData>
    <row r="1" spans="1:24" s="3" customFormat="1" ht="24" customHeight="1">
      <c r="A1" s="6"/>
      <c r="F1" s="81" t="s">
        <v>163</v>
      </c>
      <c r="G1" s="81"/>
      <c r="H1" s="82"/>
      <c r="I1" s="82"/>
      <c r="J1" s="353"/>
      <c r="N1" s="353"/>
      <c r="O1" s="613"/>
      <c r="P1" s="613"/>
      <c r="Q1" s="613"/>
    </row>
    <row r="2" spans="1:24" ht="12" customHeight="1">
      <c r="A2" s="140"/>
      <c r="B2" s="141"/>
      <c r="C2" s="141"/>
      <c r="F2" s="186" t="s">
        <v>22</v>
      </c>
      <c r="G2" s="83"/>
      <c r="H2" s="83"/>
      <c r="I2" s="83"/>
      <c r="J2" s="838" t="s">
        <v>216</v>
      </c>
      <c r="K2" s="838"/>
      <c r="L2" s="838"/>
      <c r="M2" s="839"/>
      <c r="N2" s="840" t="s">
        <v>238</v>
      </c>
      <c r="O2" s="838"/>
      <c r="P2" s="838"/>
      <c r="Q2" s="838"/>
      <c r="R2" s="3"/>
      <c r="S2" s="838" t="s">
        <v>224</v>
      </c>
      <c r="T2" s="841"/>
      <c r="U2" s="842" t="s">
        <v>217</v>
      </c>
      <c r="V2" s="843"/>
      <c r="X2" s="670"/>
    </row>
    <row r="3" spans="1:24" ht="12" customHeight="1">
      <c r="A3" s="140" t="s">
        <v>27</v>
      </c>
      <c r="B3" s="141"/>
      <c r="C3" s="141"/>
      <c r="F3" s="103" t="s">
        <v>56</v>
      </c>
      <c r="G3" s="103"/>
      <c r="H3" s="103"/>
      <c r="I3" s="103"/>
      <c r="J3" s="302">
        <v>45382</v>
      </c>
      <c r="K3" s="302">
        <v>45473</v>
      </c>
      <c r="L3" s="302">
        <v>45565</v>
      </c>
      <c r="M3" s="317">
        <v>45657</v>
      </c>
      <c r="N3" s="520">
        <v>45747</v>
      </c>
      <c r="O3" s="302">
        <v>45838</v>
      </c>
      <c r="P3" s="302">
        <v>45930</v>
      </c>
      <c r="Q3" s="302">
        <v>46022</v>
      </c>
      <c r="R3" s="613"/>
      <c r="S3" s="303" t="s">
        <v>266</v>
      </c>
      <c r="T3" s="369" t="s">
        <v>267</v>
      </c>
      <c r="U3" s="276" t="s">
        <v>23</v>
      </c>
      <c r="V3" s="276" t="s">
        <v>24</v>
      </c>
      <c r="X3" s="191"/>
    </row>
    <row r="4" spans="1:24" ht="12" customHeight="1">
      <c r="A4" s="140"/>
      <c r="B4" s="141"/>
      <c r="C4" s="141"/>
      <c r="F4" s="91" t="s">
        <v>273</v>
      </c>
      <c r="G4" s="91"/>
      <c r="H4" s="91"/>
      <c r="I4" s="91"/>
      <c r="J4" s="738">
        <v>32402.274003225997</v>
      </c>
      <c r="K4" s="738">
        <v>33306.063605890995</v>
      </c>
      <c r="L4" s="738">
        <v>33881.763694890011</v>
      </c>
      <c r="M4" s="739">
        <v>34546.485304416005</v>
      </c>
      <c r="N4" s="740">
        <v>35159.109568600004</v>
      </c>
      <c r="O4" s="682">
        <v>35613.337341861996</v>
      </c>
      <c r="P4" s="682">
        <v>35694.262764644001</v>
      </c>
      <c r="Q4" s="797">
        <v>35347.237061940003</v>
      </c>
      <c r="R4" s="467"/>
      <c r="S4" s="517">
        <f>M4</f>
        <v>34546.485304416005</v>
      </c>
      <c r="T4" s="507">
        <f>Q4</f>
        <v>35347.237061940003</v>
      </c>
      <c r="U4" s="807">
        <f>IF(T4/S4&lt;0,"n.a.",IF(S4&gt;0,ROUND(T4,4)/ROUND(S4,4)-1,IF(S4&lt;0,"n.a.")))</f>
        <v>2.3178965762980175E-2</v>
      </c>
      <c r="V4" s="807">
        <f>IF(Q4/P4&lt;0,"n.a.",IF(P4&gt;0,ROUND(Q4,4)/ROUND(P4,4)-1,IF(P4&lt;0,"n.a.")))</f>
        <v>-9.7221702530860821E-3</v>
      </c>
    </row>
    <row r="5" spans="1:24" ht="12" customHeight="1">
      <c r="A5" s="150"/>
      <c r="B5" s="140" t="s">
        <v>155</v>
      </c>
      <c r="C5" s="140"/>
      <c r="F5" s="86" t="s">
        <v>274</v>
      </c>
      <c r="G5" s="86" t="s">
        <v>275</v>
      </c>
      <c r="H5" s="86"/>
      <c r="I5" s="86"/>
      <c r="J5" s="741">
        <v>366.506086552</v>
      </c>
      <c r="K5" s="741">
        <v>329.02511135700001</v>
      </c>
      <c r="L5" s="741">
        <v>250.91983409599999</v>
      </c>
      <c r="M5" s="742">
        <v>269.107843866</v>
      </c>
      <c r="N5" s="743">
        <v>244.56302289499999</v>
      </c>
      <c r="O5" s="658">
        <v>286.41691917499998</v>
      </c>
      <c r="P5" s="658">
        <v>278.64710320900002</v>
      </c>
      <c r="Q5" s="798">
        <v>250.36967552799999</v>
      </c>
      <c r="R5" s="451"/>
      <c r="S5" s="263">
        <f t="shared" ref="S5:S31" si="0">M5</f>
        <v>269.107843866</v>
      </c>
      <c r="T5" s="621">
        <f t="shared" ref="T5:T31" si="1">Q5</f>
        <v>250.36967552799999</v>
      </c>
      <c r="U5" s="808">
        <f t="shared" ref="U5:U31" si="2">IF(T5/S5&lt;0,"n.a.",IF(S5&gt;0,ROUND(T5,4)/ROUND(S5,4)-1,IF(S5&lt;0,"n.a.")))</f>
        <v>-6.9630460358265367E-2</v>
      </c>
      <c r="V5" s="808">
        <f t="shared" ref="V5:V31" si="3">IF(Q5/P5&lt;0,"n.a.",IF(P5&gt;0,ROUND(Q5,4)/ROUND(P5,4)-1,IF(P5&lt;0,"n.a.")))</f>
        <v>-0.10148104896839061</v>
      </c>
    </row>
    <row r="6" spans="1:24" ht="12" customHeight="1">
      <c r="A6" s="150"/>
      <c r="B6" s="149"/>
      <c r="C6" s="141"/>
      <c r="F6" s="86"/>
      <c r="G6" s="86" t="s">
        <v>276</v>
      </c>
      <c r="H6" s="86"/>
      <c r="I6" s="86"/>
      <c r="J6" s="741">
        <v>31401.803983129998</v>
      </c>
      <c r="K6" s="741">
        <v>32065.250579981999</v>
      </c>
      <c r="L6" s="741">
        <v>32482.537558390002</v>
      </c>
      <c r="M6" s="742">
        <v>33054.888112271998</v>
      </c>
      <c r="N6" s="743">
        <v>33497.118603509</v>
      </c>
      <c r="O6" s="658">
        <v>34051.436071856006</v>
      </c>
      <c r="P6" s="658">
        <v>34166.876618333008</v>
      </c>
      <c r="Q6" s="798">
        <v>33879.553349342001</v>
      </c>
      <c r="R6" s="451"/>
      <c r="S6" s="263">
        <f t="shared" si="0"/>
        <v>33054.888112271998</v>
      </c>
      <c r="T6" s="621">
        <f t="shared" si="1"/>
        <v>33879.553349342001</v>
      </c>
      <c r="U6" s="808">
        <f t="shared" si="2"/>
        <v>2.4948358545494598E-2</v>
      </c>
      <c r="V6" s="808">
        <f t="shared" si="3"/>
        <v>-8.4094107683230224E-3</v>
      </c>
    </row>
    <row r="7" spans="1:24" ht="12" customHeight="1">
      <c r="A7" s="150"/>
      <c r="B7" s="149" t="s">
        <v>212</v>
      </c>
      <c r="C7" s="141"/>
      <c r="F7" s="86"/>
      <c r="G7" s="86"/>
      <c r="H7" s="86" t="s">
        <v>277</v>
      </c>
      <c r="I7" s="86"/>
      <c r="J7" s="741">
        <v>6297.1641685020004</v>
      </c>
      <c r="K7" s="741">
        <v>6135.40012398</v>
      </c>
      <c r="L7" s="741">
        <v>6236.6091618050004</v>
      </c>
      <c r="M7" s="742">
        <v>5857.3356210929996</v>
      </c>
      <c r="N7" s="743">
        <v>5927.7777227469996</v>
      </c>
      <c r="O7" s="658">
        <v>5799.4486362050002</v>
      </c>
      <c r="P7" s="658">
        <v>5516.1228347859997</v>
      </c>
      <c r="Q7" s="835">
        <v>5383.2563544149998</v>
      </c>
      <c r="R7" s="263"/>
      <c r="S7" s="263">
        <f t="shared" si="0"/>
        <v>5857.3356210929996</v>
      </c>
      <c r="T7" s="621">
        <f t="shared" si="1"/>
        <v>5383.2563544149998</v>
      </c>
      <c r="U7" s="808">
        <f t="shared" si="2"/>
        <v>-8.0937687777357326E-2</v>
      </c>
      <c r="V7" s="808">
        <f t="shared" si="3"/>
        <v>-2.4086918442062233E-2</v>
      </c>
    </row>
    <row r="8" spans="1:24" ht="12" customHeight="1">
      <c r="A8" s="150"/>
      <c r="B8" s="149" t="s">
        <v>213</v>
      </c>
      <c r="C8" s="141"/>
      <c r="F8" s="86"/>
      <c r="G8" s="86"/>
      <c r="H8" s="86" t="s">
        <v>278</v>
      </c>
      <c r="I8" s="86"/>
      <c r="J8" s="741">
        <v>18056.703225424</v>
      </c>
      <c r="K8" s="741">
        <v>18744.636840722</v>
      </c>
      <c r="L8" s="741">
        <v>19195.910489467002</v>
      </c>
      <c r="M8" s="742">
        <v>20037.393225610998</v>
      </c>
      <c r="N8" s="743">
        <v>20858.794351852001</v>
      </c>
      <c r="O8" s="658">
        <v>21635.551140031999</v>
      </c>
      <c r="P8" s="658">
        <v>22988.36306399</v>
      </c>
      <c r="Q8" s="835">
        <v>22837.835416401002</v>
      </c>
      <c r="R8" s="799"/>
      <c r="S8" s="799">
        <f t="shared" si="0"/>
        <v>20037.393225610998</v>
      </c>
      <c r="T8" s="800">
        <f t="shared" si="1"/>
        <v>22837.835416401002</v>
      </c>
      <c r="U8" s="808">
        <f t="shared" si="2"/>
        <v>0.13976080481367203</v>
      </c>
      <c r="V8" s="808">
        <f>IF(Q8/P8&lt;0,"n.a.",IF(P8&gt;0,ROUND(Q8,4)/ROUND(P8,4)-1,IF(P8&lt;0,"n.a.")))</f>
        <v>-6.5479955812947077E-3</v>
      </c>
    </row>
    <row r="9" spans="1:24" ht="12" customHeight="1">
      <c r="A9" s="150"/>
      <c r="B9" s="149"/>
      <c r="C9" s="141"/>
      <c r="F9" s="86"/>
      <c r="G9" s="86"/>
      <c r="H9" s="86" t="s">
        <v>279</v>
      </c>
      <c r="I9" s="86"/>
      <c r="J9" s="741">
        <v>7013.5592406469996</v>
      </c>
      <c r="K9" s="741">
        <v>7144.7373478890004</v>
      </c>
      <c r="L9" s="741">
        <v>6869.0484612580003</v>
      </c>
      <c r="M9" s="742">
        <v>7068.0860876899997</v>
      </c>
      <c r="N9" s="743">
        <v>6567.0127143170002</v>
      </c>
      <c r="O9" s="658">
        <v>6444.1105617410003</v>
      </c>
      <c r="P9" s="658">
        <v>5581.7321760530003</v>
      </c>
      <c r="Q9" s="835">
        <v>5630.3908693929998</v>
      </c>
      <c r="R9" s="799"/>
      <c r="S9" s="799">
        <f t="shared" si="0"/>
        <v>7068.0860876899997</v>
      </c>
      <c r="T9" s="800">
        <f t="shared" si="1"/>
        <v>5630.3908693929998</v>
      </c>
      <c r="U9" s="808">
        <f t="shared" si="2"/>
        <v>-0.20340657706475873</v>
      </c>
      <c r="V9" s="808">
        <f t="shared" si="3"/>
        <v>8.7174909609601947E-3</v>
      </c>
    </row>
    <row r="10" spans="1:24" ht="12" customHeight="1">
      <c r="A10" s="140"/>
      <c r="B10" s="149" t="s">
        <v>171</v>
      </c>
      <c r="C10" s="141"/>
      <c r="F10" s="86"/>
      <c r="G10" s="86" t="s">
        <v>280</v>
      </c>
      <c r="H10" s="86"/>
      <c r="I10" s="86"/>
      <c r="J10" s="741">
        <v>103.791423685</v>
      </c>
      <c r="K10" s="741">
        <v>48.555567144000001</v>
      </c>
      <c r="L10" s="741">
        <v>45.440066278000003</v>
      </c>
      <c r="M10" s="742">
        <v>51.642754136000001</v>
      </c>
      <c r="N10" s="743">
        <v>45.233888909000001</v>
      </c>
      <c r="O10" s="658">
        <v>28.520989411999999</v>
      </c>
      <c r="P10" s="658">
        <v>0</v>
      </c>
      <c r="Q10" s="798">
        <v>0</v>
      </c>
      <c r="R10" s="799"/>
      <c r="S10" s="799">
        <f t="shared" si="0"/>
        <v>51.642754136000001</v>
      </c>
      <c r="T10" s="800">
        <f t="shared" si="1"/>
        <v>0</v>
      </c>
      <c r="U10" s="808">
        <f t="shared" si="2"/>
        <v>-1</v>
      </c>
      <c r="V10" s="808" t="s">
        <v>386</v>
      </c>
    </row>
    <row r="11" spans="1:24" ht="12" customHeight="1">
      <c r="A11" s="140"/>
      <c r="B11" s="149" t="s">
        <v>166</v>
      </c>
      <c r="C11" s="141"/>
      <c r="F11" s="86"/>
      <c r="G11" s="86" t="s">
        <v>281</v>
      </c>
      <c r="H11" s="86"/>
      <c r="I11" s="86"/>
      <c r="J11" s="741">
        <v>58.849454616999999</v>
      </c>
      <c r="K11" s="741">
        <v>117.47610438300001</v>
      </c>
      <c r="L11" s="741">
        <v>111.340126793</v>
      </c>
      <c r="M11" s="742">
        <v>91.013598936999998</v>
      </c>
      <c r="N11" s="743">
        <v>89.902195208999998</v>
      </c>
      <c r="O11" s="658">
        <v>91.378958033999993</v>
      </c>
      <c r="P11" s="658">
        <v>84.426650980999995</v>
      </c>
      <c r="Q11" s="798">
        <v>91.038644920999999</v>
      </c>
      <c r="R11" s="799"/>
      <c r="S11" s="799">
        <f t="shared" si="0"/>
        <v>91.013598936999998</v>
      </c>
      <c r="T11" s="800">
        <f>Q11</f>
        <v>91.038644920999999</v>
      </c>
      <c r="U11" s="808">
        <f>IF(T11/S11&lt;0,"n.a.",IF(S11&gt;0,ROUND(T11,4)/ROUND(S11,4)-1,IF(S11&lt;0,"n.a.")))</f>
        <v>2.7468422301724083E-4</v>
      </c>
      <c r="V11" s="808">
        <f>IF(Q11/P11&lt;0,"n.a.",IF(P11&gt;0,ROUND(Q11,4)/ROUND(P11,4)-1,IF(P11&lt;0,"n.a.")))</f>
        <v>7.8315272301298089E-2</v>
      </c>
    </row>
    <row r="12" spans="1:24" ht="12" customHeight="1">
      <c r="A12" s="140"/>
      <c r="B12" s="149" t="s">
        <v>222</v>
      </c>
      <c r="C12" s="141"/>
      <c r="F12" s="86"/>
      <c r="G12" s="86" t="s">
        <v>282</v>
      </c>
      <c r="H12" s="86"/>
      <c r="I12" s="86"/>
      <c r="J12" s="741">
        <v>306.84744142199997</v>
      </c>
      <c r="K12" s="741">
        <v>309.292105908</v>
      </c>
      <c r="L12" s="741">
        <v>312.39837952099998</v>
      </c>
      <c r="M12" s="742">
        <v>307.24946987300001</v>
      </c>
      <c r="N12" s="743">
        <v>306.521296264</v>
      </c>
      <c r="O12" s="658">
        <v>304.25951921400002</v>
      </c>
      <c r="P12" s="658">
        <v>305.78204599600002</v>
      </c>
      <c r="Q12" s="798">
        <v>296.13488546799999</v>
      </c>
      <c r="R12" s="799"/>
      <c r="S12" s="799">
        <f t="shared" si="0"/>
        <v>307.24946987300001</v>
      </c>
      <c r="T12" s="800">
        <f t="shared" si="1"/>
        <v>296.13488546799999</v>
      </c>
      <c r="U12" s="808">
        <f t="shared" si="2"/>
        <v>-3.6174509641187402E-2</v>
      </c>
      <c r="V12" s="808">
        <f t="shared" si="3"/>
        <v>-3.1548946635184483E-2</v>
      </c>
    </row>
    <row r="13" spans="1:24" ht="12" customHeight="1">
      <c r="A13" s="140"/>
      <c r="B13" s="149"/>
      <c r="C13" s="141"/>
      <c r="F13" s="86"/>
      <c r="G13" s="86" t="s">
        <v>283</v>
      </c>
      <c r="H13" s="86"/>
      <c r="I13" s="86"/>
      <c r="J13" s="741">
        <v>18.295630397</v>
      </c>
      <c r="K13" s="741">
        <v>19.247062136</v>
      </c>
      <c r="L13" s="741">
        <v>18.788021244999999</v>
      </c>
      <c r="M13" s="742">
        <v>18.704735364000001</v>
      </c>
      <c r="N13" s="743">
        <v>17.070497654</v>
      </c>
      <c r="O13" s="658">
        <v>29.952522439999999</v>
      </c>
      <c r="P13" s="658">
        <v>28.751020139000001</v>
      </c>
      <c r="Q13" s="798">
        <v>27.795714379</v>
      </c>
      <c r="R13" s="799"/>
      <c r="S13" s="799">
        <f t="shared" si="0"/>
        <v>18.704735364000001</v>
      </c>
      <c r="T13" s="800">
        <f t="shared" si="1"/>
        <v>27.795714379</v>
      </c>
      <c r="U13" s="808">
        <f t="shared" si="2"/>
        <v>0.48602757595684509</v>
      </c>
      <c r="V13" s="808">
        <f t="shared" si="3"/>
        <v>-3.3226670376682588E-2</v>
      </c>
    </row>
    <row r="14" spans="1:24" ht="12" customHeight="1">
      <c r="A14" s="140"/>
      <c r="B14" s="140" t="s">
        <v>173</v>
      </c>
      <c r="C14" s="141"/>
      <c r="F14" s="86"/>
      <c r="G14" s="86" t="s">
        <v>284</v>
      </c>
      <c r="H14" s="86"/>
      <c r="I14" s="86"/>
      <c r="J14" s="741">
        <v>132.79632444999999</v>
      </c>
      <c r="K14" s="741">
        <v>173.19192964600001</v>
      </c>
      <c r="L14" s="741">
        <v>229.35021727600002</v>
      </c>
      <c r="M14" s="742">
        <v>304.75184951199998</v>
      </c>
      <c r="N14" s="743">
        <v>485.36650356900003</v>
      </c>
      <c r="O14" s="658">
        <v>358.01456654200001</v>
      </c>
      <c r="P14" s="658">
        <v>365.103809313</v>
      </c>
      <c r="Q14" s="798">
        <v>353.66306171299999</v>
      </c>
      <c r="R14" s="799"/>
      <c r="S14" s="799">
        <f t="shared" si="0"/>
        <v>304.75184951199998</v>
      </c>
      <c r="T14" s="800">
        <f t="shared" si="1"/>
        <v>353.66306171299999</v>
      </c>
      <c r="U14" s="808">
        <f t="shared" si="2"/>
        <v>0.16049552455473592</v>
      </c>
      <c r="V14" s="808">
        <f t="shared" si="3"/>
        <v>-3.1335472268434361E-2</v>
      </c>
    </row>
    <row r="15" spans="1:24" ht="12" customHeight="1">
      <c r="A15" s="140"/>
      <c r="B15" s="142"/>
      <c r="C15" s="149" t="s">
        <v>40</v>
      </c>
      <c r="F15" s="86"/>
      <c r="G15" s="86" t="s">
        <v>285</v>
      </c>
      <c r="H15" s="86"/>
      <c r="I15" s="86"/>
      <c r="J15" s="741">
        <v>13.383658972999999</v>
      </c>
      <c r="K15" s="741">
        <v>244.02514533499999</v>
      </c>
      <c r="L15" s="741">
        <v>430.98949129099998</v>
      </c>
      <c r="M15" s="742">
        <v>449.126940456</v>
      </c>
      <c r="N15" s="743">
        <v>473.33356059099998</v>
      </c>
      <c r="O15" s="658">
        <v>463.357795189</v>
      </c>
      <c r="P15" s="658">
        <v>464.675516673</v>
      </c>
      <c r="Q15" s="798">
        <v>448.68173058899998</v>
      </c>
      <c r="R15" s="799"/>
      <c r="S15" s="799">
        <f t="shared" si="0"/>
        <v>449.126940456</v>
      </c>
      <c r="T15" s="800">
        <f t="shared" si="1"/>
        <v>448.68173058899998</v>
      </c>
      <c r="U15" s="808">
        <f t="shared" si="2"/>
        <v>-9.9125659139986944E-4</v>
      </c>
      <c r="V15" s="808">
        <f t="shared" si="3"/>
        <v>-3.4419288299038842E-2</v>
      </c>
    </row>
    <row r="16" spans="1:24" ht="12" customHeight="1">
      <c r="A16" s="140"/>
      <c r="B16" s="140"/>
      <c r="C16" s="149" t="s">
        <v>41</v>
      </c>
      <c r="F16" s="91" t="s">
        <v>286</v>
      </c>
      <c r="G16" s="86"/>
      <c r="H16" s="86"/>
      <c r="I16" s="86"/>
      <c r="J16" s="738">
        <v>29872.808930859999</v>
      </c>
      <c r="K16" s="738">
        <v>31113.782767770997</v>
      </c>
      <c r="L16" s="738">
        <v>31813.114486608003</v>
      </c>
      <c r="M16" s="739">
        <v>32577.372004638004</v>
      </c>
      <c r="N16" s="740">
        <v>33673.417913091005</v>
      </c>
      <c r="O16" s="682">
        <v>33960.729601216</v>
      </c>
      <c r="P16" s="682">
        <v>34351.542878457993</v>
      </c>
      <c r="Q16" s="797">
        <v>33798.362384316999</v>
      </c>
      <c r="R16" s="467"/>
      <c r="S16" s="820">
        <f t="shared" si="0"/>
        <v>32577.372004638004</v>
      </c>
      <c r="T16" s="820">
        <f t="shared" si="1"/>
        <v>33798.362384316999</v>
      </c>
      <c r="U16" s="807">
        <f t="shared" si="2"/>
        <v>3.7479708307962989E-2</v>
      </c>
      <c r="V16" s="807">
        <f t="shared" si="3"/>
        <v>-1.6103512485897697E-2</v>
      </c>
      <c r="W16" s="74"/>
    </row>
    <row r="17" spans="1:23" ht="12" customHeight="1">
      <c r="A17" s="140"/>
      <c r="B17" s="140"/>
      <c r="C17" s="149"/>
      <c r="F17" s="86"/>
      <c r="G17" s="86" t="s">
        <v>287</v>
      </c>
      <c r="H17" s="86"/>
      <c r="I17" s="86"/>
      <c r="J17" s="741">
        <v>26396.249130529999</v>
      </c>
      <c r="K17" s="741">
        <v>27414.763030438</v>
      </c>
      <c r="L17" s="741">
        <v>28226.798687767001</v>
      </c>
      <c r="M17" s="742">
        <v>28221.455749060999</v>
      </c>
      <c r="N17" s="743">
        <v>29330.677006867001</v>
      </c>
      <c r="O17" s="658">
        <v>29166.616193315</v>
      </c>
      <c r="P17" s="658">
        <v>29392.005944301</v>
      </c>
      <c r="Q17" s="798">
        <v>28145.078606219002</v>
      </c>
      <c r="R17" s="799"/>
      <c r="S17" s="799">
        <f t="shared" si="0"/>
        <v>28221.455749060999</v>
      </c>
      <c r="T17" s="800">
        <f t="shared" si="1"/>
        <v>28145.078606219002</v>
      </c>
      <c r="U17" s="808">
        <f t="shared" si="2"/>
        <v>-2.7063487019203247E-3</v>
      </c>
      <c r="V17" s="808">
        <f t="shared" si="3"/>
        <v>-4.2424028636983913E-2</v>
      </c>
    </row>
    <row r="18" spans="1:23" ht="12" customHeight="1">
      <c r="A18" s="140"/>
      <c r="B18" s="140" t="s">
        <v>176</v>
      </c>
      <c r="C18" s="149"/>
      <c r="E18" s="597"/>
      <c r="F18" s="86"/>
      <c r="G18" s="86"/>
      <c r="H18" s="86" t="s">
        <v>288</v>
      </c>
      <c r="I18" s="86"/>
      <c r="J18" s="741">
        <v>2691.1530632389999</v>
      </c>
      <c r="K18" s="741">
        <v>2754.0303232729998</v>
      </c>
      <c r="L18" s="741">
        <v>2859.0489075410001</v>
      </c>
      <c r="M18" s="742">
        <v>2671.0888680560001</v>
      </c>
      <c r="N18" s="743">
        <v>2661.1771350059998</v>
      </c>
      <c r="O18" s="658">
        <v>2744.235267686</v>
      </c>
      <c r="P18" s="658">
        <v>2796.980899876</v>
      </c>
      <c r="Q18" s="798">
        <v>2457.0954806220002</v>
      </c>
      <c r="R18" s="799"/>
      <c r="S18" s="799">
        <f t="shared" si="0"/>
        <v>2671.0888680560001</v>
      </c>
      <c r="T18" s="800">
        <f t="shared" si="1"/>
        <v>2457.0954806220002</v>
      </c>
      <c r="U18" s="808">
        <f t="shared" si="2"/>
        <v>-8.0114667842017595E-2</v>
      </c>
      <c r="V18" s="808">
        <f t="shared" si="3"/>
        <v>-0.12151867036346231</v>
      </c>
      <c r="W18" s="231"/>
    </row>
    <row r="19" spans="1:23" ht="12" customHeight="1">
      <c r="A19" s="140"/>
      <c r="B19" s="140"/>
      <c r="C19" s="149" t="s">
        <v>33</v>
      </c>
      <c r="F19" s="86"/>
      <c r="G19" s="86" t="s">
        <v>289</v>
      </c>
      <c r="H19" s="86"/>
      <c r="I19" s="86"/>
      <c r="J19" s="741">
        <v>3158.9905278850001</v>
      </c>
      <c r="K19" s="741">
        <v>3241.3036233110001</v>
      </c>
      <c r="L19" s="741">
        <v>3296.28716123</v>
      </c>
      <c r="M19" s="742">
        <v>3469.08829105</v>
      </c>
      <c r="N19" s="743">
        <v>3464.3863566049999</v>
      </c>
      <c r="O19" s="658">
        <v>3474.4254322870001</v>
      </c>
      <c r="P19" s="658">
        <v>3460.586517748</v>
      </c>
      <c r="Q19" s="798">
        <v>3702.7494709779999</v>
      </c>
      <c r="R19" s="799"/>
      <c r="S19" s="799">
        <f t="shared" si="0"/>
        <v>3469.08829105</v>
      </c>
      <c r="T19" s="800">
        <f t="shared" si="1"/>
        <v>3702.7494709779999</v>
      </c>
      <c r="U19" s="808">
        <f t="shared" si="2"/>
        <v>6.7355218372504355E-2</v>
      </c>
      <c r="V19" s="808">
        <f t="shared" si="3"/>
        <v>6.9977444574785164E-2</v>
      </c>
    </row>
    <row r="20" spans="1:23" ht="12" customHeight="1">
      <c r="A20" s="140"/>
      <c r="B20" s="140"/>
      <c r="C20" s="149" t="s">
        <v>29</v>
      </c>
      <c r="F20" s="86"/>
      <c r="G20" s="86" t="s">
        <v>290</v>
      </c>
      <c r="H20" s="86"/>
      <c r="I20" s="86"/>
      <c r="J20" s="741">
        <v>270.65528057699998</v>
      </c>
      <c r="K20" s="741">
        <v>400.25142409399996</v>
      </c>
      <c r="L20" s="741">
        <v>235.04131253800003</v>
      </c>
      <c r="M20" s="742">
        <v>827.09906157499995</v>
      </c>
      <c r="N20" s="743">
        <v>814.48124902299992</v>
      </c>
      <c r="O20" s="658">
        <v>1253.324595841</v>
      </c>
      <c r="P20" s="658">
        <v>1409.065866788</v>
      </c>
      <c r="Q20" s="798">
        <v>1881.1728107669999</v>
      </c>
      <c r="R20" s="799"/>
      <c r="S20" s="799">
        <f t="shared" si="0"/>
        <v>827.09906157499995</v>
      </c>
      <c r="T20" s="800">
        <f t="shared" si="1"/>
        <v>1881.1728107669999</v>
      </c>
      <c r="U20" s="808">
        <f t="shared" si="2"/>
        <v>1.2744224966512476</v>
      </c>
      <c r="V20" s="808">
        <f t="shared" si="3"/>
        <v>0.33504955304077688</v>
      </c>
    </row>
    <row r="21" spans="1:23" ht="12" customHeight="1">
      <c r="A21" s="140"/>
      <c r="B21" s="140"/>
      <c r="C21" s="149" t="s">
        <v>30</v>
      </c>
      <c r="F21" s="86"/>
      <c r="G21" s="86"/>
      <c r="H21" s="86" t="s">
        <v>291</v>
      </c>
      <c r="I21" s="86"/>
      <c r="J21" s="741">
        <v>0</v>
      </c>
      <c r="K21" s="741">
        <v>0</v>
      </c>
      <c r="L21" s="741">
        <v>0</v>
      </c>
      <c r="M21" s="742">
        <v>299.12940265899999</v>
      </c>
      <c r="N21" s="743">
        <v>299.09906698499998</v>
      </c>
      <c r="O21" s="658">
        <v>971.25899240199999</v>
      </c>
      <c r="P21" s="658">
        <v>994.26689206900005</v>
      </c>
      <c r="Q21" s="798">
        <v>1210.212459653</v>
      </c>
      <c r="R21" s="799"/>
      <c r="S21" s="799">
        <f t="shared" si="0"/>
        <v>299.12940265899999</v>
      </c>
      <c r="T21" s="800">
        <f t="shared" si="1"/>
        <v>1210.212459653</v>
      </c>
      <c r="U21" s="808">
        <f t="shared" si="2"/>
        <v>3.0457825275616512</v>
      </c>
      <c r="V21" s="808">
        <f t="shared" si="3"/>
        <v>0.21719077644041063</v>
      </c>
    </row>
    <row r="22" spans="1:23" ht="12" customHeight="1">
      <c r="A22" s="140"/>
      <c r="B22" s="140"/>
      <c r="C22" s="149" t="s">
        <v>31</v>
      </c>
      <c r="F22" s="86"/>
      <c r="G22" s="86" t="s">
        <v>292</v>
      </c>
      <c r="H22" s="86"/>
      <c r="I22" s="86"/>
      <c r="J22" s="741">
        <v>37.437145143000002</v>
      </c>
      <c r="K22" s="741">
        <v>47.112847251999995</v>
      </c>
      <c r="L22" s="741">
        <v>44.234997321999998</v>
      </c>
      <c r="M22" s="742">
        <v>48.592742125000001</v>
      </c>
      <c r="N22" s="743">
        <v>52.189580543000005</v>
      </c>
      <c r="O22" s="658">
        <v>55.463707714999998</v>
      </c>
      <c r="P22" s="658">
        <v>79.302010906999996</v>
      </c>
      <c r="Q22" s="798">
        <v>59.705326143000008</v>
      </c>
      <c r="R22" s="799"/>
      <c r="S22" s="799">
        <f t="shared" si="0"/>
        <v>48.592742125000001</v>
      </c>
      <c r="T22" s="800">
        <f t="shared" si="1"/>
        <v>59.705326143000008</v>
      </c>
      <c r="U22" s="808">
        <f t="shared" si="2"/>
        <v>0.22868867134363802</v>
      </c>
      <c r="V22" s="808">
        <f t="shared" si="3"/>
        <v>-0.2471148268643919</v>
      </c>
    </row>
    <row r="23" spans="1:23" ht="12" customHeight="1">
      <c r="A23" s="140"/>
      <c r="B23" s="140"/>
      <c r="C23" s="149"/>
      <c r="F23" s="674"/>
      <c r="G23" s="674" t="s">
        <v>293</v>
      </c>
      <c r="H23" s="674"/>
      <c r="I23" s="674"/>
      <c r="J23" s="741">
        <v>9.4768467249999997</v>
      </c>
      <c r="K23" s="741">
        <v>10.351842676</v>
      </c>
      <c r="L23" s="741">
        <v>10.752327750999999</v>
      </c>
      <c r="M23" s="742">
        <v>11.136160826999999</v>
      </c>
      <c r="N23" s="743">
        <v>11.683720053</v>
      </c>
      <c r="O23" s="658">
        <v>10.899672058</v>
      </c>
      <c r="P23" s="658">
        <v>10.582538714</v>
      </c>
      <c r="Q23" s="798">
        <v>9.6561702100000009</v>
      </c>
      <c r="R23" s="799"/>
      <c r="S23" s="799">
        <f t="shared" si="0"/>
        <v>11.136160826999999</v>
      </c>
      <c r="T23" s="800">
        <f t="shared" si="1"/>
        <v>9.6561702100000009</v>
      </c>
      <c r="U23" s="808">
        <f t="shared" si="2"/>
        <v>-0.13289991199870699</v>
      </c>
      <c r="V23" s="808">
        <f t="shared" si="3"/>
        <v>-8.7531301677297391E-2</v>
      </c>
    </row>
    <row r="24" spans="1:23" ht="12" customHeight="1">
      <c r="A24" s="140"/>
      <c r="B24" s="140" t="s">
        <v>181</v>
      </c>
      <c r="C24" s="149"/>
      <c r="F24" s="91" t="s">
        <v>294</v>
      </c>
      <c r="G24" s="674"/>
      <c r="H24" s="674"/>
      <c r="I24" s="674"/>
      <c r="J24" s="738">
        <v>2529.4650723659997</v>
      </c>
      <c r="K24" s="738">
        <v>2192.2808381199993</v>
      </c>
      <c r="L24" s="738">
        <v>2068.649208282</v>
      </c>
      <c r="M24" s="739">
        <v>1969.1132997779998</v>
      </c>
      <c r="N24" s="740">
        <v>1485.6916555090002</v>
      </c>
      <c r="O24" s="682">
        <v>1652.6077406460004</v>
      </c>
      <c r="P24" s="682">
        <v>1342.7198861860002</v>
      </c>
      <c r="Q24" s="797">
        <v>1548.8746776229998</v>
      </c>
      <c r="R24" s="467"/>
      <c r="S24" s="820">
        <f t="shared" si="0"/>
        <v>1969.1132997779998</v>
      </c>
      <c r="T24" s="508">
        <f t="shared" si="1"/>
        <v>1548.8746776229998</v>
      </c>
      <c r="U24" s="807">
        <f t="shared" si="2"/>
        <v>-0.21341514477607759</v>
      </c>
      <c r="V24" s="807">
        <f t="shared" si="3"/>
        <v>0.15353522354141025</v>
      </c>
    </row>
    <row r="25" spans="1:23" ht="12" customHeight="1">
      <c r="A25" s="140"/>
      <c r="B25" s="140"/>
      <c r="C25" s="149" t="s">
        <v>32</v>
      </c>
      <c r="F25" s="674"/>
      <c r="G25" s="674" t="s">
        <v>295</v>
      </c>
      <c r="H25" s="674"/>
      <c r="I25" s="674"/>
      <c r="J25" s="741">
        <v>806.79292499999997</v>
      </c>
      <c r="K25" s="741">
        <v>806.79292499999997</v>
      </c>
      <c r="L25" s="741">
        <v>806.79292499999997</v>
      </c>
      <c r="M25" s="742">
        <v>806.79292499999997</v>
      </c>
      <c r="N25" s="743">
        <v>806.79292499999997</v>
      </c>
      <c r="O25" s="658">
        <v>806.79292499999997</v>
      </c>
      <c r="P25" s="658">
        <v>806.79292499999997</v>
      </c>
      <c r="Q25" s="798">
        <v>806.79292499999997</v>
      </c>
      <c r="R25" s="799"/>
      <c r="S25" s="799">
        <f t="shared" si="0"/>
        <v>806.79292499999997</v>
      </c>
      <c r="T25" s="800">
        <f t="shared" si="1"/>
        <v>806.79292499999997</v>
      </c>
      <c r="U25" s="808">
        <f t="shared" si="2"/>
        <v>0</v>
      </c>
      <c r="V25" s="808">
        <f t="shared" si="3"/>
        <v>0</v>
      </c>
    </row>
    <row r="26" spans="1:23" ht="12" customHeight="1">
      <c r="A26" s="140"/>
      <c r="B26" s="140"/>
      <c r="C26" s="149" t="s">
        <v>34</v>
      </c>
      <c r="F26" s="674"/>
      <c r="G26" s="674" t="s">
        <v>296</v>
      </c>
      <c r="H26" s="674"/>
      <c r="I26" s="674"/>
      <c r="J26" s="741">
        <v>463.68039134899999</v>
      </c>
      <c r="K26" s="741">
        <v>463.68039134899999</v>
      </c>
      <c r="L26" s="741">
        <v>463.68039134899999</v>
      </c>
      <c r="M26" s="742">
        <v>463.68039134899999</v>
      </c>
      <c r="N26" s="743">
        <v>463.68039134899999</v>
      </c>
      <c r="O26" s="658">
        <v>463.68039134899999</v>
      </c>
      <c r="P26" s="658">
        <v>463.68039134899999</v>
      </c>
      <c r="Q26" s="798">
        <v>463.68039134899999</v>
      </c>
      <c r="R26" s="799"/>
      <c r="S26" s="799">
        <f t="shared" si="0"/>
        <v>463.68039134899999</v>
      </c>
      <c r="T26" s="800">
        <f t="shared" si="1"/>
        <v>463.68039134899999</v>
      </c>
      <c r="U26" s="808">
        <f t="shared" si="2"/>
        <v>0</v>
      </c>
      <c r="V26" s="808">
        <f t="shared" si="3"/>
        <v>0</v>
      </c>
    </row>
    <row r="27" spans="1:23" ht="12" customHeight="1">
      <c r="A27" s="140"/>
      <c r="B27" s="140"/>
      <c r="C27" s="149" t="s">
        <v>35</v>
      </c>
      <c r="F27" s="674"/>
      <c r="G27" s="674" t="s">
        <v>297</v>
      </c>
      <c r="H27" s="674"/>
      <c r="I27" s="674"/>
      <c r="J27" s="741">
        <v>344.56736074700001</v>
      </c>
      <c r="K27" s="741">
        <v>344.56736074700001</v>
      </c>
      <c r="L27" s="741">
        <v>344.56736074700001</v>
      </c>
      <c r="M27" s="742">
        <v>344.56736074700001</v>
      </c>
      <c r="N27" s="743">
        <v>344.56736074700001</v>
      </c>
      <c r="O27" s="658">
        <v>344.56736074700001</v>
      </c>
      <c r="P27" s="658">
        <v>0</v>
      </c>
      <c r="Q27" s="798">
        <v>0</v>
      </c>
      <c r="R27" s="799"/>
      <c r="S27" s="799">
        <f t="shared" si="0"/>
        <v>344.56736074700001</v>
      </c>
      <c r="T27" s="800">
        <f t="shared" si="1"/>
        <v>0</v>
      </c>
      <c r="U27" s="808">
        <f t="shared" si="2"/>
        <v>-1</v>
      </c>
      <c r="V27" s="808" t="s">
        <v>386</v>
      </c>
    </row>
    <row r="28" spans="1:23" ht="12" customHeight="1">
      <c r="A28" s="140"/>
      <c r="B28" s="140"/>
      <c r="C28" s="149"/>
      <c r="F28" s="674"/>
      <c r="G28" s="674" t="s">
        <v>298</v>
      </c>
      <c r="H28" s="674"/>
      <c r="I28" s="674"/>
      <c r="J28" s="741">
        <v>-60.384648859999999</v>
      </c>
      <c r="K28" s="741">
        <v>-60.260611552999997</v>
      </c>
      <c r="L28" s="741">
        <v>-60.260611552999997</v>
      </c>
      <c r="M28" s="742">
        <v>-60.260611552999997</v>
      </c>
      <c r="N28" s="743">
        <v>-59.540575144000002</v>
      </c>
      <c r="O28" s="658">
        <v>-59.540575144000002</v>
      </c>
      <c r="P28" s="658">
        <v>-117.99151552399999</v>
      </c>
      <c r="Q28" s="798">
        <v>-116.906314396</v>
      </c>
      <c r="R28" s="799"/>
      <c r="S28" s="658">
        <f>M28</f>
        <v>-60.260611552999997</v>
      </c>
      <c r="T28" s="801">
        <f>Q28</f>
        <v>-116.906314396</v>
      </c>
      <c r="U28" s="808" t="str">
        <f>IF(T28/S28&lt;0,"n.a.",IF(S28&gt;0,ROUND(T28,4)/ROUND(S28,4)-1,IF(S28&lt;0,"n.a.")))</f>
        <v>n.a.</v>
      </c>
      <c r="V28" s="808" t="str">
        <f>IF(Q28/P28&lt;0,"n.a.",IF(P28&gt;0,ROUND(Q28,4)/ROUND(P28,4)-1,IF(P28&lt;0,"n.a.")))</f>
        <v>n.a.</v>
      </c>
    </row>
    <row r="29" spans="1:23" ht="12" customHeight="1">
      <c r="A29" s="140"/>
      <c r="B29" s="140"/>
      <c r="C29" s="149"/>
      <c r="F29" s="674"/>
      <c r="G29" s="674" t="s">
        <v>299</v>
      </c>
      <c r="H29" s="674"/>
      <c r="I29" s="674"/>
      <c r="J29" s="741">
        <v>-339.28319653800003</v>
      </c>
      <c r="K29" s="741">
        <v>-760.05318504100001</v>
      </c>
      <c r="L29" s="741">
        <v>-960.80669786199996</v>
      </c>
      <c r="M29" s="742">
        <v>-1103.0718198970001</v>
      </c>
      <c r="N29" s="743">
        <v>-1621.9370470690001</v>
      </c>
      <c r="O29" s="658">
        <v>-1491.239153427</v>
      </c>
      <c r="P29" s="658">
        <v>-1414.1059455340001</v>
      </c>
      <c r="Q29" s="798">
        <v>-1223.673605446</v>
      </c>
      <c r="R29" s="799"/>
      <c r="S29" s="658">
        <f>M29</f>
        <v>-1103.0718198970001</v>
      </c>
      <c r="T29" s="801">
        <f>Q29</f>
        <v>-1223.673605446</v>
      </c>
      <c r="U29" s="808" t="str">
        <f>IF(T29/S29&lt;0,"n.a.",IF(S29&gt;0,ROUND(T29,4)/ROUND(S29,4)-1,IF(S29&lt;0,"n.a.")))</f>
        <v>n.a.</v>
      </c>
      <c r="V29" s="808" t="str">
        <f>IF(Q29/P29&lt;0,"n.a.",IF(P29&gt;0,ROUND(Q29,4)/ROUND(P29,4)-1,IF(P29&lt;0,"n.a.")))</f>
        <v>n.a.</v>
      </c>
    </row>
    <row r="30" spans="1:23" ht="12" customHeight="1">
      <c r="A30" s="140"/>
      <c r="B30" s="140" t="s">
        <v>185</v>
      </c>
      <c r="C30" s="149"/>
      <c r="F30" s="674"/>
      <c r="G30" s="674" t="s">
        <v>300</v>
      </c>
      <c r="H30" s="674"/>
      <c r="I30" s="674"/>
      <c r="J30" s="741">
        <v>1314.0922406679999</v>
      </c>
      <c r="K30" s="741">
        <v>1397.5539576179999</v>
      </c>
      <c r="L30" s="741">
        <v>1474.6758406009999</v>
      </c>
      <c r="M30" s="742">
        <v>1517.405054132</v>
      </c>
      <c r="N30" s="743">
        <v>1552.128600626</v>
      </c>
      <c r="O30" s="658">
        <v>1588.3467921209999</v>
      </c>
      <c r="P30" s="658">
        <v>1604.3440308950001</v>
      </c>
      <c r="Q30" s="798">
        <v>1618.981281116</v>
      </c>
      <c r="R30" s="799"/>
      <c r="S30" s="799">
        <f t="shared" si="0"/>
        <v>1517.405054132</v>
      </c>
      <c r="T30" s="800">
        <f t="shared" si="1"/>
        <v>1618.981281116</v>
      </c>
      <c r="U30" s="808">
        <f t="shared" si="2"/>
        <v>6.6940726639181491E-2</v>
      </c>
      <c r="V30" s="808">
        <f t="shared" si="3"/>
        <v>9.1235420832438408E-3</v>
      </c>
    </row>
    <row r="31" spans="1:23" s="3" customFormat="1" ht="13.5" customHeight="1">
      <c r="A31" s="140"/>
      <c r="B31" s="140"/>
      <c r="C31" s="149" t="s">
        <v>147</v>
      </c>
      <c r="D31" s="1"/>
      <c r="E31" s="1"/>
      <c r="F31" s="802" t="s">
        <v>301</v>
      </c>
      <c r="G31" s="803"/>
      <c r="H31" s="802"/>
      <c r="I31" s="802"/>
      <c r="J31" s="584">
        <v>32402.274003225997</v>
      </c>
      <c r="K31" s="584">
        <v>33306.063605890995</v>
      </c>
      <c r="L31" s="584">
        <v>33881.763694890004</v>
      </c>
      <c r="M31" s="744">
        <v>34546.485304416005</v>
      </c>
      <c r="N31" s="745">
        <v>35159.109568600004</v>
      </c>
      <c r="O31" s="584">
        <v>35613.337341862003</v>
      </c>
      <c r="P31" s="584">
        <v>35694.262764643994</v>
      </c>
      <c r="Q31" s="804">
        <v>35347.237061939995</v>
      </c>
      <c r="R31" s="805"/>
      <c r="S31" s="584">
        <f t="shared" si="0"/>
        <v>34546.485304416005</v>
      </c>
      <c r="T31" s="806">
        <f t="shared" si="1"/>
        <v>35347.237061939995</v>
      </c>
      <c r="U31" s="809">
        <f t="shared" si="2"/>
        <v>2.3178965762980175E-2</v>
      </c>
      <c r="V31" s="809">
        <f t="shared" si="3"/>
        <v>-9.7221702530860821E-3</v>
      </c>
      <c r="W31" s="345"/>
    </row>
    <row r="32" spans="1:23" ht="12" customHeight="1">
      <c r="A32" s="140"/>
      <c r="B32" s="140"/>
      <c r="C32" s="149" t="s">
        <v>36</v>
      </c>
      <c r="F32" s="674"/>
      <c r="G32" s="657"/>
      <c r="H32" s="657"/>
      <c r="I32" s="657"/>
      <c r="R32" s="263"/>
      <c r="W32" s="74"/>
    </row>
    <row r="33" spans="1:25" ht="12" customHeight="1">
      <c r="A33" s="140"/>
      <c r="B33" s="140"/>
      <c r="C33" s="149"/>
      <c r="F33" s="86"/>
      <c r="J33" s="74"/>
      <c r="K33" s="74"/>
      <c r="L33" s="74"/>
      <c r="M33" s="74"/>
      <c r="R33" s="263"/>
    </row>
    <row r="34" spans="1:25" ht="23.25" customHeight="1">
      <c r="A34" s="140"/>
      <c r="B34" s="140" t="s">
        <v>188</v>
      </c>
      <c r="C34" s="149"/>
      <c r="F34" s="81" t="s">
        <v>164</v>
      </c>
      <c r="K34" s="830"/>
      <c r="R34" s="263"/>
      <c r="S34" s="3"/>
      <c r="T34" s="3"/>
      <c r="U34" s="3"/>
      <c r="V34" s="3"/>
      <c r="W34" s="74"/>
      <c r="X34" s="74"/>
    </row>
    <row r="35" spans="1:25" ht="12" customHeight="1">
      <c r="A35" s="140"/>
      <c r="B35" s="140"/>
      <c r="C35" s="149" t="s">
        <v>37</v>
      </c>
      <c r="F35" s="186" t="s">
        <v>22</v>
      </c>
      <c r="G35" s="83"/>
      <c r="H35" s="83"/>
      <c r="I35" s="83"/>
      <c r="J35" s="838" t="s">
        <v>216</v>
      </c>
      <c r="K35" s="838"/>
      <c r="L35" s="838"/>
      <c r="M35" s="839"/>
      <c r="N35" s="840" t="s">
        <v>238</v>
      </c>
      <c r="O35" s="838"/>
      <c r="P35" s="838"/>
      <c r="Q35" s="838"/>
      <c r="R35" s="263"/>
      <c r="S35" s="838" t="s">
        <v>224</v>
      </c>
      <c r="T35" s="841"/>
      <c r="U35" s="842" t="s">
        <v>217</v>
      </c>
      <c r="V35" s="843"/>
      <c r="W35" s="74"/>
      <c r="X35" s="74"/>
      <c r="Y35" s="74"/>
    </row>
    <row r="36" spans="1:25" ht="12" customHeight="1">
      <c r="A36" s="140"/>
      <c r="B36" s="140"/>
      <c r="C36" s="149" t="s">
        <v>38</v>
      </c>
      <c r="F36" s="103" t="s">
        <v>56</v>
      </c>
      <c r="G36" s="103"/>
      <c r="H36" s="103"/>
      <c r="I36" s="103"/>
      <c r="J36" s="302">
        <v>45382</v>
      </c>
      <c r="K36" s="302">
        <v>45473</v>
      </c>
      <c r="L36" s="302">
        <v>45565</v>
      </c>
      <c r="M36" s="317">
        <v>45657</v>
      </c>
      <c r="N36" s="302">
        <v>45747</v>
      </c>
      <c r="O36" s="302">
        <v>45838</v>
      </c>
      <c r="P36" s="302">
        <v>45930</v>
      </c>
      <c r="Q36" s="302">
        <v>46022</v>
      </c>
      <c r="R36" s="614"/>
      <c r="S36" s="303" t="s">
        <v>266</v>
      </c>
      <c r="T36" s="369" t="s">
        <v>267</v>
      </c>
      <c r="U36" s="276" t="s">
        <v>23</v>
      </c>
      <c r="V36" s="276" t="s">
        <v>24</v>
      </c>
      <c r="W36" s="74"/>
      <c r="X36" s="74"/>
      <c r="Y36" s="74"/>
    </row>
    <row r="37" spans="1:25" ht="12" customHeight="1">
      <c r="A37" s="25"/>
      <c r="F37" s="134" t="s">
        <v>302</v>
      </c>
      <c r="G37" s="120"/>
      <c r="H37" s="120"/>
      <c r="I37" s="120"/>
      <c r="J37" s="821">
        <v>56.271888736999983</v>
      </c>
      <c r="K37" s="821">
        <v>80.576600912000004</v>
      </c>
      <c r="L37" s="821">
        <v>96.548338932000007</v>
      </c>
      <c r="M37" s="822">
        <v>41.011332244999977</v>
      </c>
      <c r="N37" s="823">
        <v>4.0710674249999954</v>
      </c>
      <c r="O37" s="823">
        <v>66.348499052000008</v>
      </c>
      <c r="P37" s="823">
        <v>24.56273217800009</v>
      </c>
      <c r="Q37" s="824">
        <v>18.78851494300001</v>
      </c>
      <c r="R37" s="342"/>
      <c r="S37" s="496">
        <f>+SUM(J37:M37)</f>
        <v>274.40816082599997</v>
      </c>
      <c r="T37" s="497">
        <f>+SUM(N37:Q37)</f>
        <v>113.7708135980001</v>
      </c>
      <c r="U37" s="810">
        <f>IF(T37/S37&lt;0,"n.a.",IF(S37&gt;0,ROUND(T37,4)/ROUND(S37,4)-1,IF(S37&lt;0,"n.a.")))</f>
        <v>-0.5853957717006999</v>
      </c>
      <c r="V37" s="810">
        <f>IF(Q37/P37&lt;0,"n.a.",IF(P37&gt;0,ROUND(Q37,4)/ROUND(P37,4)-1,IF(P37&lt;0,"n.a.")))</f>
        <v>-0.23508001970467418</v>
      </c>
      <c r="W37" s="74"/>
      <c r="X37" s="582"/>
      <c r="Y37" s="191"/>
    </row>
    <row r="38" spans="1:25" ht="12" customHeight="1">
      <c r="A38" s="25"/>
      <c r="F38" s="120"/>
      <c r="G38" s="120" t="s">
        <v>148</v>
      </c>
      <c r="H38" s="120"/>
      <c r="I38" s="120"/>
      <c r="J38" s="741">
        <v>64.195658760000001</v>
      </c>
      <c r="K38" s="741">
        <v>65.242871292999993</v>
      </c>
      <c r="L38" s="741">
        <v>66.755810435000001</v>
      </c>
      <c r="M38" s="742">
        <v>63.792206375999996</v>
      </c>
      <c r="N38" s="648">
        <v>62.317797028999998</v>
      </c>
      <c r="O38" s="648">
        <v>63.745713754000001</v>
      </c>
      <c r="P38" s="648">
        <v>63.797645990000007</v>
      </c>
      <c r="Q38" s="825">
        <v>56.890212413</v>
      </c>
      <c r="R38" s="264"/>
      <c r="S38" s="498">
        <f t="shared" ref="S38:S52" si="4">+SUM(J38:M38)</f>
        <v>259.98654686399999</v>
      </c>
      <c r="T38" s="499">
        <f t="shared" ref="T38:T52" si="5">+SUM(N38:Q38)</f>
        <v>246.75136918600001</v>
      </c>
      <c r="U38" s="808">
        <f>IF(T38/S38&lt;0,"n.a.",IF(S38&gt;0,ROUND(T38,4)/ROUND(S38,4)-1,IF(S38&lt;0,"n.a.")))</f>
        <v>-5.0906874010765879E-2</v>
      </c>
      <c r="V38" s="808">
        <f t="shared" ref="V38:V48" si="6">IF(Q38/P38&lt;0,"n.a.",IF(P38&gt;0,ROUND(Q38,4)/ROUND(P38,4)-1,IF(P38&lt;0,"n.a.")))</f>
        <v>-0.1082705305528735</v>
      </c>
      <c r="W38" s="74"/>
    </row>
    <row r="39" spans="1:25" ht="12" customHeight="1">
      <c r="A39" s="25"/>
      <c r="F39" s="120"/>
      <c r="G39" s="120" t="s">
        <v>149</v>
      </c>
      <c r="H39" s="120"/>
      <c r="I39" s="120"/>
      <c r="J39" s="741">
        <v>11.527213627</v>
      </c>
      <c r="K39" s="741">
        <v>11.828755928000001</v>
      </c>
      <c r="L39" s="741">
        <v>11.839691645999999</v>
      </c>
      <c r="M39" s="742">
        <v>12.031063172000003</v>
      </c>
      <c r="N39" s="648">
        <v>11.135397902999999</v>
      </c>
      <c r="O39" s="648">
        <v>11.008743131000001</v>
      </c>
      <c r="P39" s="648">
        <v>10.759073901000001</v>
      </c>
      <c r="Q39" s="825">
        <v>10.730103606</v>
      </c>
      <c r="R39" s="264"/>
      <c r="S39" s="498">
        <f t="shared" si="4"/>
        <v>47.226724373000003</v>
      </c>
      <c r="T39" s="499">
        <f t="shared" si="5"/>
        <v>43.633318541000001</v>
      </c>
      <c r="U39" s="808">
        <f>IF(T39/S39&lt;0,"n.a.",IF(S39&gt;0,ROUND(T39,4)/ROUND(S39,4)-1,IF(S39&lt;0,"n.a.")))</f>
        <v>-7.608831444924169E-2</v>
      </c>
      <c r="V39" s="808">
        <f>IF(Q39/P39&lt;0,"n.a.",IF(P39&gt;0,ROUND(Q39,4)/ROUND(P39,4)-1,IF(P39&lt;0,"n.a.")))</f>
        <v>-2.6953927373107867E-3</v>
      </c>
      <c r="W39" s="74"/>
      <c r="X39" s="653"/>
    </row>
    <row r="40" spans="1:25" ht="12" customHeight="1">
      <c r="A40" s="25"/>
      <c r="F40" s="120"/>
      <c r="G40" s="120" t="s">
        <v>160</v>
      </c>
      <c r="H40" s="120"/>
      <c r="I40" s="120"/>
      <c r="J40" s="741">
        <v>-9.3290852330000149</v>
      </c>
      <c r="K40" s="741">
        <v>15.726513425000018</v>
      </c>
      <c r="L40" s="741">
        <v>7.9081844069999683</v>
      </c>
      <c r="M40" s="742">
        <v>2.5109672729999879</v>
      </c>
      <c r="N40" s="648">
        <v>-17.649082880000009</v>
      </c>
      <c r="O40" s="648">
        <v>-8.1693347999999908</v>
      </c>
      <c r="P40" s="648">
        <v>-39.308664963999902</v>
      </c>
      <c r="Q40" s="825">
        <v>-6.7420452140000293</v>
      </c>
      <c r="R40" s="264"/>
      <c r="S40" s="498">
        <f>+SUM(J40:M40)</f>
        <v>16.816579871999959</v>
      </c>
      <c r="T40" s="499">
        <f t="shared" si="5"/>
        <v>-71.869127857999928</v>
      </c>
      <c r="U40" s="808" t="str">
        <f>IF(T40/S40&lt;0,"n.a.",IF(S40&gt;0,ROUND(T40,4)/ROUND(S40,4)-1,IF(S40&lt;0,"n.a.")))</f>
        <v>n.a.</v>
      </c>
      <c r="V40" s="808" t="str">
        <f t="shared" si="6"/>
        <v>n.a.</v>
      </c>
      <c r="W40" s="444"/>
    </row>
    <row r="41" spans="1:25" ht="12" customHeight="1">
      <c r="A41" s="25"/>
      <c r="F41" s="120"/>
      <c r="G41" s="120"/>
      <c r="H41" s="120" t="s">
        <v>397</v>
      </c>
      <c r="I41" s="120"/>
      <c r="J41" s="741">
        <v>-14.853774474000005</v>
      </c>
      <c r="K41" s="741">
        <v>9.8705465740000307</v>
      </c>
      <c r="L41" s="741">
        <v>-0.59953379699999232</v>
      </c>
      <c r="M41" s="742">
        <v>0.63417708999992328</v>
      </c>
      <c r="N41" s="648">
        <v>-19.417094192000008</v>
      </c>
      <c r="O41" s="648">
        <v>-9.336930303999992</v>
      </c>
      <c r="P41" s="648">
        <v>-26.886779609999962</v>
      </c>
      <c r="Q41" s="825">
        <v>-13.162422189000097</v>
      </c>
      <c r="R41" s="264"/>
      <c r="S41" s="498">
        <f t="shared" ref="S41:S42" si="7">+SUM(J41:M41)</f>
        <v>-4.9485846070000434</v>
      </c>
      <c r="T41" s="499">
        <f t="shared" ref="T41:T42" si="8">+SUM(N41:Q41)</f>
        <v>-68.803226295000059</v>
      </c>
      <c r="U41" s="808" t="str">
        <f t="shared" ref="U41:U42" si="9">IF(T41/S41&lt;0,"n.a.",IF(S41&gt;0,ROUND(T41,4)/ROUND(S41,4)-1,IF(S41&lt;0,"n.a.")))</f>
        <v>n.a.</v>
      </c>
      <c r="V41" s="808" t="str">
        <f t="shared" ref="V41:V42" si="10">IF(Q41/P41&lt;0,"n.a.",IF(P41&gt;0,ROUND(Q41,4)/ROUND(P41,4)-1,IF(P41&lt;0,"n.a.")))</f>
        <v>n.a.</v>
      </c>
      <c r="W41" s="444"/>
    </row>
    <row r="42" spans="1:25" ht="12" customHeight="1">
      <c r="A42" s="25"/>
      <c r="F42" s="120"/>
      <c r="G42" s="120"/>
      <c r="H42" s="120" t="s">
        <v>398</v>
      </c>
      <c r="I42" s="120"/>
      <c r="J42" s="741">
        <v>5.5246892409999973</v>
      </c>
      <c r="K42" s="741">
        <v>5.855966850999998</v>
      </c>
      <c r="L42" s="741">
        <v>8.5077182040000281</v>
      </c>
      <c r="M42" s="742">
        <v>1.8767901829999687</v>
      </c>
      <c r="N42" s="648">
        <v>1.7680113120000129</v>
      </c>
      <c r="O42" s="648">
        <v>1.1675955039999621</v>
      </c>
      <c r="P42" s="648">
        <v>-12.421885353999969</v>
      </c>
      <c r="Q42" s="825">
        <v>6.4203769749999822</v>
      </c>
      <c r="R42" s="264"/>
      <c r="S42" s="498">
        <f t="shared" si="7"/>
        <v>21.765164478999992</v>
      </c>
      <c r="T42" s="499">
        <f t="shared" si="8"/>
        <v>-3.0659015630000113</v>
      </c>
      <c r="U42" s="808" t="str">
        <f t="shared" si="9"/>
        <v>n.a.</v>
      </c>
      <c r="V42" s="808" t="str">
        <f t="shared" si="10"/>
        <v>n.a.</v>
      </c>
      <c r="W42" s="444"/>
    </row>
    <row r="43" spans="1:25" ht="12" customHeight="1">
      <c r="A43" s="25"/>
      <c r="F43" s="120"/>
      <c r="G43" s="120" t="s">
        <v>162</v>
      </c>
      <c r="H43" s="120"/>
      <c r="I43" s="120"/>
      <c r="J43" s="741">
        <v>-10.121898417000001</v>
      </c>
      <c r="K43" s="741">
        <v>-12.221539734</v>
      </c>
      <c r="L43" s="741">
        <v>10.044652444000018</v>
      </c>
      <c r="M43" s="742">
        <v>-37.322904576000013</v>
      </c>
      <c r="N43" s="648">
        <v>-51.733044626999998</v>
      </c>
      <c r="O43" s="648">
        <v>-0.23662303300000076</v>
      </c>
      <c r="P43" s="648">
        <v>-10.685322749000008</v>
      </c>
      <c r="Q43" s="825">
        <v>-42.08975586199999</v>
      </c>
      <c r="R43" s="264"/>
      <c r="S43" s="498">
        <f t="shared" si="4"/>
        <v>-49.621690282999992</v>
      </c>
      <c r="T43" s="499">
        <f t="shared" si="5"/>
        <v>-104.744746271</v>
      </c>
      <c r="U43" s="808" t="str">
        <f t="shared" ref="U43:U51" si="11">IF(T43/S43&lt;0,"n.a.",IF(S43&gt;0,ROUND(T43,4)/ROUND(S43,4)-1,IF(S43&lt;0,"n.a.")))</f>
        <v>n.a.</v>
      </c>
      <c r="V43" s="808" t="str">
        <f>IF(Q43/P43&lt;0,"n.a.",IF(P43&gt;0,ROUND(Q43,4)/ROUND(P43,4)-1,IF(P43&lt;0,"n.a.")))</f>
        <v>n.a.</v>
      </c>
      <c r="W43" s="74"/>
    </row>
    <row r="44" spans="1:25" ht="12" customHeight="1">
      <c r="A44" s="25"/>
      <c r="F44" s="134" t="s">
        <v>157</v>
      </c>
      <c r="G44" s="595"/>
      <c r="H44" s="595"/>
      <c r="I44" s="595"/>
      <c r="J44" s="821">
        <v>31.608343191999925</v>
      </c>
      <c r="K44" s="821">
        <v>30.041488488000216</v>
      </c>
      <c r="L44" s="821">
        <v>18.110706400999824</v>
      </c>
      <c r="M44" s="822">
        <v>13.889459148000029</v>
      </c>
      <c r="N44" s="823">
        <v>54.593749300999988</v>
      </c>
      <c r="O44" s="823">
        <v>-24.959964571999926</v>
      </c>
      <c r="P44" s="823">
        <v>23.181135341999628</v>
      </c>
      <c r="Q44" s="824">
        <v>32.225945515000916</v>
      </c>
      <c r="R44" s="342"/>
      <c r="S44" s="496">
        <f t="shared" si="4"/>
        <v>93.649997228999993</v>
      </c>
      <c r="T44" s="500">
        <f t="shared" si="5"/>
        <v>85.040865586000606</v>
      </c>
      <c r="U44" s="810">
        <f>IF(T44/S44&lt;0,"n.a.",IF(S44&gt;0,ROUND(T44,4)/ROUND(S44,4)-1,IF(S44&lt;0,"n.a.")))</f>
        <v>-9.1928457020822307E-2</v>
      </c>
      <c r="V44" s="810">
        <f t="shared" si="6"/>
        <v>0.39017993106453108</v>
      </c>
      <c r="W44" s="74"/>
    </row>
    <row r="45" spans="1:25" ht="12" customHeight="1">
      <c r="A45" s="25"/>
      <c r="F45" s="595"/>
      <c r="G45" s="595" t="s">
        <v>303</v>
      </c>
      <c r="H45" s="595"/>
      <c r="I45" s="595"/>
      <c r="J45" s="741">
        <v>207.42634324400001</v>
      </c>
      <c r="K45" s="741">
        <v>214.32173315699998</v>
      </c>
      <c r="L45" s="741">
        <v>223.15639060699999</v>
      </c>
      <c r="M45" s="742">
        <v>222.84247063700002</v>
      </c>
      <c r="N45" s="648">
        <v>221.37861540300003</v>
      </c>
      <c r="O45" s="648">
        <v>222.89585105599997</v>
      </c>
      <c r="P45" s="648">
        <v>235.2225920599999</v>
      </c>
      <c r="Q45" s="826">
        <v>228.79414205400019</v>
      </c>
      <c r="R45" s="264"/>
      <c r="S45" s="498">
        <f t="shared" si="4"/>
        <v>867.746937645</v>
      </c>
      <c r="T45" s="499">
        <f t="shared" si="5"/>
        <v>908.29120057300008</v>
      </c>
      <c r="U45" s="808">
        <f>IF(T45/S45&lt;0,"n.a.",IF(S45&gt;0,ROUND(T45,4)/ROUND(S45,4)-1,IF(S45&lt;0,"n.a.")))</f>
        <v>4.6723647183297468E-2</v>
      </c>
      <c r="V45" s="808">
        <f t="shared" si="6"/>
        <v>-2.7329431780789837E-2</v>
      </c>
      <c r="W45" s="74"/>
    </row>
    <row r="46" spans="1:25" ht="12" customHeight="1">
      <c r="A46" s="25"/>
      <c r="F46" s="595"/>
      <c r="G46" s="595" t="s">
        <v>304</v>
      </c>
      <c r="H46" s="595"/>
      <c r="I46" s="595"/>
      <c r="J46" s="741">
        <v>79.740830206999931</v>
      </c>
      <c r="K46" s="741">
        <v>93.571534749000193</v>
      </c>
      <c r="L46" s="741">
        <v>-0.68552013500016074</v>
      </c>
      <c r="M46" s="742">
        <v>0.99081878800006962</v>
      </c>
      <c r="N46" s="648">
        <v>100.76539074899995</v>
      </c>
      <c r="O46" s="648">
        <v>125.22237021400008</v>
      </c>
      <c r="P46" s="648">
        <v>99.511743189999834</v>
      </c>
      <c r="Q46" s="826">
        <v>140.87743147200035</v>
      </c>
      <c r="R46" s="264"/>
      <c r="S46" s="498">
        <f t="shared" si="4"/>
        <v>173.61766360900003</v>
      </c>
      <c r="T46" s="499">
        <f t="shared" si="5"/>
        <v>466.37693562500021</v>
      </c>
      <c r="U46" s="808">
        <f t="shared" si="11"/>
        <v>1.6862289962371344</v>
      </c>
      <c r="V46" s="808">
        <f t="shared" si="6"/>
        <v>0.41568679863774793</v>
      </c>
      <c r="W46" s="74"/>
    </row>
    <row r="47" spans="1:25" ht="12" customHeight="1">
      <c r="A47" s="25"/>
      <c r="F47" s="595"/>
      <c r="G47" s="595" t="s">
        <v>305</v>
      </c>
      <c r="H47" s="595"/>
      <c r="I47" s="595"/>
      <c r="J47" s="741">
        <v>-259.94344110700001</v>
      </c>
      <c r="K47" s="741">
        <v>-275.94043652200003</v>
      </c>
      <c r="L47" s="741">
        <v>-204.53077703199995</v>
      </c>
      <c r="M47" s="742">
        <v>-213.29308442700005</v>
      </c>
      <c r="N47" s="648">
        <v>-270.55463435799999</v>
      </c>
      <c r="O47" s="648">
        <v>-371.26770634899998</v>
      </c>
      <c r="P47" s="648">
        <v>-317.39990283900011</v>
      </c>
      <c r="Q47" s="826">
        <v>-339.99400670399973</v>
      </c>
      <c r="R47" s="264"/>
      <c r="S47" s="498">
        <f t="shared" si="4"/>
        <v>-953.70773908800004</v>
      </c>
      <c r="T47" s="499">
        <f t="shared" si="5"/>
        <v>-1299.2162502499998</v>
      </c>
      <c r="U47" s="808" t="str">
        <f t="shared" si="11"/>
        <v>n.a.</v>
      </c>
      <c r="V47" s="808" t="str">
        <f t="shared" si="6"/>
        <v>n.a.</v>
      </c>
      <c r="W47" s="495"/>
    </row>
    <row r="48" spans="1:25" ht="12" customHeight="1">
      <c r="A48" s="25"/>
      <c r="F48" s="595"/>
      <c r="G48" s="595" t="s">
        <v>161</v>
      </c>
      <c r="H48" s="595"/>
      <c r="I48" s="595"/>
      <c r="J48" s="741">
        <v>4.3846108479999977</v>
      </c>
      <c r="K48" s="741">
        <v>-1.9113428959999901</v>
      </c>
      <c r="L48" s="741">
        <v>0.17061296099999623</v>
      </c>
      <c r="M48" s="742">
        <v>3.349254149999993</v>
      </c>
      <c r="N48" s="648">
        <v>3.0043775070000009</v>
      </c>
      <c r="O48" s="648">
        <v>-1.8104794929999954</v>
      </c>
      <c r="P48" s="648">
        <v>5.8467029310000029</v>
      </c>
      <c r="Q48" s="826">
        <v>2.5483786929999894</v>
      </c>
      <c r="R48" s="264"/>
      <c r="S48" s="498">
        <f t="shared" si="4"/>
        <v>5.9931350629999969</v>
      </c>
      <c r="T48" s="499">
        <f t="shared" si="5"/>
        <v>9.5889796379999979</v>
      </c>
      <c r="U48" s="808">
        <f t="shared" si="11"/>
        <v>0.60000667434216015</v>
      </c>
      <c r="V48" s="808">
        <f t="shared" si="6"/>
        <v>-0.56413019310038148</v>
      </c>
      <c r="W48" s="74"/>
    </row>
    <row r="49" spans="1:26" ht="12" customHeight="1">
      <c r="A49" s="25"/>
      <c r="F49" s="596" t="s">
        <v>306</v>
      </c>
      <c r="G49" s="120"/>
      <c r="H49" s="120"/>
      <c r="I49" s="120"/>
      <c r="J49" s="821">
        <v>87.880231929000004</v>
      </c>
      <c r="K49" s="821">
        <v>110.61808939999999</v>
      </c>
      <c r="L49" s="821">
        <v>114.65904533300002</v>
      </c>
      <c r="M49" s="822">
        <v>54.900791392999963</v>
      </c>
      <c r="N49" s="823">
        <v>58.664816725999998</v>
      </c>
      <c r="O49" s="823">
        <v>41.388534480000004</v>
      </c>
      <c r="P49" s="823">
        <v>47.743867520000009</v>
      </c>
      <c r="Q49" s="824">
        <v>51.014460458000002</v>
      </c>
      <c r="R49" s="342"/>
      <c r="S49" s="496">
        <f t="shared" si="4"/>
        <v>368.05815805499998</v>
      </c>
      <c r="T49" s="500">
        <f t="shared" si="5"/>
        <v>198.81167918400001</v>
      </c>
      <c r="U49" s="810">
        <f t="shared" si="11"/>
        <v>-0.45983624328978401</v>
      </c>
      <c r="V49" s="810">
        <f>IF(Q49/P49&lt;0,"n.a.",IF(P49&gt;0,ROUND(Q49,4)/ROUND(P49,4)-1,IF(P49&lt;0,"n.a.")))</f>
        <v>6.8502992005261554E-2</v>
      </c>
    </row>
    <row r="50" spans="1:26" ht="12" customHeight="1">
      <c r="A50" s="25"/>
      <c r="F50" s="134" t="s">
        <v>307</v>
      </c>
      <c r="G50" s="120"/>
      <c r="H50" s="120"/>
      <c r="I50" s="120"/>
      <c r="J50" s="821">
        <v>2.3588358029999998</v>
      </c>
      <c r="K50" s="821">
        <v>-2.5522655990000001</v>
      </c>
      <c r="L50" s="821">
        <v>-3.2930359309999999</v>
      </c>
      <c r="M50" s="822">
        <v>6.4824917079999995</v>
      </c>
      <c r="N50" s="823">
        <v>-5.0065736919999999</v>
      </c>
      <c r="O50" s="823">
        <v>1.0811314599999999</v>
      </c>
      <c r="P50" s="823">
        <v>-17.253720809999997</v>
      </c>
      <c r="Q50" s="824">
        <v>-2.2042256009999974</v>
      </c>
      <c r="R50" s="342"/>
      <c r="S50" s="496">
        <f t="shared" si="4"/>
        <v>2.9960259809999994</v>
      </c>
      <c r="T50" s="500">
        <f t="shared" si="5"/>
        <v>-23.383388642999996</v>
      </c>
      <c r="U50" s="810" t="str">
        <f t="shared" si="11"/>
        <v>n.a.</v>
      </c>
      <c r="V50" s="810" t="str">
        <f>IF(Q50/P50&lt;0,"n.a.",IF(P50&gt;0,ROUND(Q50,4)/ROUND(P50,4)-1,IF(P50&lt;0,"n.a.")))</f>
        <v>n.a.</v>
      </c>
    </row>
    <row r="51" spans="1:26" ht="12" customHeight="1">
      <c r="F51" s="134" t="s">
        <v>308</v>
      </c>
      <c r="G51" s="134"/>
      <c r="H51" s="134"/>
      <c r="I51" s="134"/>
      <c r="J51" s="821">
        <v>90.239067731999995</v>
      </c>
      <c r="K51" s="821">
        <v>108.06582380099999</v>
      </c>
      <c r="L51" s="821">
        <v>111.36600940200003</v>
      </c>
      <c r="M51" s="822">
        <v>61.383283100999961</v>
      </c>
      <c r="N51" s="823">
        <v>53.658243034000002</v>
      </c>
      <c r="O51" s="823">
        <v>42.469665939999992</v>
      </c>
      <c r="P51" s="823">
        <v>30.490146710000005</v>
      </c>
      <c r="Q51" s="824">
        <v>48.810234856999998</v>
      </c>
      <c r="R51" s="342"/>
      <c r="S51" s="496">
        <f t="shared" si="4"/>
        <v>371.05418403599998</v>
      </c>
      <c r="T51" s="500">
        <f t="shared" si="5"/>
        <v>175.428290541</v>
      </c>
      <c r="U51" s="810">
        <f t="shared" si="11"/>
        <v>-0.52721650907064244</v>
      </c>
      <c r="V51" s="810">
        <f>IF(Q51/P51&lt;0,"n.a.",IF(P51&gt;0,ROUND(Q51,4)/ROUND(P51,4)-1,IF(P51&lt;0,"n.a.")))</f>
        <v>0.60085404770728856</v>
      </c>
    </row>
    <row r="52" spans="1:26" ht="12" customHeight="1">
      <c r="F52" s="135" t="s">
        <v>50</v>
      </c>
      <c r="G52" s="135"/>
      <c r="H52" s="135"/>
      <c r="I52" s="135"/>
      <c r="J52" s="827">
        <v>73.578091822999994</v>
      </c>
      <c r="K52" s="827">
        <v>83.504780949999997</v>
      </c>
      <c r="L52" s="827">
        <v>87.697038110000022</v>
      </c>
      <c r="M52" s="827">
        <v>69.513523378000002</v>
      </c>
      <c r="N52" s="828">
        <v>46.194080006</v>
      </c>
      <c r="O52" s="827">
        <v>36.218191495000006</v>
      </c>
      <c r="P52" s="827">
        <v>27.444114821999989</v>
      </c>
      <c r="Q52" s="829">
        <v>14.637250221000002</v>
      </c>
      <c r="R52" s="468"/>
      <c r="S52" s="501">
        <f t="shared" si="4"/>
        <v>314.29343426100002</v>
      </c>
      <c r="T52" s="502">
        <f t="shared" si="5"/>
        <v>124.493636544</v>
      </c>
      <c r="U52" s="809">
        <f>IF(T52/S52&lt;0,"n.a.",IF(S52&gt;0,ROUND(T52,4)/ROUND(S52,4)-1,IF(S52&lt;0,"n.a.")))</f>
        <v>-0.60389368659984588</v>
      </c>
      <c r="V52" s="809">
        <f>IF(Q52/P52&lt;0,"n.a.",IF(P52&gt;0,ROUND(Q52,4)/ROUND(P52,4)-1,IF(P52&lt;0,"n.a.")))</f>
        <v>-0.4666503911587554</v>
      </c>
    </row>
    <row r="53" spans="1:26" ht="12" customHeight="1">
      <c r="F53" s="674"/>
      <c r="G53" s="657"/>
      <c r="H53" s="657"/>
      <c r="I53" s="657"/>
      <c r="J53" s="597"/>
      <c r="W53" s="291"/>
      <c r="X53" s="291"/>
      <c r="Y53" s="291"/>
      <c r="Z53" s="291"/>
    </row>
    <row r="54" spans="1:26" ht="12" customHeight="1">
      <c r="F54" s="597"/>
      <c r="G54" s="597"/>
      <c r="H54" s="597"/>
      <c r="I54" s="597"/>
      <c r="J54" s="837"/>
      <c r="K54" s="837"/>
      <c r="L54" s="837"/>
      <c r="M54" s="837"/>
      <c r="N54" s="837"/>
      <c r="O54" s="837"/>
      <c r="P54" s="837"/>
      <c r="Q54" s="837"/>
      <c r="R54" s="837"/>
      <c r="S54" s="837"/>
      <c r="T54" s="837"/>
      <c r="U54" s="837"/>
      <c r="V54" s="837"/>
    </row>
    <row r="55" spans="1:26">
      <c r="J55" s="231"/>
      <c r="T55" s="74"/>
    </row>
    <row r="56" spans="1:26">
      <c r="J56" s="74"/>
      <c r="K56" s="74"/>
      <c r="L56" s="74"/>
      <c r="M56" s="74"/>
    </row>
    <row r="57" spans="1:26">
      <c r="J57" s="231"/>
      <c r="K57" s="231"/>
      <c r="L57" s="231"/>
    </row>
    <row r="59" spans="1:26">
      <c r="J59" s="74"/>
      <c r="K59" s="74"/>
      <c r="L59" s="74"/>
    </row>
    <row r="60" spans="1:26">
      <c r="J60" s="74"/>
      <c r="K60" s="74"/>
      <c r="L60" s="74"/>
    </row>
    <row r="61" spans="1:26">
      <c r="J61" s="690"/>
      <c r="K61" s="690"/>
      <c r="L61" s="691"/>
      <c r="M61" s="673"/>
    </row>
    <row r="62" spans="1:26">
      <c r="J62" s="690"/>
      <c r="K62" s="690"/>
      <c r="L62" s="691"/>
      <c r="M62" s="673"/>
    </row>
    <row r="63" spans="1:26">
      <c r="J63" s="690"/>
      <c r="K63" s="690"/>
      <c r="L63" s="692"/>
      <c r="M63" s="673"/>
    </row>
    <row r="64" spans="1:26">
      <c r="J64" s="690"/>
      <c r="K64" s="690"/>
      <c r="L64" s="690"/>
      <c r="M64" s="673"/>
    </row>
    <row r="65" spans="1:14">
      <c r="J65" s="690"/>
      <c r="K65" s="690"/>
      <c r="L65" s="693"/>
      <c r="M65" s="673"/>
    </row>
    <row r="66" spans="1:14" ht="12">
      <c r="A66" s="1"/>
      <c r="J66" s="694"/>
      <c r="K66" s="694"/>
      <c r="L66" s="694"/>
      <c r="M66" s="683"/>
      <c r="N66" s="597"/>
    </row>
    <row r="67" spans="1:14" ht="12">
      <c r="A67" s="1"/>
      <c r="J67" s="695"/>
      <c r="K67" s="695"/>
      <c r="L67" s="696"/>
      <c r="M67" s="683"/>
      <c r="N67" s="597"/>
    </row>
    <row r="68" spans="1:14" ht="12">
      <c r="A68" s="1"/>
      <c r="J68" s="695"/>
      <c r="K68" s="695"/>
      <c r="L68" s="697"/>
      <c r="M68" s="683"/>
      <c r="N68" s="597"/>
    </row>
    <row r="69" spans="1:14" ht="12">
      <c r="A69" s="1"/>
      <c r="J69" s="683"/>
      <c r="K69" s="683"/>
      <c r="L69" s="683"/>
      <c r="M69" s="683"/>
      <c r="N69" s="597"/>
    </row>
    <row r="70" spans="1:14" ht="12">
      <c r="A70" s="1"/>
      <c r="J70" s="597"/>
      <c r="K70" s="597"/>
      <c r="L70" s="597"/>
      <c r="M70" s="597"/>
      <c r="N70" s="597"/>
    </row>
    <row r="71" spans="1:14" ht="12">
      <c r="A71" s="1"/>
      <c r="J71" s="597"/>
      <c r="K71" s="597"/>
      <c r="L71" s="597"/>
      <c r="M71" s="597"/>
      <c r="N71" s="597"/>
    </row>
    <row r="72" spans="1:14" ht="12">
      <c r="A72" s="1"/>
      <c r="J72" s="597"/>
      <c r="K72" s="597"/>
      <c r="L72" s="597"/>
      <c r="M72" s="597"/>
      <c r="N72" s="597"/>
    </row>
    <row r="73" spans="1:14" ht="12">
      <c r="A73" s="1"/>
    </row>
    <row r="74" spans="1:14" ht="12">
      <c r="A74" s="1"/>
    </row>
    <row r="75" spans="1:14" ht="12">
      <c r="A75" s="1"/>
    </row>
    <row r="76" spans="1:14" ht="12">
      <c r="A76" s="1"/>
    </row>
    <row r="77" spans="1:14" ht="12">
      <c r="A77" s="1"/>
    </row>
    <row r="78" spans="1:14" ht="12">
      <c r="A78" s="1"/>
    </row>
  </sheetData>
  <mergeCells count="8">
    <mergeCell ref="J35:M35"/>
    <mergeCell ref="N35:Q35"/>
    <mergeCell ref="S35:T35"/>
    <mergeCell ref="U35:V35"/>
    <mergeCell ref="U2:V2"/>
    <mergeCell ref="S2:T2"/>
    <mergeCell ref="J2:M2"/>
    <mergeCell ref="N2:Q2"/>
  </mergeCells>
  <phoneticPr fontId="7" type="noConversion"/>
  <hyperlinks>
    <hyperlink ref="B5" location="FH!A1" display="재무현황" xr:uid="{401D1DE0-41F7-4B5B-A938-7E4643167ADD}"/>
    <hyperlink ref="B7" location="FS!A1" display="요약재무상태표 (Selected Balance sheet)" xr:uid="{01A7FF39-6A0A-4E38-BDC6-8B18BD220D07}"/>
    <hyperlink ref="C15" location="Stability!A1" display="재무 안정성 (Financial Stability)" xr:uid="{01B5E61E-6FB4-48E4-8503-2C1E8A4F3B97}"/>
    <hyperlink ref="C16" location="Productivity!A1" display="생산성 / 경영효율 (Productivity / Operating Efficiency)" xr:uid="{6F749657-30CA-4EE8-9E22-316D49C6BF23}"/>
    <hyperlink ref="C20" location="'Premium Income by P.T.(GA+SA)'!A1" display="상품별 수입보험료 (Premium Income)" xr:uid="{EED24FB3-CDAE-444C-BDE2-9BB6770622A8}"/>
    <hyperlink ref="C21" location="'Initial P. by P.T.'!A1" display="상품별 초회보험료 (Initial Premium)" xr:uid="{D01269AF-49D7-4AE2-8AAF-BC2760DBB6A2}"/>
    <hyperlink ref="C22" location="'First-year P. by P.T.'!A1" display="상품별 초년도보험료 (First Year Premium)" xr:uid="{6E2DB020-2C1C-4B9B-948D-6CE75862E0BA}"/>
    <hyperlink ref="C26" location="'Premium Income by D.C.(GA+SA)'!A1" display="채널별 수입보험료 (Premium Income)" xr:uid="{070142DF-EC3E-45F2-A7AC-B38A5758FE18}"/>
    <hyperlink ref="C27" location="'First-year P. by D.C'!A1" display="채널별 초년도보험료 (First Year Premium)" xr:uid="{C101E81E-8243-4C38-9E11-9017F941E586}"/>
    <hyperlink ref="C31" location="'&gt;Loan'!A1" display="대출 (Loan)/ 자산건전성 (Asset Quality of Loan)" xr:uid="{5C018172-2FEC-40EE-9ACB-5B5965AFB8F7}"/>
    <hyperlink ref="C32" location="'&gt;Bond'!A1" display="채권 (Bond)" xr:uid="{107A8709-04D9-4577-82E6-388B452A7723}"/>
    <hyperlink ref="C35" location="'BS  K-IFRS'!A1" display="재무상태표 (Balance Sheet - KIFRS)" xr:uid="{E460D4F0-6AA6-4AAF-8F79-C4AB867DF1ED}"/>
    <hyperlink ref="C36" location="'IS  K-IFRS'!A1" display="손익계산서 (Income Statement - KIFRS)" xr:uid="{B0D4F227-923C-496B-8137-963A6BE3B338}"/>
    <hyperlink ref="B8" location="FS!A1" display="요약손익계산서 (Selected Income Statement)" xr:uid="{ED92E90C-E01F-42FE-93F7-275AF794E666}"/>
    <hyperlink ref="B10" location="CSM!A1" display="RA, CSM, BEL Movement" xr:uid="{77ADCB5A-9FCA-4615-A270-16DA43276B77}"/>
    <hyperlink ref="B11" location="CSM!A1" display="신계약 CSM (New Business CSM)" xr:uid="{D4AA3599-A496-4562-AA79-6922BB3EE552}"/>
    <hyperlink ref="B13" location="'Sources of Margin'!A1" display="이원별손익" xr:uid="{A928301B-C3D6-478C-94D1-9D4FE5CAA2DA}"/>
    <hyperlink ref="B12" location="CSM!A1" display="신계약 CSM 배수 (New Business CSM Margin)" xr:uid="{22DB2FCA-3DC9-4A75-8B88-1E2FBFEF307C}"/>
    <hyperlink ref="C19" location="'APE by P.T'!A1" display="상품별 APE (Annualized Premium Equivalent (APE))" xr:uid="{825E38CA-CD9C-4410-8D21-4EC5E43B7D81}"/>
    <hyperlink ref="C25" location="'APE by D.C'!A1" display="채널별 APE (Annualized Premium Equivalent (APE))" xr:uid="{1A79594F-8993-4E02-8E38-940096328FF1}"/>
  </hyperlinks>
  <pageMargins left="0.19685039370078741" right="0.19685039370078741" top="0.74803149606299213" bottom="0.74803149606299213" header="0.31496062992125984" footer="0.31496062992125984"/>
  <pageSetup paperSize="9" scale="6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8.7109375" style="1" customWidth="1"/>
    <col min="10" max="13" width="11.28515625" style="1" hidden="1" customWidth="1"/>
    <col min="14" max="21" width="11.28515625" style="1" customWidth="1"/>
    <col min="22" max="22" width="3.85546875" style="1" customWidth="1"/>
    <col min="23" max="26" width="11.28515625" style="1" customWidth="1"/>
    <col min="27" max="27" width="3.85546875" style="1" customWidth="1"/>
    <col min="28" max="36" width="9.140625" style="683"/>
    <col min="37" max="16384" width="9.140625" style="1"/>
  </cols>
  <sheetData>
    <row r="1" spans="1:36" s="3" customFormat="1" ht="24" customHeight="1">
      <c r="A1" s="6"/>
      <c r="F1" s="92" t="s">
        <v>201</v>
      </c>
      <c r="G1" s="92"/>
      <c r="H1" s="93"/>
      <c r="I1" s="93"/>
      <c r="AB1" s="747"/>
      <c r="AC1" s="747"/>
      <c r="AD1" s="747"/>
      <c r="AE1" s="747"/>
      <c r="AF1" s="747"/>
      <c r="AG1" s="747"/>
      <c r="AH1" s="747"/>
      <c r="AI1" s="747"/>
      <c r="AJ1" s="747"/>
    </row>
    <row r="2" spans="1:36" ht="12" customHeight="1">
      <c r="A2" s="140"/>
      <c r="B2" s="141"/>
      <c r="C2" s="141"/>
      <c r="F2" s="249" t="s">
        <v>22</v>
      </c>
      <c r="G2" s="249"/>
      <c r="H2" s="249"/>
      <c r="I2" s="249"/>
      <c r="J2" s="838" t="s">
        <v>214</v>
      </c>
      <c r="K2" s="838"/>
      <c r="L2" s="838"/>
      <c r="M2" s="839"/>
      <c r="N2" s="840" t="s">
        <v>216</v>
      </c>
      <c r="O2" s="838"/>
      <c r="P2" s="838"/>
      <c r="Q2" s="839"/>
      <c r="R2" s="840" t="s">
        <v>237</v>
      </c>
      <c r="S2" s="838"/>
      <c r="T2" s="838"/>
      <c r="U2" s="838"/>
      <c r="V2" s="3"/>
      <c r="W2" s="838" t="s">
        <v>225</v>
      </c>
      <c r="X2" s="841"/>
      <c r="Y2" s="471"/>
      <c r="Z2" s="351"/>
      <c r="AA2" s="3"/>
    </row>
    <row r="3" spans="1:36" ht="12" customHeight="1">
      <c r="A3" s="140" t="s">
        <v>27</v>
      </c>
      <c r="B3" s="141"/>
      <c r="C3" s="141"/>
      <c r="F3" s="250" t="s">
        <v>56</v>
      </c>
      <c r="G3" s="250"/>
      <c r="H3" s="250"/>
      <c r="I3" s="250"/>
      <c r="J3" s="302">
        <v>45016</v>
      </c>
      <c r="K3" s="302">
        <v>45107</v>
      </c>
      <c r="L3" s="302">
        <v>45199</v>
      </c>
      <c r="M3" s="317">
        <v>45291</v>
      </c>
      <c r="N3" s="520">
        <v>45382</v>
      </c>
      <c r="O3" s="302">
        <v>45473</v>
      </c>
      <c r="P3" s="302">
        <v>45565</v>
      </c>
      <c r="Q3" s="317">
        <v>45657</v>
      </c>
      <c r="R3" s="302">
        <v>45747</v>
      </c>
      <c r="S3" s="302">
        <v>45838</v>
      </c>
      <c r="T3" s="302">
        <v>45930</v>
      </c>
      <c r="U3" s="302">
        <v>46022</v>
      </c>
      <c r="V3" s="3"/>
      <c r="W3" s="303" t="s">
        <v>266</v>
      </c>
      <c r="X3" s="369" t="s">
        <v>267</v>
      </c>
      <c r="Y3" s="303" t="s">
        <v>23</v>
      </c>
      <c r="Z3" s="276" t="s">
        <v>24</v>
      </c>
      <c r="AB3" s="748"/>
    </row>
    <row r="4" spans="1:36" ht="12" customHeight="1">
      <c r="A4" s="140"/>
      <c r="B4" s="141"/>
      <c r="C4" s="141"/>
      <c r="F4" s="847" t="s">
        <v>172</v>
      </c>
      <c r="G4" s="847"/>
      <c r="H4" s="255"/>
      <c r="I4" s="255" t="s">
        <v>197</v>
      </c>
      <c r="J4" s="277">
        <v>21299.070298518</v>
      </c>
      <c r="K4" s="277">
        <v>21164.213257013002</v>
      </c>
      <c r="L4" s="332">
        <v>20196.946307232</v>
      </c>
      <c r="M4" s="361">
        <v>19325.185848446999</v>
      </c>
      <c r="N4" s="521">
        <v>21506.046934178001</v>
      </c>
      <c r="O4" s="277">
        <v>21306.077642903998</v>
      </c>
      <c r="P4" s="277">
        <v>22328.232360245998</v>
      </c>
      <c r="Q4" s="361">
        <v>23023.240148642002</v>
      </c>
      <c r="R4" s="602">
        <v>23292.637689645002</v>
      </c>
      <c r="S4" s="659">
        <v>24379.766806111002</v>
      </c>
      <c r="T4" s="659">
        <v>24160.524097648002</v>
      </c>
      <c r="U4" s="598">
        <v>24315.769218917998</v>
      </c>
      <c r="V4" s="3"/>
      <c r="W4" s="491">
        <f>N4</f>
        <v>21506.046934178001</v>
      </c>
      <c r="X4" s="370">
        <f>R4</f>
        <v>23292.637689645002</v>
      </c>
      <c r="Y4" s="297">
        <f>IF(X4/W4&lt;0,"n.a.",IF(W4&gt;0,ROUND(X4,4)/ROUND(W4,4)-1,IF(W4&lt;0,"n.a.")))</f>
        <v>8.3073881885749934E-2</v>
      </c>
      <c r="Z4" s="297">
        <f>IF(U4/T4&lt;0,"n.a.",IF(T4&gt;0,ROUND(U4,4)/ROUND(T4,4)-1,IF(T4&lt;0,"n.a.")))</f>
        <v>6.425568392367742E-3</v>
      </c>
    </row>
    <row r="5" spans="1:36" ht="12" customHeight="1">
      <c r="A5" s="150"/>
      <c r="B5" s="140" t="s">
        <v>155</v>
      </c>
      <c r="C5" s="140"/>
      <c r="F5" s="848"/>
      <c r="G5" s="848"/>
      <c r="H5" s="466"/>
      <c r="I5" s="253" t="s">
        <v>199</v>
      </c>
      <c r="J5" s="343">
        <v>-189.714966992</v>
      </c>
      <c r="K5" s="343">
        <v>-197.18539527999999</v>
      </c>
      <c r="L5" s="344">
        <v>-218.66188595099999</v>
      </c>
      <c r="M5" s="362">
        <v>-213.99281023200001</v>
      </c>
      <c r="N5" s="522">
        <v>-222.817964354</v>
      </c>
      <c r="O5" s="343">
        <v>-152.121223106</v>
      </c>
      <c r="P5" s="343">
        <v>-246.220182585</v>
      </c>
      <c r="Q5" s="362">
        <v>-179.16817761999999</v>
      </c>
      <c r="R5" s="603">
        <v>-206.71097247999998</v>
      </c>
      <c r="S5" s="648">
        <v>-123.4244467</v>
      </c>
      <c r="T5" s="648">
        <v>-135.56074172499999</v>
      </c>
      <c r="U5" s="599">
        <v>-112.52749001699999</v>
      </c>
      <c r="V5" s="345"/>
      <c r="W5" s="343">
        <f>+SUM(N5:Q5)</f>
        <v>-800.32754766499988</v>
      </c>
      <c r="X5" s="371">
        <f>+SUM(R5:U5)</f>
        <v>-578.22365092199993</v>
      </c>
      <c r="Y5" s="261" t="str">
        <f>IF(X5/W5&lt;0,"n.a.",IF(W5&gt;0,ROUND(X5,4)/ROUND(W5,4)-1,IF(W5&lt;0,"n.a.")))</f>
        <v>n.a.</v>
      </c>
      <c r="Z5" s="261" t="str">
        <f t="shared" ref="Z5:Z21" si="0">IF(U5/T5&lt;0,"n.a.",IF(T5&gt;0,ROUND(U5,4)/ROUND(T5,4)-1,IF(T5&lt;0,"n.a.")))</f>
        <v>n.a.</v>
      </c>
    </row>
    <row r="6" spans="1:36" ht="12" customHeight="1">
      <c r="A6" s="150"/>
      <c r="B6" s="149"/>
      <c r="C6" s="141"/>
      <c r="F6" s="848"/>
      <c r="G6" s="848"/>
      <c r="H6" s="255"/>
      <c r="I6" s="107" t="s">
        <v>189</v>
      </c>
      <c r="J6" s="343">
        <v>238.192559381</v>
      </c>
      <c r="K6" s="343">
        <v>217.123430283</v>
      </c>
      <c r="L6" s="344">
        <v>206.45868996200002</v>
      </c>
      <c r="M6" s="362">
        <v>273.99640827299999</v>
      </c>
      <c r="N6" s="522">
        <v>215.69275655499999</v>
      </c>
      <c r="O6" s="343">
        <v>230.29557301</v>
      </c>
      <c r="P6" s="343">
        <v>157.47815489500002</v>
      </c>
      <c r="Q6" s="362">
        <v>166.37161032400002</v>
      </c>
      <c r="R6" s="603">
        <v>224.28292892000002</v>
      </c>
      <c r="S6" s="648">
        <v>326.06562856699998</v>
      </c>
      <c r="T6" s="648">
        <v>272.09560696699998</v>
      </c>
      <c r="U6" s="599">
        <v>291.67364431700003</v>
      </c>
      <c r="V6" s="345"/>
      <c r="W6" s="343">
        <f>+SUM(N6:Q6)</f>
        <v>769.83809478399996</v>
      </c>
      <c r="X6" s="371">
        <f>+SUM(R6:U6)</f>
        <v>1114.117808771</v>
      </c>
      <c r="Y6" s="261">
        <f>IF(X6/W6&lt;0,"n.a.",IF(W6&gt;0,ROUND(X6,4)/ROUND(W6,4)-1,IF(W6&lt;0,"n.a.")))</f>
        <v>0.44721052387508475</v>
      </c>
      <c r="Z6" s="261">
        <f t="shared" si="0"/>
        <v>7.1952651935569767E-2</v>
      </c>
    </row>
    <row r="7" spans="1:36" ht="12.75" customHeight="1">
      <c r="A7" s="150"/>
      <c r="B7" s="149" t="s">
        <v>212</v>
      </c>
      <c r="C7" s="141"/>
      <c r="F7" s="848"/>
      <c r="G7" s="848"/>
      <c r="H7" s="255"/>
      <c r="I7" s="107" t="s">
        <v>200</v>
      </c>
      <c r="J7" s="343">
        <v>-574.51900334300001</v>
      </c>
      <c r="K7" s="343">
        <v>-405.59102799100003</v>
      </c>
      <c r="L7" s="344">
        <v>-236.38283719</v>
      </c>
      <c r="M7" s="362">
        <v>235.90780196899999</v>
      </c>
      <c r="N7" s="522">
        <v>-168.56602646099998</v>
      </c>
      <c r="O7" s="343">
        <v>285.42156119399999</v>
      </c>
      <c r="P7" s="343">
        <v>-58.422198045999998</v>
      </c>
      <c r="Q7" s="362">
        <v>-86.697201944</v>
      </c>
      <c r="R7" s="603">
        <v>-80.928354024000001</v>
      </c>
      <c r="S7" s="648">
        <v>19.204317856999999</v>
      </c>
      <c r="T7" s="648">
        <v>212.07018526300001</v>
      </c>
      <c r="U7" s="599">
        <v>-176.781531196</v>
      </c>
      <c r="V7" s="345"/>
      <c r="W7" s="343">
        <f>+SUM(N7:Q7)</f>
        <v>-28.263865256999985</v>
      </c>
      <c r="X7" s="371">
        <f>+SUM(R7:U7)</f>
        <v>-26.435382099999998</v>
      </c>
      <c r="Y7" s="261" t="str">
        <f>IF(X7/W7&lt;0,"n.a.",IF(W7&gt;0,ROUND(X7,4)/ROUND(W7,4)-1,IF(W7&lt;0,"n.a.")))</f>
        <v>n.a.</v>
      </c>
      <c r="Z7" s="261" t="str">
        <f t="shared" si="0"/>
        <v>n.a.</v>
      </c>
    </row>
    <row r="8" spans="1:36" ht="12" customHeight="1">
      <c r="A8" s="150"/>
      <c r="B8" s="149" t="s">
        <v>213</v>
      </c>
      <c r="C8" s="141"/>
      <c r="F8" s="848"/>
      <c r="G8" s="848"/>
      <c r="H8" s="255"/>
      <c r="I8" s="107" t="s">
        <v>161</v>
      </c>
      <c r="J8" s="343">
        <v>391.18436944900168</v>
      </c>
      <c r="K8" s="343">
        <v>-581.61395679300404</v>
      </c>
      <c r="L8" s="344">
        <v>-623.17442560599738</v>
      </c>
      <c r="M8" s="362">
        <v>1884.9496857210033</v>
      </c>
      <c r="N8" s="522">
        <v>-24.278057014002115</v>
      </c>
      <c r="O8" s="343">
        <v>658.55880624400015</v>
      </c>
      <c r="P8" s="343">
        <v>842.17201413200019</v>
      </c>
      <c r="Q8" s="362">
        <v>368.89131024299786</v>
      </c>
      <c r="R8" s="603">
        <v>1150.4855140499967</v>
      </c>
      <c r="S8" s="648">
        <v>-441.08820818700042</v>
      </c>
      <c r="T8" s="648">
        <v>-193.35992923500453</v>
      </c>
      <c r="U8" s="599">
        <v>-891.28893354499814</v>
      </c>
      <c r="V8" s="345"/>
      <c r="W8" s="343">
        <f>+SUM(N8:Q8)</f>
        <v>1845.3440736049961</v>
      </c>
      <c r="X8" s="371">
        <f>+SUM(R8:U8)</f>
        <v>-375.25155691700638</v>
      </c>
      <c r="Y8" s="261" t="str">
        <f t="shared" ref="Y8:Y21" si="1">IF(X8/W8&lt;0,"n.a.",IF(W8&gt;0,ROUND(X8,4)/ROUND(W8,4)-1,IF(W8&lt;0,"n.a.")))</f>
        <v>n.a.</v>
      </c>
      <c r="Z8" s="261" t="str">
        <f t="shared" si="0"/>
        <v>n.a.</v>
      </c>
    </row>
    <row r="9" spans="1:36" ht="12.75" customHeight="1">
      <c r="A9" s="150"/>
      <c r="B9" s="149"/>
      <c r="C9" s="141"/>
      <c r="F9" s="848"/>
      <c r="G9" s="848"/>
      <c r="H9" s="255"/>
      <c r="I9" s="255" t="s">
        <v>198</v>
      </c>
      <c r="J9" s="277">
        <v>21164.213257013002</v>
      </c>
      <c r="K9" s="277">
        <v>20196.946307232</v>
      </c>
      <c r="L9" s="332">
        <v>19325.185848446999</v>
      </c>
      <c r="M9" s="361">
        <v>21506.046934178001</v>
      </c>
      <c r="N9" s="521">
        <v>21306.077642903998</v>
      </c>
      <c r="O9" s="277">
        <v>22328.232360245998</v>
      </c>
      <c r="P9" s="277">
        <v>23023.240148642002</v>
      </c>
      <c r="Q9" s="361">
        <v>23292.637689645002</v>
      </c>
      <c r="R9" s="604">
        <v>24379.766806111002</v>
      </c>
      <c r="S9" s="659">
        <v>24160.524097648002</v>
      </c>
      <c r="T9" s="659">
        <v>24315.769218917998</v>
      </c>
      <c r="U9" s="598">
        <v>23426.844908477</v>
      </c>
      <c r="V9" s="3"/>
      <c r="W9" s="460">
        <f>Q9</f>
        <v>23292.637689645002</v>
      </c>
      <c r="X9" s="370">
        <f>U9</f>
        <v>23426.844908477</v>
      </c>
      <c r="Y9" s="452">
        <f t="shared" si="1"/>
        <v>5.7617862660526153E-3</v>
      </c>
      <c r="Z9" s="452">
        <f t="shared" si="0"/>
        <v>-3.655752333757134E-2</v>
      </c>
    </row>
    <row r="10" spans="1:36" ht="12" customHeight="1">
      <c r="A10" s="140"/>
      <c r="B10" s="149" t="s">
        <v>171</v>
      </c>
      <c r="C10" s="141"/>
      <c r="F10" s="849" t="s">
        <v>190</v>
      </c>
      <c r="G10" s="849"/>
      <c r="H10" s="465"/>
      <c r="I10" s="465" t="s">
        <v>192</v>
      </c>
      <c r="J10" s="454">
        <v>440.29211562</v>
      </c>
      <c r="K10" s="454">
        <v>447.45500157800001</v>
      </c>
      <c r="L10" s="455">
        <v>455.03673013299999</v>
      </c>
      <c r="M10" s="456">
        <v>447.04681340299999</v>
      </c>
      <c r="N10" s="523">
        <v>432.908820349</v>
      </c>
      <c r="O10" s="454">
        <v>442.79439429299998</v>
      </c>
      <c r="P10" s="454">
        <v>441.90093023700001</v>
      </c>
      <c r="Q10" s="456">
        <v>459.56329602800002</v>
      </c>
      <c r="R10" s="605">
        <v>466.33601045500001</v>
      </c>
      <c r="S10" s="660">
        <v>472.494696369</v>
      </c>
      <c r="T10" s="660">
        <v>488.93878047700002</v>
      </c>
      <c r="U10" s="600">
        <v>493.99080792799998</v>
      </c>
      <c r="V10" s="613"/>
      <c r="W10" s="454">
        <f>N10</f>
        <v>432.908820349</v>
      </c>
      <c r="X10" s="457">
        <f>R10</f>
        <v>466.33601045500001</v>
      </c>
      <c r="Y10" s="458">
        <f t="shared" si="1"/>
        <v>7.721533958191662E-2</v>
      </c>
      <c r="Z10" s="458">
        <f t="shared" si="0"/>
        <v>1.0332581500997584E-2</v>
      </c>
    </row>
    <row r="11" spans="1:36" ht="12" customHeight="1">
      <c r="A11" s="140"/>
      <c r="B11" s="149" t="s">
        <v>166</v>
      </c>
      <c r="C11" s="141"/>
      <c r="F11" s="848"/>
      <c r="G11" s="848"/>
      <c r="H11" s="275"/>
      <c r="I11" s="96" t="s">
        <v>199</v>
      </c>
      <c r="J11" s="343">
        <v>13.978502856</v>
      </c>
      <c r="K11" s="343">
        <v>15.181097597999999</v>
      </c>
      <c r="L11" s="344">
        <v>16.986142029</v>
      </c>
      <c r="M11" s="362">
        <v>16.789904594999999</v>
      </c>
      <c r="N11" s="522">
        <v>19.723241645000002</v>
      </c>
      <c r="O11" s="343">
        <v>13.724339584000001</v>
      </c>
      <c r="P11" s="343">
        <v>23.656397216999999</v>
      </c>
      <c r="Q11" s="362">
        <v>15.867591489</v>
      </c>
      <c r="R11" s="603">
        <v>17.914724135</v>
      </c>
      <c r="S11" s="648">
        <v>13.116018635</v>
      </c>
      <c r="T11" s="648">
        <v>14.742877183999999</v>
      </c>
      <c r="U11" s="599">
        <v>12.613123103</v>
      </c>
      <c r="V11" s="345"/>
      <c r="W11" s="343">
        <f>+SUM(N11:Q11)</f>
        <v>72.971569935000005</v>
      </c>
      <c r="X11" s="371">
        <f>+SUM(R11:U11)</f>
        <v>58.386743056999997</v>
      </c>
      <c r="Y11" s="453">
        <f t="shared" si="1"/>
        <v>-0.19987090868228186</v>
      </c>
      <c r="Z11" s="453">
        <f t="shared" si="0"/>
        <v>-0.1444627583446948</v>
      </c>
    </row>
    <row r="12" spans="1:36" ht="12" customHeight="1">
      <c r="A12" s="140"/>
      <c r="B12" s="149" t="s">
        <v>222</v>
      </c>
      <c r="C12" s="141"/>
      <c r="F12" s="848"/>
      <c r="G12" s="848"/>
      <c r="H12" s="275"/>
      <c r="I12" s="107" t="s">
        <v>189</v>
      </c>
      <c r="J12" s="343">
        <v>3.7716923649999998</v>
      </c>
      <c r="K12" s="343">
        <v>3.7933630709999999</v>
      </c>
      <c r="L12" s="344">
        <v>3.9587531560000002</v>
      </c>
      <c r="M12" s="362">
        <v>3.7932594989999999</v>
      </c>
      <c r="N12" s="522">
        <v>3.8066054120000001</v>
      </c>
      <c r="O12" s="343">
        <v>3.8757557139999999</v>
      </c>
      <c r="P12" s="343">
        <v>3.9370226009999998</v>
      </c>
      <c r="Q12" s="362">
        <v>4.0773965250000002</v>
      </c>
      <c r="R12" s="603">
        <v>4.1129862749999999</v>
      </c>
      <c r="S12" s="648">
        <v>4.2515464789999999</v>
      </c>
      <c r="T12" s="648">
        <v>4.3092120380000001</v>
      </c>
      <c r="U12" s="599">
        <v>5.284606643</v>
      </c>
      <c r="V12" s="345"/>
      <c r="W12" s="343">
        <f>+SUM(N12:Q12)</f>
        <v>15.696780252</v>
      </c>
      <c r="X12" s="371">
        <f>+SUM(R12:U12)</f>
        <v>17.958351434999997</v>
      </c>
      <c r="Y12" s="453">
        <f t="shared" si="1"/>
        <v>0.14408032210386845</v>
      </c>
      <c r="Z12" s="453">
        <f t="shared" si="0"/>
        <v>0.22635291933537571</v>
      </c>
    </row>
    <row r="13" spans="1:36" ht="12" customHeight="1">
      <c r="A13" s="140"/>
      <c r="B13" s="149"/>
      <c r="C13" s="141"/>
      <c r="F13" s="848"/>
      <c r="G13" s="848"/>
      <c r="H13" s="275"/>
      <c r="I13" s="107" t="s">
        <v>149</v>
      </c>
      <c r="J13" s="343">
        <v>-11.282276566</v>
      </c>
      <c r="K13" s="343">
        <v>-11.156059664000001</v>
      </c>
      <c r="L13" s="344">
        <v>-11.421167554</v>
      </c>
      <c r="M13" s="362">
        <v>-11.398505268999999</v>
      </c>
      <c r="N13" s="522">
        <v>-11.527213627</v>
      </c>
      <c r="O13" s="343">
        <v>-11.828755928</v>
      </c>
      <c r="P13" s="343">
        <v>-11.839691646</v>
      </c>
      <c r="Q13" s="362">
        <v>-12.031063172</v>
      </c>
      <c r="R13" s="603">
        <v>-11.135397902999999</v>
      </c>
      <c r="S13" s="648">
        <v>-11.008743130999999</v>
      </c>
      <c r="T13" s="648">
        <v>-10.759073901000001</v>
      </c>
      <c r="U13" s="599">
        <v>-10.730103606</v>
      </c>
      <c r="V13" s="345"/>
      <c r="W13" s="343">
        <f>+SUM(N13:Q13)</f>
        <v>-47.226724372999996</v>
      </c>
      <c r="X13" s="371">
        <f>+SUM(R13:U13)</f>
        <v>-43.633318541000001</v>
      </c>
      <c r="Y13" s="453" t="str">
        <f t="shared" si="1"/>
        <v>n.a.</v>
      </c>
      <c r="Z13" s="453" t="str">
        <f t="shared" si="0"/>
        <v>n.a.</v>
      </c>
    </row>
    <row r="14" spans="1:36" ht="12" customHeight="1">
      <c r="A14" s="140"/>
      <c r="B14" s="140" t="s">
        <v>173</v>
      </c>
      <c r="C14" s="141"/>
      <c r="F14" s="848"/>
      <c r="G14" s="848"/>
      <c r="H14" s="275"/>
      <c r="I14" s="96" t="s">
        <v>161</v>
      </c>
      <c r="J14" s="343">
        <v>0.69496730300005538</v>
      </c>
      <c r="K14" s="343">
        <v>-0.23667245000001458</v>
      </c>
      <c r="L14" s="344">
        <v>-17.51364436099999</v>
      </c>
      <c r="M14" s="362">
        <v>-23.322651878999977</v>
      </c>
      <c r="N14" s="522">
        <v>-2.1170594860000165</v>
      </c>
      <c r="O14" s="343">
        <v>-6.6648034259999349</v>
      </c>
      <c r="P14" s="343">
        <v>1.9086376189999896</v>
      </c>
      <c r="Q14" s="362">
        <v>-1.1412104149999891</v>
      </c>
      <c r="R14" s="603">
        <v>-4.7336265929999968</v>
      </c>
      <c r="S14" s="648">
        <v>10.085262125000042</v>
      </c>
      <c r="T14" s="648">
        <v>-3.2409878700000263</v>
      </c>
      <c r="U14" s="599">
        <v>-30.712647333000007</v>
      </c>
      <c r="V14" s="345"/>
      <c r="W14" s="343">
        <f>+SUM(N14:Q14)</f>
        <v>-8.0144357079999509</v>
      </c>
      <c r="X14" s="371">
        <f>+SUM(R14:U14)</f>
        <v>-28.601999670999987</v>
      </c>
      <c r="Y14" s="453" t="str">
        <f t="shared" si="1"/>
        <v>n.a.</v>
      </c>
      <c r="Z14" s="453" t="str">
        <f t="shared" si="0"/>
        <v>n.a.</v>
      </c>
    </row>
    <row r="15" spans="1:36" ht="12" customHeight="1">
      <c r="A15" s="140"/>
      <c r="B15" s="142"/>
      <c r="C15" s="149" t="s">
        <v>40</v>
      </c>
      <c r="F15" s="850"/>
      <c r="G15" s="850"/>
      <c r="H15" s="459"/>
      <c r="I15" s="459" t="s">
        <v>191</v>
      </c>
      <c r="J15" s="460">
        <v>447.45500157800001</v>
      </c>
      <c r="K15" s="460">
        <v>455.03673013299999</v>
      </c>
      <c r="L15" s="461">
        <v>447.04681340299999</v>
      </c>
      <c r="M15" s="462">
        <v>432.908820349</v>
      </c>
      <c r="N15" s="524">
        <v>442.79439429299998</v>
      </c>
      <c r="O15" s="460">
        <v>441.90093023700001</v>
      </c>
      <c r="P15" s="460">
        <v>459.56329602800002</v>
      </c>
      <c r="Q15" s="462">
        <v>466.33601045500001</v>
      </c>
      <c r="R15" s="606">
        <v>472.494696369</v>
      </c>
      <c r="S15" s="661">
        <v>488.93878047700002</v>
      </c>
      <c r="T15" s="661">
        <v>493.99080792799998</v>
      </c>
      <c r="U15" s="601">
        <v>470.44578673500001</v>
      </c>
      <c r="V15" s="613"/>
      <c r="W15" s="460">
        <f>Q15</f>
        <v>466.33601045500001</v>
      </c>
      <c r="X15" s="463">
        <f>U15</f>
        <v>470.44578673500001</v>
      </c>
      <c r="Y15" s="464">
        <f t="shared" si="1"/>
        <v>8.8129588965895067E-3</v>
      </c>
      <c r="Z15" s="464">
        <f t="shared" si="0"/>
        <v>-4.7662830967702186E-2</v>
      </c>
    </row>
    <row r="16" spans="1:36" ht="12" customHeight="1">
      <c r="A16" s="140"/>
      <c r="B16" s="140"/>
      <c r="C16" s="149" t="s">
        <v>41</v>
      </c>
      <c r="F16" s="845" t="s">
        <v>193</v>
      </c>
      <c r="G16" s="845"/>
      <c r="H16" s="845"/>
      <c r="I16" s="275" t="s">
        <v>194</v>
      </c>
      <c r="J16" s="277">
        <v>2374.2275592430001</v>
      </c>
      <c r="K16" s="277">
        <v>2485.6859630529998</v>
      </c>
      <c r="L16" s="332">
        <v>2505.5122415689998</v>
      </c>
      <c r="M16" s="361">
        <v>2574.8293564720002</v>
      </c>
      <c r="N16" s="521">
        <v>2541.8022014869998</v>
      </c>
      <c r="O16" s="277">
        <v>2691.1530632389999</v>
      </c>
      <c r="P16" s="277">
        <v>2754.0303232739998</v>
      </c>
      <c r="Q16" s="361">
        <v>2859.0489075420001</v>
      </c>
      <c r="R16" s="604">
        <v>2671.0888680560001</v>
      </c>
      <c r="S16" s="659">
        <v>2661.1771350049999</v>
      </c>
      <c r="T16" s="659">
        <v>2744.2352676780001</v>
      </c>
      <c r="U16" s="598">
        <v>2796.980899869</v>
      </c>
      <c r="V16" s="613"/>
      <c r="W16" s="277">
        <f>N16</f>
        <v>2541.8022014869998</v>
      </c>
      <c r="X16" s="370">
        <f>R16</f>
        <v>2671.0888680560001</v>
      </c>
      <c r="Y16" s="297">
        <f t="shared" si="1"/>
        <v>5.0864186048780624E-2</v>
      </c>
      <c r="Z16" s="297">
        <f t="shared" si="0"/>
        <v>1.9220509261724139E-2</v>
      </c>
      <c r="AB16" s="291"/>
    </row>
    <row r="17" spans="1:36" ht="12.75" customHeight="1">
      <c r="A17" s="140"/>
      <c r="B17" s="140"/>
      <c r="C17" s="149"/>
      <c r="F17" s="845"/>
      <c r="G17" s="845"/>
      <c r="H17" s="845"/>
      <c r="I17" s="96" t="s">
        <v>199</v>
      </c>
      <c r="J17" s="343">
        <v>176.27019562999999</v>
      </c>
      <c r="K17" s="343">
        <v>182.51134541299999</v>
      </c>
      <c r="L17" s="344">
        <v>202.10480994400001</v>
      </c>
      <c r="M17" s="362">
        <v>199.27530239000001</v>
      </c>
      <c r="N17" s="522">
        <v>204.34755168500001</v>
      </c>
      <c r="O17" s="343">
        <v>139.16708183700001</v>
      </c>
      <c r="P17" s="343">
        <v>223.58701203199999</v>
      </c>
      <c r="Q17" s="362">
        <v>164.87391336300001</v>
      </c>
      <c r="R17" s="603">
        <v>190.381421389</v>
      </c>
      <c r="S17" s="648">
        <v>112.504863989</v>
      </c>
      <c r="T17" s="648">
        <v>122.96215785299999</v>
      </c>
      <c r="U17" s="599">
        <v>103.283784295</v>
      </c>
      <c r="V17" s="345"/>
      <c r="W17" s="343">
        <f>+SUM(N17:Q17)</f>
        <v>731.97555891700006</v>
      </c>
      <c r="X17" s="371">
        <f>+SUM(R17:U17)</f>
        <v>529.13222752600007</v>
      </c>
      <c r="Y17" s="261">
        <f t="shared" si="1"/>
        <v>-0.27711770720226192</v>
      </c>
      <c r="Z17" s="261">
        <f t="shared" si="0"/>
        <v>-0.16003617371842727</v>
      </c>
      <c r="AA17" s="69"/>
    </row>
    <row r="18" spans="1:36" ht="12" customHeight="1">
      <c r="A18" s="140"/>
      <c r="B18" s="140" t="s">
        <v>176</v>
      </c>
      <c r="C18" s="149"/>
      <c r="F18" s="845"/>
      <c r="G18" s="845"/>
      <c r="H18" s="845"/>
      <c r="I18" s="96" t="s">
        <v>189</v>
      </c>
      <c r="J18" s="343">
        <v>24.046935778999998</v>
      </c>
      <c r="K18" s="343">
        <v>25.404215676</v>
      </c>
      <c r="L18" s="344">
        <v>26.164300476000001</v>
      </c>
      <c r="M18" s="362">
        <v>26.195682157</v>
      </c>
      <c r="N18" s="522">
        <v>26.487817668000002</v>
      </c>
      <c r="O18" s="343">
        <v>27.797606349999999</v>
      </c>
      <c r="P18" s="343">
        <v>29.056259955000002</v>
      </c>
      <c r="Q18" s="362">
        <v>30.095155524999999</v>
      </c>
      <c r="R18" s="603">
        <v>27.804561703000001</v>
      </c>
      <c r="S18" s="648">
        <v>27.189727489999999</v>
      </c>
      <c r="T18" s="648">
        <v>27.696868264999999</v>
      </c>
      <c r="U18" s="599">
        <v>27.814267753999999</v>
      </c>
      <c r="V18" s="345"/>
      <c r="W18" s="343">
        <f>+SUM(N18:Q18)</f>
        <v>113.436839498</v>
      </c>
      <c r="X18" s="371">
        <f>+SUM(R18:U18)</f>
        <v>110.50542521199999</v>
      </c>
      <c r="Y18" s="261">
        <f t="shared" si="1"/>
        <v>-2.5841702163671876E-2</v>
      </c>
      <c r="Z18" s="261">
        <f t="shared" si="0"/>
        <v>4.238741519809075E-3</v>
      </c>
      <c r="AA18" s="69"/>
      <c r="AC18" s="795"/>
    </row>
    <row r="19" spans="1:36" ht="12" customHeight="1">
      <c r="A19" s="140"/>
      <c r="B19" s="140"/>
      <c r="C19" s="149" t="s">
        <v>33</v>
      </c>
      <c r="F19" s="845"/>
      <c r="G19" s="845"/>
      <c r="H19" s="845"/>
      <c r="I19" s="96" t="s">
        <v>195</v>
      </c>
      <c r="J19" s="343">
        <v>-64.854476321000007</v>
      </c>
      <c r="K19" s="343">
        <v>-62.556587888999999</v>
      </c>
      <c r="L19" s="344">
        <v>-67.574855672623073</v>
      </c>
      <c r="M19" s="362">
        <v>-62.725569120999999</v>
      </c>
      <c r="N19" s="522">
        <v>-64.195658537</v>
      </c>
      <c r="O19" s="343">
        <v>-65.242771102999995</v>
      </c>
      <c r="P19" s="343">
        <v>-66.755484929000005</v>
      </c>
      <c r="Q19" s="362">
        <v>-63.792042762999998</v>
      </c>
      <c r="R19" s="603">
        <v>-62.317686078000001</v>
      </c>
      <c r="S19" s="648">
        <v>-63.745713754000001</v>
      </c>
      <c r="T19" s="648">
        <v>-63.797645989999999</v>
      </c>
      <c r="U19" s="599">
        <v>-56.890212413</v>
      </c>
      <c r="V19" s="345"/>
      <c r="W19" s="343">
        <f>+SUM(N19:Q19)</f>
        <v>-259.985957332</v>
      </c>
      <c r="X19" s="371">
        <f>+SUM(R19:U19)</f>
        <v>-246.75125823499999</v>
      </c>
      <c r="Y19" s="261" t="str">
        <f t="shared" si="1"/>
        <v>n.a.</v>
      </c>
      <c r="Z19" s="261" t="str">
        <f t="shared" si="0"/>
        <v>n.a.</v>
      </c>
      <c r="AA19" s="69"/>
      <c r="AC19" s="291"/>
    </row>
    <row r="20" spans="1:36" ht="12" customHeight="1">
      <c r="A20" s="140"/>
      <c r="B20" s="140"/>
      <c r="C20" s="149" t="s">
        <v>29</v>
      </c>
      <c r="F20" s="845"/>
      <c r="G20" s="845"/>
      <c r="H20" s="845"/>
      <c r="I20" s="96" t="s">
        <v>161</v>
      </c>
      <c r="J20" s="343">
        <v>-24.004251278000083</v>
      </c>
      <c r="K20" s="343">
        <v>-125.53269468400003</v>
      </c>
      <c r="L20" s="344">
        <v>-91.377139844376416</v>
      </c>
      <c r="M20" s="362">
        <v>-195.77257041100074</v>
      </c>
      <c r="N20" s="522">
        <v>-17.288849063999805</v>
      </c>
      <c r="O20" s="343">
        <v>-38.844657049000034</v>
      </c>
      <c r="P20" s="343">
        <v>-80.86920278999969</v>
      </c>
      <c r="Q20" s="362">
        <v>-319.1370656109998</v>
      </c>
      <c r="R20" s="603">
        <v>-165.78003006500057</v>
      </c>
      <c r="S20" s="648">
        <v>7.1092549479999434</v>
      </c>
      <c r="T20" s="648">
        <v>-34.115747936999924</v>
      </c>
      <c r="U20" s="599">
        <v>-414.09325888800004</v>
      </c>
      <c r="V20" s="345"/>
      <c r="W20" s="343">
        <f>+SUM(N20:Q20)</f>
        <v>-456.13977451399933</v>
      </c>
      <c r="X20" s="371">
        <f>+SUM(R20:U20)</f>
        <v>-606.87978194200059</v>
      </c>
      <c r="Y20" s="261" t="str">
        <f t="shared" si="1"/>
        <v>n.a.</v>
      </c>
      <c r="Z20" s="261" t="str">
        <f t="shared" si="0"/>
        <v>n.a.</v>
      </c>
      <c r="AA20" s="69"/>
    </row>
    <row r="21" spans="1:36" ht="12" customHeight="1">
      <c r="A21" s="140"/>
      <c r="B21" s="140"/>
      <c r="C21" s="149" t="s">
        <v>30</v>
      </c>
      <c r="F21" s="846"/>
      <c r="G21" s="846"/>
      <c r="H21" s="846"/>
      <c r="I21" s="256" t="s">
        <v>196</v>
      </c>
      <c r="J21" s="254">
        <v>2485.6859630529998</v>
      </c>
      <c r="K21" s="254">
        <v>2505.5122415689998</v>
      </c>
      <c r="L21" s="333">
        <v>2574.8293564720002</v>
      </c>
      <c r="M21" s="363">
        <v>2541.8022014869998</v>
      </c>
      <c r="N21" s="525">
        <v>2691.1530632389999</v>
      </c>
      <c r="O21" s="254">
        <v>2754.0303232739998</v>
      </c>
      <c r="P21" s="254">
        <v>2859.0489075420001</v>
      </c>
      <c r="Q21" s="363">
        <v>2671.0888680560001</v>
      </c>
      <c r="R21" s="607">
        <v>2661.1771350049999</v>
      </c>
      <c r="S21" s="662">
        <v>2744.2352676780001</v>
      </c>
      <c r="T21" s="662">
        <v>2796.980899869</v>
      </c>
      <c r="U21" s="650">
        <v>2457.0954806169998</v>
      </c>
      <c r="V21" s="3"/>
      <c r="W21" s="254">
        <f>Q21</f>
        <v>2671.0888680560001</v>
      </c>
      <c r="X21" s="372">
        <f>U21</f>
        <v>2457.0954806169998</v>
      </c>
      <c r="Y21" s="296">
        <f t="shared" si="1"/>
        <v>-8.0114667842017595E-2</v>
      </c>
      <c r="Z21" s="296">
        <f t="shared" si="0"/>
        <v>-0.12151867036346231</v>
      </c>
    </row>
    <row r="22" spans="1:36" ht="12" customHeight="1">
      <c r="A22" s="140"/>
      <c r="B22" s="140"/>
      <c r="C22" s="149" t="s">
        <v>31</v>
      </c>
      <c r="F22" s="96"/>
      <c r="G22" s="96"/>
      <c r="H22" s="96"/>
      <c r="I22" s="96"/>
      <c r="J22" s="394"/>
      <c r="K22" s="394"/>
      <c r="L22" s="394"/>
      <c r="M22" s="394"/>
      <c r="N22" s="394"/>
      <c r="P22" s="191"/>
      <c r="Q22" s="291"/>
      <c r="R22" s="394"/>
      <c r="T22" s="191"/>
      <c r="U22" s="291"/>
      <c r="V22" s="3"/>
      <c r="W22" s="291"/>
      <c r="X22" s="291"/>
      <c r="Y22" s="291"/>
    </row>
    <row r="23" spans="1:36" ht="12" customHeight="1">
      <c r="A23" s="140"/>
      <c r="B23" s="140"/>
      <c r="C23" s="149"/>
      <c r="F23" s="96"/>
      <c r="G23" s="96"/>
      <c r="H23" s="96"/>
      <c r="I23" s="96"/>
      <c r="J23" s="80"/>
      <c r="L23" s="80"/>
      <c r="N23" s="80"/>
      <c r="P23" s="80"/>
      <c r="R23" s="80"/>
      <c r="S23" s="191"/>
      <c r="T23" s="80"/>
      <c r="V23" s="3"/>
    </row>
    <row r="24" spans="1:36" ht="18" customHeight="1">
      <c r="A24" s="140"/>
      <c r="B24" s="140" t="s">
        <v>181</v>
      </c>
      <c r="C24" s="149"/>
      <c r="F24" s="92" t="s">
        <v>166</v>
      </c>
      <c r="G24" s="96"/>
      <c r="H24" s="96"/>
      <c r="I24" s="96"/>
      <c r="J24" s="80"/>
      <c r="L24" s="80"/>
      <c r="N24" s="80"/>
      <c r="P24" s="80"/>
      <c r="R24" s="80"/>
      <c r="T24" s="80"/>
      <c r="V24" s="3"/>
    </row>
    <row r="25" spans="1:36" ht="12" customHeight="1">
      <c r="A25" s="140"/>
      <c r="B25" s="140"/>
      <c r="C25" s="149" t="s">
        <v>32</v>
      </c>
      <c r="F25" s="249" t="s">
        <v>167</v>
      </c>
      <c r="G25" s="249"/>
      <c r="H25" s="249"/>
      <c r="I25" s="249"/>
      <c r="J25" s="838" t="s">
        <v>214</v>
      </c>
      <c r="K25" s="838"/>
      <c r="L25" s="838"/>
      <c r="M25" s="839"/>
      <c r="N25" s="840" t="s">
        <v>216</v>
      </c>
      <c r="O25" s="844"/>
      <c r="P25" s="838"/>
      <c r="Q25" s="839"/>
      <c r="R25" s="840" t="s">
        <v>237</v>
      </c>
      <c r="S25" s="838"/>
      <c r="T25" s="838"/>
      <c r="U25" s="838"/>
      <c r="V25" s="3"/>
      <c r="W25" s="838" t="s">
        <v>225</v>
      </c>
      <c r="X25" s="841"/>
      <c r="Y25" s="471"/>
      <c r="Z25" s="351"/>
    </row>
    <row r="26" spans="1:36" ht="12" customHeight="1">
      <c r="A26" s="140"/>
      <c r="B26" s="140"/>
      <c r="C26" s="149" t="s">
        <v>34</v>
      </c>
      <c r="F26" s="250" t="s">
        <v>168</v>
      </c>
      <c r="G26" s="250"/>
      <c r="H26" s="250"/>
      <c r="I26" s="250"/>
      <c r="J26" s="302">
        <v>45016</v>
      </c>
      <c r="K26" s="302">
        <v>45107</v>
      </c>
      <c r="L26" s="302">
        <v>45199</v>
      </c>
      <c r="M26" s="317">
        <v>45291</v>
      </c>
      <c r="N26" s="520">
        <v>45382</v>
      </c>
      <c r="O26" s="302">
        <v>45473</v>
      </c>
      <c r="P26" s="302">
        <v>45565</v>
      </c>
      <c r="Q26" s="317">
        <v>45657</v>
      </c>
      <c r="R26" s="302">
        <v>45747</v>
      </c>
      <c r="S26" s="302">
        <v>45838</v>
      </c>
      <c r="T26" s="302">
        <v>45930</v>
      </c>
      <c r="U26" s="302">
        <v>46022</v>
      </c>
      <c r="V26" s="3"/>
      <c r="W26" s="303" t="s">
        <v>266</v>
      </c>
      <c r="X26" s="369" t="s">
        <v>267</v>
      </c>
      <c r="Y26" s="303" t="s">
        <v>23</v>
      </c>
      <c r="Z26" s="276" t="s">
        <v>24</v>
      </c>
      <c r="AB26" s="748"/>
    </row>
    <row r="27" spans="1:36" ht="12" customHeight="1">
      <c r="A27" s="140"/>
      <c r="B27" s="140"/>
      <c r="C27" s="149" t="s">
        <v>35</v>
      </c>
      <c r="F27" s="255" t="s">
        <v>170</v>
      </c>
      <c r="G27" s="255"/>
      <c r="H27" s="255"/>
      <c r="I27" s="255"/>
      <c r="J27" s="257">
        <v>174.5</v>
      </c>
      <c r="K27" s="257">
        <v>179.19630038900814</v>
      </c>
      <c r="L27" s="257">
        <v>192.64373597996689</v>
      </c>
      <c r="M27" s="364">
        <v>168.14716699057556</v>
      </c>
      <c r="N27" s="526">
        <v>201.87665610707103</v>
      </c>
      <c r="O27" s="519">
        <v>125.96195087227278</v>
      </c>
      <c r="P27" s="519">
        <v>220.25457415810843</v>
      </c>
      <c r="Q27" s="364">
        <v>164.60675323443346</v>
      </c>
      <c r="R27" s="608">
        <v>190.08209279137756</v>
      </c>
      <c r="S27" s="608">
        <v>111.85240649295027</v>
      </c>
      <c r="T27" s="608">
        <v>118.7508918179775</v>
      </c>
      <c r="U27" s="473">
        <v>100.53122846266531</v>
      </c>
      <c r="V27" s="3"/>
      <c r="W27" s="257">
        <f>+SUM(N27:Q27)</f>
        <v>712.69993437188566</v>
      </c>
      <c r="X27" s="373">
        <f>+SUM(R27:U27)</f>
        <v>521.21661956497064</v>
      </c>
      <c r="Y27" s="337">
        <f>IF(X27/W27&lt;0,"n.a.",IF(W27&gt;0,ROUND(X27,4)/ROUND(W27,4)-1,IF(W27&lt;0,"n.a.")))</f>
        <v>-0.26867311192270404</v>
      </c>
      <c r="Z27" s="337">
        <f>IF(U27/T27&lt;0,"n.a.",IF(T27&gt;0,ROUND(U27,4)/ROUND(T27,4)-1,IF(T27&lt;0,"n.a.")))</f>
        <v>-0.15342788980967725</v>
      </c>
      <c r="AB27" s="749"/>
      <c r="AC27" s="291"/>
      <c r="AD27" s="291"/>
      <c r="AE27" s="291"/>
      <c r="AG27" s="291"/>
      <c r="AH27" s="291"/>
    </row>
    <row r="28" spans="1:36" ht="12" customHeight="1">
      <c r="A28" s="140"/>
      <c r="B28" s="140"/>
      <c r="C28" s="149"/>
      <c r="F28" s="253"/>
      <c r="G28" s="253"/>
      <c r="H28" s="253" t="s">
        <v>58</v>
      </c>
      <c r="I28" s="253"/>
      <c r="J28" s="278">
        <v>91.6</v>
      </c>
      <c r="K28" s="278">
        <v>79.369227578910142</v>
      </c>
      <c r="L28" s="278">
        <v>87.475032149784795</v>
      </c>
      <c r="M28" s="365">
        <v>70.379793013645227</v>
      </c>
      <c r="N28" s="527">
        <v>95.130012404776735</v>
      </c>
      <c r="O28" s="359">
        <v>54.679755885473405</v>
      </c>
      <c r="P28" s="359">
        <v>61.939992928680567</v>
      </c>
      <c r="Q28" s="365">
        <v>56.841553210988351</v>
      </c>
      <c r="R28" s="359">
        <v>24.364909669191725</v>
      </c>
      <c r="S28" s="359">
        <v>20.799177786175107</v>
      </c>
      <c r="T28" s="359">
        <v>24.486238661436516</v>
      </c>
      <c r="U28" s="474">
        <v>33.363700253714789</v>
      </c>
      <c r="V28" s="3"/>
      <c r="W28" s="509">
        <f>+SUM(N28:Q28)</f>
        <v>268.59131442991907</v>
      </c>
      <c r="X28" s="541">
        <f>+SUM(R28:U28)</f>
        <v>103.01402637051814</v>
      </c>
      <c r="Y28" s="338">
        <f>IF(X28/W28&lt;0,"n.a.",IF(W28&gt;0,ROUND(X28,4)/ROUND(W28,4)-1,IF(W28&lt;0,"n.a.")))</f>
        <v>-0.61646561150714851</v>
      </c>
      <c r="Z28" s="338">
        <f>IF(U28/T28&lt;0,"n.a.",IF(T28&gt;0,ROUND(U28,4)/ROUND(T28,4)-1,IF(T28&lt;0,"n.a.")))</f>
        <v>0.36255115126071025</v>
      </c>
      <c r="AB28" s="777"/>
      <c r="AC28" s="777"/>
      <c r="AD28" s="832"/>
      <c r="AE28" s="750"/>
      <c r="AF28" s="291"/>
      <c r="AG28" s="291"/>
      <c r="AH28" s="291"/>
    </row>
    <row r="29" spans="1:36" ht="12" customHeight="1">
      <c r="A29" s="140"/>
      <c r="B29" s="140"/>
      <c r="C29" s="149"/>
      <c r="F29" s="279"/>
      <c r="G29" s="279"/>
      <c r="H29" s="279" t="s">
        <v>169</v>
      </c>
      <c r="I29" s="279"/>
      <c r="J29" s="280">
        <v>82.9</v>
      </c>
      <c r="K29" s="280">
        <v>99.827072810098002</v>
      </c>
      <c r="L29" s="280">
        <v>105.16870383018252</v>
      </c>
      <c r="M29" s="366">
        <v>97.767373976930315</v>
      </c>
      <c r="N29" s="528">
        <v>106.74664370229429</v>
      </c>
      <c r="O29" s="360">
        <v>71.282194986799368</v>
      </c>
      <c r="P29" s="360">
        <v>158.31458122942786</v>
      </c>
      <c r="Q29" s="366">
        <v>107.7652000234451</v>
      </c>
      <c r="R29" s="360">
        <v>165.71718312218584</v>
      </c>
      <c r="S29" s="360">
        <v>91.053228706775158</v>
      </c>
      <c r="T29" s="360">
        <v>94.264653156540987</v>
      </c>
      <c r="U29" s="475">
        <v>67.167528208950515</v>
      </c>
      <c r="V29" s="3"/>
      <c r="W29" s="510">
        <f>+SUM(N29:Q29)</f>
        <v>444.10861994196665</v>
      </c>
      <c r="X29" s="542">
        <f>+SUM(R29:U29)</f>
        <v>418.2025931944525</v>
      </c>
      <c r="Y29" s="339">
        <f>IF(X29/W29&lt;0,"n.a.",IF(W29&gt;0,ROUND(X29,4)/ROUND(W29,4)-1,IF(W29&lt;0,"n.a.")))</f>
        <v>-5.8332579013331443E-2</v>
      </c>
      <c r="Z29" s="339">
        <f>IF(U29/T29&lt;0,"n.a.",IF(T29&gt;0,ROUND(U29,4)/ROUND(T29,4)-1,IF(T29&lt;0,"n.a.")))</f>
        <v>-0.2874586138819728</v>
      </c>
      <c r="AB29" s="749"/>
      <c r="AC29" s="777"/>
      <c r="AD29" s="832"/>
      <c r="AG29" s="751"/>
      <c r="AH29" s="291"/>
    </row>
    <row r="30" spans="1:36" ht="12" customHeight="1">
      <c r="A30" s="140"/>
      <c r="B30" s="140" t="s">
        <v>185</v>
      </c>
      <c r="C30" s="149"/>
      <c r="F30" s="281" t="s">
        <v>236</v>
      </c>
      <c r="G30" s="281"/>
      <c r="H30" s="281"/>
      <c r="I30" s="281"/>
      <c r="J30" s="282">
        <v>1.8</v>
      </c>
      <c r="K30" s="282">
        <v>3.3150450261098214</v>
      </c>
      <c r="L30" s="282">
        <v>9.4610739664729948</v>
      </c>
      <c r="M30" s="367">
        <v>31.128135401705872</v>
      </c>
      <c r="N30" s="529">
        <v>2.470895574239766</v>
      </c>
      <c r="O30" s="438">
        <v>13.20513096698291</v>
      </c>
      <c r="P30" s="438">
        <v>3.3324378734962763</v>
      </c>
      <c r="Q30" s="367">
        <v>0.26716012496512959</v>
      </c>
      <c r="R30" s="609">
        <v>0.29932859355771668</v>
      </c>
      <c r="S30" s="609">
        <v>0.6524574941318092</v>
      </c>
      <c r="T30" s="609">
        <v>4.2112660281438288</v>
      </c>
      <c r="U30" s="476">
        <v>2.7525558362081495</v>
      </c>
      <c r="V30" s="3"/>
      <c r="W30" s="282">
        <f>+SUM(N30:Q30)</f>
        <v>19.275624539684081</v>
      </c>
      <c r="X30" s="374">
        <f>+SUM(R30:U30)</f>
        <v>7.9156079520415048</v>
      </c>
      <c r="Y30" s="340">
        <f>IF(X30/W30&lt;0,"n.a.",IF(W30&gt;0,ROUND(X30,4)/ROUND(W30,4)-1,IF(W30&lt;0,"n.a.")))</f>
        <v>-0.58934611633360312</v>
      </c>
      <c r="Z30" s="340">
        <f>IF(U30/T30&lt;0,"n.a.",IF(T30&gt;0,ROUND(U30,4)/ROUND(T30,4)-1,IF(T30&lt;0,"n.a.")))</f>
        <v>-0.34637760311542742</v>
      </c>
      <c r="AB30" s="749"/>
      <c r="AC30" s="777"/>
      <c r="AD30" s="832"/>
      <c r="AG30" s="751"/>
    </row>
    <row r="31" spans="1:36" s="3" customFormat="1" ht="12" customHeight="1">
      <c r="A31" s="140"/>
      <c r="B31" s="140"/>
      <c r="C31" s="149" t="s">
        <v>147</v>
      </c>
      <c r="D31" s="1"/>
      <c r="F31" s="267" t="s">
        <v>117</v>
      </c>
      <c r="G31" s="267"/>
      <c r="H31" s="267"/>
      <c r="I31" s="267"/>
      <c r="J31" s="258">
        <v>176.3</v>
      </c>
      <c r="K31" s="258">
        <v>182.51134541511797</v>
      </c>
      <c r="L31" s="258">
        <v>202.1048099464399</v>
      </c>
      <c r="M31" s="368">
        <v>199.27530239228142</v>
      </c>
      <c r="N31" s="530">
        <v>204.34755168131079</v>
      </c>
      <c r="O31" s="265">
        <v>139.1670818392557</v>
      </c>
      <c r="P31" s="265">
        <v>223.5870120316047</v>
      </c>
      <c r="Q31" s="368">
        <v>164.87391335939859</v>
      </c>
      <c r="R31" s="584">
        <v>190.38142138493527</v>
      </c>
      <c r="S31" s="584">
        <v>112.50486398708208</v>
      </c>
      <c r="T31" s="584">
        <v>122.96215784612133</v>
      </c>
      <c r="U31" s="477">
        <v>103.28378429887346</v>
      </c>
      <c r="W31" s="511">
        <f>+SUM(N31:Q31)</f>
        <v>731.97555891156969</v>
      </c>
      <c r="X31" s="543">
        <f>+SUM(R31:U31)</f>
        <v>529.1322275170121</v>
      </c>
      <c r="Y31" s="341">
        <f>IF(X31/W31&lt;0,"n.a.",IF(W31&gt;0,ROUND(X31,4)/ROUND(W31,4)-1,IF(W31&lt;0,"n.a.")))</f>
        <v>-0.27711770720226192</v>
      </c>
      <c r="Z31" s="341">
        <f>IF(U31/T31&lt;0,"n.a.",IF(T31&gt;0,ROUND(U31,4)/ROUND(T31,4)-1,IF(T31&lt;0,"n.a.")))</f>
        <v>-0.16003617371842727</v>
      </c>
      <c r="AB31" s="752"/>
      <c r="AC31" s="777"/>
      <c r="AD31" s="291"/>
      <c r="AE31" s="747"/>
      <c r="AF31" s="747"/>
      <c r="AG31" s="751"/>
      <c r="AH31" s="747"/>
      <c r="AI31" s="747"/>
      <c r="AJ31" s="747"/>
    </row>
    <row r="32" spans="1:36" ht="12" customHeight="1">
      <c r="A32" s="140"/>
      <c r="B32" s="140"/>
      <c r="C32" s="149" t="s">
        <v>36</v>
      </c>
      <c r="J32" s="191"/>
      <c r="K32" s="191"/>
      <c r="L32" s="191"/>
      <c r="M32" s="191"/>
      <c r="N32" s="675"/>
      <c r="O32" s="69"/>
      <c r="P32" s="69"/>
      <c r="Q32" s="69"/>
      <c r="R32" s="675"/>
      <c r="S32" s="69"/>
      <c r="T32" s="69"/>
      <c r="V32" s="3"/>
      <c r="W32" s="191"/>
      <c r="X32" s="191"/>
      <c r="Y32" s="70"/>
    </row>
    <row r="33" spans="1:31" ht="12" customHeight="1">
      <c r="A33" s="140"/>
      <c r="B33" s="140"/>
      <c r="C33" s="149"/>
      <c r="J33" s="62"/>
      <c r="K33" s="62"/>
      <c r="L33" s="62"/>
      <c r="M33" s="62"/>
      <c r="N33" s="406"/>
      <c r="O33" s="62"/>
      <c r="P33" s="62"/>
      <c r="Q33" s="62"/>
      <c r="R33" s="406"/>
      <c r="S33" s="62"/>
      <c r="T33" s="62"/>
      <c r="U33" s="62"/>
      <c r="V33" s="3"/>
      <c r="W33" s="62"/>
      <c r="X33" s="62"/>
      <c r="Y33" s="62"/>
      <c r="Z33" s="62"/>
      <c r="AA33" s="62"/>
    </row>
    <row r="34" spans="1:31" ht="20.25" customHeight="1">
      <c r="A34" s="140"/>
      <c r="B34" s="140" t="s">
        <v>188</v>
      </c>
      <c r="C34" s="149"/>
      <c r="F34" s="92" t="s">
        <v>221</v>
      </c>
      <c r="G34" s="96"/>
      <c r="H34" s="96"/>
      <c r="I34" s="96"/>
      <c r="J34" s="394"/>
      <c r="L34" s="80"/>
      <c r="N34" s="394"/>
      <c r="P34" s="80"/>
      <c r="R34" s="394"/>
      <c r="T34" s="80"/>
      <c r="V34" s="3"/>
      <c r="AA34" s="3"/>
    </row>
    <row r="35" spans="1:31" ht="12" customHeight="1">
      <c r="A35" s="140"/>
      <c r="B35" s="140"/>
      <c r="C35" s="149" t="s">
        <v>37</v>
      </c>
      <c r="F35" s="249" t="s">
        <v>167</v>
      </c>
      <c r="G35" s="249"/>
      <c r="H35" s="249"/>
      <c r="I35" s="249"/>
      <c r="J35" s="838" t="s">
        <v>214</v>
      </c>
      <c r="K35" s="838"/>
      <c r="L35" s="838"/>
      <c r="M35" s="839"/>
      <c r="N35" s="840" t="s">
        <v>216</v>
      </c>
      <c r="O35" s="838"/>
      <c r="P35" s="838"/>
      <c r="Q35" s="839"/>
      <c r="R35" s="840" t="s">
        <v>237</v>
      </c>
      <c r="S35" s="838"/>
      <c r="T35" s="838"/>
      <c r="U35" s="838"/>
      <c r="V35" s="3"/>
      <c r="W35" s="838" t="s">
        <v>225</v>
      </c>
      <c r="X35" s="841"/>
      <c r="Y35" s="471"/>
      <c r="Z35" s="351"/>
      <c r="AA35" s="3"/>
    </row>
    <row r="36" spans="1:31" ht="12" customHeight="1">
      <c r="A36" s="140"/>
      <c r="B36" s="140"/>
      <c r="C36" s="149" t="s">
        <v>38</v>
      </c>
      <c r="F36" s="250" t="s">
        <v>168</v>
      </c>
      <c r="G36" s="250"/>
      <c r="H36" s="250"/>
      <c r="I36" s="250"/>
      <c r="J36" s="302">
        <v>45016</v>
      </c>
      <c r="K36" s="302">
        <v>45107</v>
      </c>
      <c r="L36" s="302">
        <v>45199</v>
      </c>
      <c r="M36" s="317">
        <v>45291</v>
      </c>
      <c r="N36" s="520">
        <v>45382</v>
      </c>
      <c r="O36" s="302">
        <v>45473</v>
      </c>
      <c r="P36" s="302">
        <v>45565</v>
      </c>
      <c r="Q36" s="317">
        <v>45657</v>
      </c>
      <c r="R36" s="302">
        <v>45747</v>
      </c>
      <c r="S36" s="302">
        <v>45838</v>
      </c>
      <c r="T36" s="302">
        <v>45930</v>
      </c>
      <c r="U36" s="302">
        <v>46022</v>
      </c>
      <c r="V36" s="3"/>
      <c r="W36" s="303" t="s">
        <v>266</v>
      </c>
      <c r="X36" s="369" t="s">
        <v>267</v>
      </c>
      <c r="Y36" s="303" t="s">
        <v>23</v>
      </c>
      <c r="Z36" s="276" t="s">
        <v>24</v>
      </c>
      <c r="AA36" s="3"/>
      <c r="AB36" s="748"/>
    </row>
    <row r="37" spans="1:31" ht="12" customHeight="1">
      <c r="A37" s="25"/>
      <c r="F37" s="255" t="s">
        <v>170</v>
      </c>
      <c r="G37" s="255"/>
      <c r="H37" s="255"/>
      <c r="I37" s="255"/>
      <c r="J37" s="395">
        <v>1.1176912184934895</v>
      </c>
      <c r="K37" s="395">
        <v>1.1312300946749203</v>
      </c>
      <c r="L37" s="395">
        <v>1.1114726561163286</v>
      </c>
      <c r="M37" s="396">
        <v>1.1822270354199731</v>
      </c>
      <c r="N37" s="531">
        <v>0.87019671994708592</v>
      </c>
      <c r="O37" s="431">
        <v>0.81022543212521547</v>
      </c>
      <c r="P37" s="431">
        <v>0.85803071747885229</v>
      </c>
      <c r="Q37" s="396">
        <v>0.75546156683943966</v>
      </c>
      <c r="R37" s="431">
        <v>1.0389892990020899</v>
      </c>
      <c r="S37" s="431">
        <v>0.73349618276669504</v>
      </c>
      <c r="T37" s="431">
        <v>0.76006570649323713</v>
      </c>
      <c r="U37" s="518">
        <v>0.74501428823013505</v>
      </c>
      <c r="V37" s="3"/>
      <c r="W37" s="431">
        <v>0.82675802704042256</v>
      </c>
      <c r="X37" s="575">
        <v>0.8317938988044169</v>
      </c>
      <c r="Y37" s="421">
        <f>X37-W37</f>
        <v>5.0358717639943373E-3</v>
      </c>
      <c r="Z37" s="421">
        <f>U37-T37</f>
        <v>-1.5051418263102079E-2</v>
      </c>
      <c r="AA37" s="3"/>
      <c r="AD37" s="431"/>
      <c r="AE37" s="431"/>
    </row>
    <row r="38" spans="1:31" ht="12" customHeight="1">
      <c r="A38" s="25"/>
      <c r="F38" s="253"/>
      <c r="G38" s="253"/>
      <c r="H38" s="253" t="s">
        <v>58</v>
      </c>
      <c r="I38" s="253"/>
      <c r="J38" s="397">
        <v>0.87018020819974251</v>
      </c>
      <c r="K38" s="397">
        <v>0.84380308932607584</v>
      </c>
      <c r="L38" s="397">
        <v>0.87386043372099076</v>
      </c>
      <c r="M38" s="398">
        <v>0.9373135719443707</v>
      </c>
      <c r="N38" s="532">
        <v>0.64258580046596347</v>
      </c>
      <c r="O38" s="432">
        <v>0.62791696226102434</v>
      </c>
      <c r="P38" s="432">
        <v>0.54443529660036116</v>
      </c>
      <c r="Q38" s="398">
        <v>0.4970869282541957</v>
      </c>
      <c r="R38" s="432">
        <v>0.36687916569613238</v>
      </c>
      <c r="S38" s="432">
        <v>0.425483713113055</v>
      </c>
      <c r="T38" s="432">
        <v>0.49007954141669785</v>
      </c>
      <c r="U38" s="478">
        <v>0.57811709378203346</v>
      </c>
      <c r="V38" s="3"/>
      <c r="W38" s="432">
        <v>0.57980744807868367</v>
      </c>
      <c r="X38" s="576">
        <v>0.46200918746176972</v>
      </c>
      <c r="Y38" s="148">
        <f>X38-W38</f>
        <v>-0.11779826061691395</v>
      </c>
      <c r="Z38" s="148">
        <f>U38-T38</f>
        <v>8.8037552365335614E-2</v>
      </c>
      <c r="AA38" s="268"/>
      <c r="AD38" s="432"/>
      <c r="AE38" s="432"/>
    </row>
    <row r="39" spans="1:31" ht="12" customHeight="1">
      <c r="A39" s="25"/>
      <c r="F39" s="279"/>
      <c r="G39" s="279"/>
      <c r="H39" s="279" t="s">
        <v>169</v>
      </c>
      <c r="I39" s="279"/>
      <c r="J39" s="399">
        <v>1.6299691537671137</v>
      </c>
      <c r="K39" s="399">
        <v>1.5513855649676209</v>
      </c>
      <c r="L39" s="399">
        <v>1.4363163050963133</v>
      </c>
      <c r="M39" s="400">
        <v>1.4561185083916668</v>
      </c>
      <c r="N39" s="533">
        <v>1.2715931057461138</v>
      </c>
      <c r="O39" s="433">
        <v>1.0423792918595238</v>
      </c>
      <c r="P39" s="433">
        <v>1.1076485867351002</v>
      </c>
      <c r="Q39" s="400">
        <v>1.0408108153149396</v>
      </c>
      <c r="R39" s="433">
        <v>1.4220040375194358</v>
      </c>
      <c r="S39" s="433">
        <v>0.87881972344309234</v>
      </c>
      <c r="T39" s="433">
        <v>0.88699754111477036</v>
      </c>
      <c r="U39" s="479">
        <v>0.86973380531836519</v>
      </c>
      <c r="V39" s="3"/>
      <c r="W39" s="433">
        <v>1.1136138269381899</v>
      </c>
      <c r="X39" s="577">
        <v>1.0360580007455304</v>
      </c>
      <c r="Y39" s="405">
        <f>X39-W39</f>
        <v>-7.7555826192659438E-2</v>
      </c>
      <c r="Z39" s="405">
        <f>U39-T39</f>
        <v>-1.7263735796405166E-2</v>
      </c>
      <c r="AA39" s="269"/>
      <c r="AD39" s="432"/>
      <c r="AE39" s="432"/>
    </row>
    <row r="40" spans="1:31" ht="12" customHeight="1">
      <c r="A40" s="25"/>
      <c r="F40" s="281" t="s">
        <v>236</v>
      </c>
      <c r="G40" s="281"/>
      <c r="H40" s="281"/>
      <c r="I40" s="281"/>
      <c r="J40" s="401">
        <v>0.18979146096382776</v>
      </c>
      <c r="K40" s="401">
        <v>0.12109722592268858</v>
      </c>
      <c r="L40" s="401">
        <v>0.28834597017431263</v>
      </c>
      <c r="M40" s="402">
        <v>0.6887655809001475</v>
      </c>
      <c r="N40" s="534">
        <v>0.25194154737871965</v>
      </c>
      <c r="O40" s="434">
        <v>0.34330015541504849</v>
      </c>
      <c r="P40" s="434">
        <v>0.40505381458175238</v>
      </c>
      <c r="Q40" s="402">
        <v>0.22560075133156252</v>
      </c>
      <c r="R40" s="434">
        <v>0.2119660608509836</v>
      </c>
      <c r="S40" s="434">
        <v>0.19958942330120744</v>
      </c>
      <c r="T40" s="434">
        <v>0.15686797983337541</v>
      </c>
      <c r="U40" s="480">
        <v>0.32997677875154285</v>
      </c>
      <c r="V40" s="3"/>
      <c r="W40" s="434">
        <v>0.33415868602085552</v>
      </c>
      <c r="X40" s="578">
        <v>0.19854170318058675</v>
      </c>
      <c r="Y40" s="422">
        <f>X40-W40</f>
        <v>-0.13561698284026877</v>
      </c>
      <c r="Z40" s="422">
        <f>U40-T40</f>
        <v>0.17310879891816744</v>
      </c>
      <c r="AA40" s="268"/>
      <c r="AD40" s="431"/>
      <c r="AE40" s="431"/>
    </row>
    <row r="41" spans="1:31" ht="12" customHeight="1">
      <c r="A41" s="25"/>
      <c r="F41" s="267" t="s">
        <v>117</v>
      </c>
      <c r="G41" s="267"/>
      <c r="H41" s="267"/>
      <c r="I41" s="267"/>
      <c r="J41" s="403">
        <v>1.0645524309289118</v>
      </c>
      <c r="K41" s="403">
        <v>0.98238765806158457</v>
      </c>
      <c r="L41" s="403">
        <v>0.98045116152160838</v>
      </c>
      <c r="M41" s="404">
        <v>1.0632367743330522</v>
      </c>
      <c r="N41" s="535">
        <v>0.84511996811475443</v>
      </c>
      <c r="O41" s="435">
        <v>0.71761288950142288</v>
      </c>
      <c r="P41" s="435">
        <v>0.84396368211363526</v>
      </c>
      <c r="Q41" s="404">
        <v>0.7525973648179457</v>
      </c>
      <c r="R41" s="435">
        <v>1.0326545402134037</v>
      </c>
      <c r="S41" s="435">
        <v>0.72229094716562414</v>
      </c>
      <c r="T41" s="435">
        <v>0.67161757805460742</v>
      </c>
      <c r="U41" s="481">
        <v>0.72085113802463974</v>
      </c>
      <c r="V41" s="3"/>
      <c r="W41" s="435">
        <v>0.79586281610833964</v>
      </c>
      <c r="X41" s="579">
        <v>0.79391319464151933</v>
      </c>
      <c r="Y41" s="423">
        <f>X41-W41</f>
        <v>-1.9496214668203171E-3</v>
      </c>
      <c r="Z41" s="423">
        <f>U41-T41</f>
        <v>4.9233559970032315E-2</v>
      </c>
      <c r="AA41" s="208"/>
      <c r="AD41" s="506"/>
      <c r="AE41" s="506"/>
    </row>
    <row r="42" spans="1:31" ht="12" customHeight="1">
      <c r="A42" s="25"/>
      <c r="J42" s="62"/>
      <c r="K42" s="62"/>
      <c r="L42" s="62"/>
      <c r="M42" s="62"/>
      <c r="N42" s="62"/>
      <c r="O42" s="62"/>
      <c r="P42" s="62"/>
      <c r="Q42" s="62"/>
      <c r="R42" s="62"/>
      <c r="S42" s="62"/>
      <c r="T42" s="62"/>
      <c r="U42" s="62"/>
      <c r="V42" s="3"/>
      <c r="W42" s="62"/>
      <c r="X42" s="62"/>
      <c r="Y42" s="62"/>
      <c r="Z42" s="62"/>
      <c r="AA42" s="268"/>
    </row>
    <row r="43" spans="1:31" ht="12" customHeight="1">
      <c r="A43" s="25"/>
      <c r="J43" s="62"/>
      <c r="K43" s="62"/>
      <c r="L43" s="62"/>
      <c r="M43" s="62"/>
      <c r="N43" s="62"/>
      <c r="O43" s="62"/>
      <c r="P43" s="62"/>
      <c r="Q43" s="62"/>
      <c r="R43" s="62"/>
      <c r="S43" s="62"/>
      <c r="T43" s="62"/>
      <c r="U43" s="62"/>
      <c r="V43" s="3"/>
      <c r="W43" s="62"/>
      <c r="X43" s="62"/>
      <c r="Y43" s="62"/>
      <c r="Z43" s="62"/>
      <c r="AA43" s="208"/>
    </row>
    <row r="44" spans="1:31" ht="19.5" customHeight="1">
      <c r="A44" s="25"/>
      <c r="F44" s="92" t="s">
        <v>223</v>
      </c>
      <c r="G44" s="96"/>
      <c r="H44" s="96"/>
      <c r="I44" s="96"/>
      <c r="J44" s="80"/>
      <c r="L44" s="80"/>
      <c r="N44" s="80"/>
      <c r="P44" s="80"/>
      <c r="R44" s="80"/>
      <c r="T44" s="80"/>
      <c r="V44" s="3"/>
      <c r="AA44" s="268"/>
    </row>
    <row r="45" spans="1:31" ht="12" customHeight="1">
      <c r="A45" s="25"/>
      <c r="F45" s="249" t="s">
        <v>167</v>
      </c>
      <c r="G45" s="249"/>
      <c r="H45" s="249"/>
      <c r="I45" s="249"/>
      <c r="J45" s="838" t="s">
        <v>214</v>
      </c>
      <c r="K45" s="838"/>
      <c r="L45" s="838"/>
      <c r="M45" s="839"/>
      <c r="N45" s="840" t="s">
        <v>216</v>
      </c>
      <c r="O45" s="838"/>
      <c r="P45" s="838"/>
      <c r="Q45" s="839"/>
      <c r="R45" s="840" t="s">
        <v>237</v>
      </c>
      <c r="S45" s="838"/>
      <c r="T45" s="838"/>
      <c r="U45" s="838"/>
      <c r="V45" s="3"/>
      <c r="W45" s="838" t="s">
        <v>225</v>
      </c>
      <c r="X45" s="841"/>
      <c r="Y45" s="471"/>
      <c r="Z45" s="351"/>
      <c r="AA45" s="268"/>
    </row>
    <row r="46" spans="1:31" ht="12" customHeight="1">
      <c r="A46" s="25"/>
      <c r="F46" s="250" t="s">
        <v>168</v>
      </c>
      <c r="G46" s="250"/>
      <c r="H46" s="250"/>
      <c r="I46" s="250"/>
      <c r="J46" s="302">
        <v>45016</v>
      </c>
      <c r="K46" s="302">
        <v>45107</v>
      </c>
      <c r="L46" s="302">
        <v>45199</v>
      </c>
      <c r="M46" s="317">
        <v>45291</v>
      </c>
      <c r="N46" s="520">
        <v>45382</v>
      </c>
      <c r="O46" s="302">
        <v>45473</v>
      </c>
      <c r="P46" s="302">
        <v>45565</v>
      </c>
      <c r="Q46" s="317">
        <v>45657</v>
      </c>
      <c r="R46" s="302">
        <v>45747</v>
      </c>
      <c r="S46" s="302">
        <v>45838</v>
      </c>
      <c r="T46" s="302">
        <v>45930</v>
      </c>
      <c r="U46" s="302">
        <v>46022</v>
      </c>
      <c r="V46" s="3"/>
      <c r="W46" s="303" t="s">
        <v>266</v>
      </c>
      <c r="X46" s="369" t="s">
        <v>267</v>
      </c>
      <c r="Y46" s="303" t="s">
        <v>23</v>
      </c>
      <c r="Z46" s="276" t="s">
        <v>24</v>
      </c>
      <c r="AA46" s="268"/>
      <c r="AB46" s="748"/>
    </row>
    <row r="47" spans="1:31" ht="12" customHeight="1">
      <c r="A47" s="25"/>
      <c r="F47" s="255" t="s">
        <v>170</v>
      </c>
      <c r="G47" s="255"/>
      <c r="H47" s="255"/>
      <c r="I47" s="255"/>
      <c r="J47" s="408">
        <v>13.412294621921873</v>
      </c>
      <c r="K47" s="408">
        <v>13.574761136099045</v>
      </c>
      <c r="L47" s="408">
        <v>13.337671873395955</v>
      </c>
      <c r="M47" s="409">
        <v>14.186724425039678</v>
      </c>
      <c r="N47" s="536">
        <v>10.442360639365031</v>
      </c>
      <c r="O47" s="492">
        <v>9.7227051855025906</v>
      </c>
      <c r="P47" s="492">
        <v>10.296368609746223</v>
      </c>
      <c r="Q47" s="409">
        <v>9.0655388020732754</v>
      </c>
      <c r="R47" s="610">
        <v>12.467871588025082</v>
      </c>
      <c r="S47" s="610">
        <v>8.8019541932003449</v>
      </c>
      <c r="T47" s="610">
        <v>9.1207884779188397</v>
      </c>
      <c r="U47" s="482">
        <v>8.9401714587616201</v>
      </c>
      <c r="V47" s="410"/>
      <c r="W47" s="610">
        <v>9.9210963244850703</v>
      </c>
      <c r="X47" s="645">
        <v>9.9815267856530028</v>
      </c>
      <c r="Y47" s="408">
        <f>+X47-W47</f>
        <v>6.0430461167932492E-2</v>
      </c>
      <c r="Z47" s="408">
        <f>+U47-T47</f>
        <v>-0.18061701915721962</v>
      </c>
      <c r="AA47" s="268"/>
    </row>
    <row r="48" spans="1:31" ht="12" customHeight="1">
      <c r="A48" s="25"/>
      <c r="F48" s="253"/>
      <c r="G48" s="253"/>
      <c r="H48" s="253" t="s">
        <v>58</v>
      </c>
      <c r="I48" s="253"/>
      <c r="J48" s="411">
        <v>10.442162498396911</v>
      </c>
      <c r="K48" s="411">
        <v>10.125637071912909</v>
      </c>
      <c r="L48" s="411">
        <v>10.486325204651898</v>
      </c>
      <c r="M48" s="412">
        <v>11.247762863332449</v>
      </c>
      <c r="N48" s="537">
        <v>7.7110296055915626</v>
      </c>
      <c r="O48" s="413">
        <v>7.535003547132292</v>
      </c>
      <c r="P48" s="413">
        <v>6.5332235592043304</v>
      </c>
      <c r="Q48" s="412">
        <v>5.9650431390503531</v>
      </c>
      <c r="R48" s="413">
        <v>4.4025499883535897</v>
      </c>
      <c r="S48" s="413">
        <v>5.1058045573566586</v>
      </c>
      <c r="T48" s="413">
        <v>5.880954497000376</v>
      </c>
      <c r="U48" s="483">
        <v>6.9374051253843998</v>
      </c>
      <c r="V48" s="410"/>
      <c r="W48" s="413">
        <v>6.957689376944205</v>
      </c>
      <c r="X48" s="580">
        <v>5.5441102495412364</v>
      </c>
      <c r="Y48" s="411">
        <f>+X48-W48</f>
        <v>-1.4135791274029685</v>
      </c>
      <c r="Z48" s="411">
        <f>+U48-T48</f>
        <v>1.0564506283840238</v>
      </c>
    </row>
    <row r="49" spans="1:26" ht="12" customHeight="1">
      <c r="F49" s="279"/>
      <c r="G49" s="279"/>
      <c r="H49" s="279" t="s">
        <v>169</v>
      </c>
      <c r="I49" s="279"/>
      <c r="J49" s="414">
        <v>19.559629845205354</v>
      </c>
      <c r="K49" s="414">
        <v>18.616626779611462</v>
      </c>
      <c r="L49" s="414">
        <v>17.235795661155777</v>
      </c>
      <c r="M49" s="415">
        <v>17.473422100699999</v>
      </c>
      <c r="N49" s="538">
        <v>15.259117268953359</v>
      </c>
      <c r="O49" s="416">
        <v>12.508551502314303</v>
      </c>
      <c r="P49" s="416">
        <v>13.291783040821201</v>
      </c>
      <c r="Q49" s="415">
        <v>12.489729783779264</v>
      </c>
      <c r="R49" s="416">
        <v>17.064048450233237</v>
      </c>
      <c r="S49" s="416">
        <v>10.545836681317116</v>
      </c>
      <c r="T49" s="416">
        <v>10.643970493377234</v>
      </c>
      <c r="U49" s="484">
        <v>10.436805663820383</v>
      </c>
      <c r="V49" s="410"/>
      <c r="W49" s="416">
        <v>13.363365923258277</v>
      </c>
      <c r="X49" s="581">
        <v>12.432696008946367</v>
      </c>
      <c r="Y49" s="414">
        <f>+X49-W49</f>
        <v>-0.93066991431190971</v>
      </c>
      <c r="Z49" s="414">
        <f>+U49-T49</f>
        <v>-0.20716482955685045</v>
      </c>
    </row>
    <row r="50" spans="1:26" ht="12" customHeight="1">
      <c r="F50" s="281" t="s">
        <v>236</v>
      </c>
      <c r="G50" s="281"/>
      <c r="H50" s="281"/>
      <c r="I50" s="281"/>
      <c r="J50" s="417">
        <v>2.2774975315659316</v>
      </c>
      <c r="K50" s="417">
        <v>1.453166711072263</v>
      </c>
      <c r="L50" s="417">
        <v>3.4601516420917529</v>
      </c>
      <c r="M50" s="418">
        <v>8.2651869708017696</v>
      </c>
      <c r="N50" s="539">
        <v>3.0232985685446372</v>
      </c>
      <c r="O50" s="436">
        <v>4.1196018649805808</v>
      </c>
      <c r="P50" s="436">
        <v>4.8606457749810277</v>
      </c>
      <c r="Q50" s="418">
        <v>2.707209015978751</v>
      </c>
      <c r="R50" s="611">
        <v>2.5435927302118029</v>
      </c>
      <c r="S50" s="611">
        <v>2.3950730796144883</v>
      </c>
      <c r="T50" s="611">
        <v>1.8824157580005052</v>
      </c>
      <c r="U50" s="485">
        <v>3.9597213450185147</v>
      </c>
      <c r="V50" s="410"/>
      <c r="W50" s="611">
        <v>4.0099042322502658</v>
      </c>
      <c r="X50" s="646">
        <v>2.3825004381670412</v>
      </c>
      <c r="Y50" s="417">
        <f>+X50-W50</f>
        <v>-1.6274037940832247</v>
      </c>
      <c r="Z50" s="417">
        <f>+U50-T50</f>
        <v>2.0773055870180093</v>
      </c>
    </row>
    <row r="51" spans="1:26" ht="12" customHeight="1">
      <c r="F51" s="267" t="s">
        <v>117</v>
      </c>
      <c r="G51" s="267"/>
      <c r="H51" s="267"/>
      <c r="I51" s="267"/>
      <c r="J51" s="419">
        <v>12.774629171146939</v>
      </c>
      <c r="K51" s="419">
        <v>11.788651896739017</v>
      </c>
      <c r="L51" s="419">
        <v>11.765413938259311</v>
      </c>
      <c r="M51" s="420">
        <v>12.758841291996628</v>
      </c>
      <c r="N51" s="540">
        <v>10.141439617377054</v>
      </c>
      <c r="O51" s="437">
        <v>8.6113546740170772</v>
      </c>
      <c r="P51" s="437">
        <v>10.127564185363617</v>
      </c>
      <c r="Q51" s="420">
        <v>9.031168377815348</v>
      </c>
      <c r="R51" s="612">
        <v>12.391854482560849</v>
      </c>
      <c r="S51" s="612">
        <v>8.6674913659874928</v>
      </c>
      <c r="T51" s="612">
        <v>8.0594109366552846</v>
      </c>
      <c r="U51" s="486">
        <v>8.6502136562956764</v>
      </c>
      <c r="V51" s="410"/>
      <c r="W51" s="612">
        <v>9.5503537933000757</v>
      </c>
      <c r="X51" s="647">
        <v>9.5269583356982324</v>
      </c>
      <c r="Y51" s="419">
        <f>+X51-W51</f>
        <v>-2.3395457601843361E-2</v>
      </c>
      <c r="Z51" s="419">
        <f>+U51-T51</f>
        <v>0.59080271964039177</v>
      </c>
    </row>
    <row r="64" spans="1:26"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19">
    <mergeCell ref="F16:H21"/>
    <mergeCell ref="J2:M2"/>
    <mergeCell ref="N2:Q2"/>
    <mergeCell ref="F4:G9"/>
    <mergeCell ref="F10:G15"/>
    <mergeCell ref="W45:X45"/>
    <mergeCell ref="W35:X35"/>
    <mergeCell ref="W25:X25"/>
    <mergeCell ref="W2:X2"/>
    <mergeCell ref="J45:M45"/>
    <mergeCell ref="N45:Q45"/>
    <mergeCell ref="J25:M25"/>
    <mergeCell ref="N25:Q25"/>
    <mergeCell ref="J35:M35"/>
    <mergeCell ref="N35:Q35"/>
    <mergeCell ref="R2:U2"/>
    <mergeCell ref="R25:U25"/>
    <mergeCell ref="R35:U35"/>
    <mergeCell ref="R45:U45"/>
  </mergeCells>
  <phoneticPr fontId="7" type="noConversion"/>
  <hyperlinks>
    <hyperlink ref="B5" location="FH!A1" display="재무현황" xr:uid="{AD3AD7E7-3A3F-4B16-9240-E52F3DFD595D}"/>
    <hyperlink ref="B7" location="FS!A1" display="요약재무상태표 (Selected Balance sheet)" xr:uid="{85ECC8F4-78E8-4504-85D6-45A2A912FBA9}"/>
    <hyperlink ref="C15" location="Stability!A1" display="재무 안정성 (Financial Stability)" xr:uid="{913E4406-CAFF-4A2F-A26C-9E9C6A1F131D}"/>
    <hyperlink ref="C16" location="Productivity!A1" display="생산성 / 경영효율 (Productivity / Operating Efficiency)" xr:uid="{3269A136-6CAE-4C0F-9BE9-05FF3CAC21B6}"/>
    <hyperlink ref="C20" location="'Premium Income by P.T.(GA+SA)'!A1" display="상품별 수입보험료 (Premium Income)" xr:uid="{ECFCB22F-480B-4C54-BBE0-69620CD8EF3F}"/>
    <hyperlink ref="C21" location="'Initial P. by P.T.'!A1" display="상품별 초회보험료 (Initial Premium)" xr:uid="{9FAD281B-725B-4342-AA07-040E8CB6AB7A}"/>
    <hyperlink ref="C22" location="'First-year P. by P.T.'!A1" display="상품별 초년도보험료 (First Year Premium)" xr:uid="{B0BDD1B1-F8F0-4566-9479-5C67FC66C95A}"/>
    <hyperlink ref="C26" location="'Premium Income by D.C.(GA+SA)'!A1" display="채널별 수입보험료 (Premium Income)" xr:uid="{94C54EE6-5396-4DE1-BE04-E4F533FB3D97}"/>
    <hyperlink ref="C27" location="'First-year P. by D.C'!A1" display="채널별 초년도보험료 (First Year Premium)" xr:uid="{0BF60220-1616-41D9-80F6-102184C2240A}"/>
    <hyperlink ref="C31" location="'&gt;Loan'!A1" display="대출 (Loan)/ 자산건전성 (Asset Quality of Loan)" xr:uid="{E8E4F72C-05F3-4F20-AE82-03B0CE128A0B}"/>
    <hyperlink ref="C32" location="'&gt;Bond'!A1" display="채권 (Bond)" xr:uid="{F7420A28-D518-4695-8A85-D225706F111A}"/>
    <hyperlink ref="C35" location="'BS  K-IFRS'!A1" display="재무상태표 (Balance Sheet - KIFRS)" xr:uid="{B065AD87-95EA-4A80-BFE2-D0906940DBED}"/>
    <hyperlink ref="C36" location="'IS  K-IFRS'!A1" display="손익계산서 (Income Statement - KIFRS)" xr:uid="{1F2DD9BE-2899-4BED-AE77-F3225DEABABB}"/>
    <hyperlink ref="B8" location="FS!A1" display="요약손익계산서 (Selected Income Statement)" xr:uid="{CA615BFD-4797-438E-852C-ABE079942015}"/>
    <hyperlink ref="B10" location="CSM!A1" display="RA, CSM, BEL Movement" xr:uid="{7CC05D1F-AB92-4283-8902-D1191D8E1F31}"/>
    <hyperlink ref="B11" location="CSM!A1" display="신계약 CSM (New Business CSM)" xr:uid="{30ECF998-CEB7-4E20-AB66-8DE006823088}"/>
    <hyperlink ref="B13" location="'Sources of Margin'!A1" display="이원별손익" xr:uid="{FCE191AC-E5E5-4E41-8EB3-58C67B5E1EB6}"/>
    <hyperlink ref="B12" location="CSM!A1" display="신계약 CSM 배수 (New Business CSM Margin)" xr:uid="{F747C05A-5B69-4932-971D-F2C42D05F1A0}"/>
    <hyperlink ref="C19" location="'APE by P.T'!A1" display="상품별 APE (Annualized Premium Equivalent (APE))" xr:uid="{8337FA86-2DB9-4BE8-8330-AE5467993901}"/>
    <hyperlink ref="C25" location="'APE by D.C'!A1" display="채널별 APE (Annualized Premium Equivalent (APE))" xr:uid="{AA9DCBF6-1A4E-4345-8235-668128C98EA2}"/>
  </hyperlinks>
  <pageMargins left="0.19685039370078741" right="0.19685039370078741" top="0.74803149606299213" bottom="0.74803149606299213" header="0.31496062992125984" footer="0.31496062992125984"/>
  <pageSetup paperSize="9"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5DC9-A011-433E-850C-B9AA19CBF26A}">
  <sheetPr>
    <pageSetUpPr fitToPage="1"/>
  </sheetPr>
  <dimension ref="A1:AF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37.85546875" style="1" customWidth="1"/>
    <col min="10" max="17" width="10.7109375" style="1" customWidth="1"/>
    <col min="18" max="18" width="4.85546875" style="1" customWidth="1"/>
    <col min="19" max="22" width="10.7109375" style="1" customWidth="1"/>
    <col min="23" max="23" width="3" style="1" customWidth="1"/>
    <col min="24" max="24" width="2.42578125" style="1" customWidth="1"/>
    <col min="25" max="25" width="3" style="1" customWidth="1"/>
    <col min="26" max="27" width="10.7109375" style="1" bestFit="1" customWidth="1"/>
    <col min="28" max="16384" width="9.140625" style="1"/>
  </cols>
  <sheetData>
    <row r="1" spans="1:32" s="3" customFormat="1" ht="24.95" customHeight="1">
      <c r="A1" s="6"/>
      <c r="F1" s="81" t="s">
        <v>59</v>
      </c>
      <c r="G1" s="81"/>
      <c r="H1" s="82"/>
      <c r="I1" s="82"/>
    </row>
    <row r="2" spans="1:32" ht="12" customHeight="1">
      <c r="A2" s="140"/>
      <c r="B2" s="141"/>
      <c r="C2" s="141"/>
      <c r="F2" s="91"/>
      <c r="G2" s="91"/>
      <c r="H2" s="91"/>
      <c r="I2" s="91"/>
      <c r="J2" s="234"/>
      <c r="K2" s="234"/>
      <c r="L2" s="234"/>
      <c r="M2" s="514"/>
      <c r="N2" s="234"/>
      <c r="O2" s="234"/>
      <c r="P2" s="234"/>
      <c r="Q2" s="514"/>
      <c r="R2" s="234"/>
      <c r="S2" s="671"/>
      <c r="W2" s="3"/>
      <c r="X2" s="3"/>
      <c r="Y2" s="3"/>
      <c r="Z2" s="3"/>
      <c r="AA2" s="3"/>
    </row>
    <row r="3" spans="1:32" ht="14.25" customHeight="1">
      <c r="A3" s="140" t="s">
        <v>27</v>
      </c>
      <c r="B3" s="141"/>
      <c r="C3" s="141"/>
      <c r="F3" s="251" t="s">
        <v>151</v>
      </c>
      <c r="G3" s="91"/>
      <c r="H3" s="91"/>
      <c r="I3" s="91"/>
      <c r="J3" s="234"/>
      <c r="K3" s="234"/>
      <c r="L3" s="234"/>
      <c r="M3" s="234"/>
      <c r="N3" s="234"/>
      <c r="O3" s="234"/>
      <c r="P3" s="234"/>
      <c r="Q3" s="234"/>
      <c r="R3" s="234"/>
      <c r="S3" s="234"/>
      <c r="W3" s="3"/>
      <c r="X3" s="3"/>
      <c r="Y3" s="3"/>
      <c r="Z3" s="3"/>
      <c r="AA3" s="3"/>
    </row>
    <row r="4" spans="1:32" ht="12" customHeight="1">
      <c r="A4" s="140"/>
      <c r="B4" s="141"/>
      <c r="C4" s="141"/>
      <c r="F4" s="249" t="s">
        <v>22</v>
      </c>
      <c r="G4" s="83"/>
      <c r="H4" s="83"/>
      <c r="I4" s="83"/>
      <c r="J4" s="851" t="s">
        <v>216</v>
      </c>
      <c r="K4" s="852"/>
      <c r="L4" s="852"/>
      <c r="M4" s="853"/>
      <c r="N4" s="838" t="s">
        <v>237</v>
      </c>
      <c r="O4" s="838"/>
      <c r="P4" s="838"/>
      <c r="Q4" s="838"/>
      <c r="R4" s="234"/>
      <c r="S4" s="843" t="s">
        <v>217</v>
      </c>
      <c r="T4" s="843"/>
      <c r="V4" s="152"/>
      <c r="W4" s="3"/>
      <c r="X4" s="3"/>
      <c r="Y4" s="3"/>
      <c r="Z4" s="3"/>
      <c r="AA4" s="3"/>
    </row>
    <row r="5" spans="1:32" ht="12" customHeight="1">
      <c r="A5" s="150"/>
      <c r="B5" s="140" t="s">
        <v>155</v>
      </c>
      <c r="C5" s="140"/>
      <c r="F5" s="250" t="s">
        <v>56</v>
      </c>
      <c r="G5" s="103"/>
      <c r="H5" s="103"/>
      <c r="I5" s="103"/>
      <c r="J5" s="520">
        <v>45382</v>
      </c>
      <c r="K5" s="302">
        <v>45473</v>
      </c>
      <c r="L5" s="302">
        <v>45565</v>
      </c>
      <c r="M5" s="317">
        <v>45657</v>
      </c>
      <c r="N5" s="302">
        <v>45747</v>
      </c>
      <c r="O5" s="302">
        <v>45838</v>
      </c>
      <c r="P5" s="302">
        <v>45930</v>
      </c>
      <c r="Q5" s="302">
        <v>46022</v>
      </c>
      <c r="R5" s="234"/>
      <c r="S5" s="300" t="s">
        <v>23</v>
      </c>
      <c r="T5" s="300" t="s">
        <v>24</v>
      </c>
      <c r="V5" s="231"/>
      <c r="W5" s="3"/>
      <c r="X5" s="3"/>
      <c r="Y5" s="3"/>
      <c r="Z5" s="3"/>
      <c r="AA5" s="3"/>
    </row>
    <row r="6" spans="1:32" ht="12" customHeight="1">
      <c r="A6" s="150"/>
      <c r="B6" s="149"/>
      <c r="C6" s="141"/>
      <c r="F6" s="97" t="s">
        <v>143</v>
      </c>
      <c r="G6" s="97"/>
      <c r="H6" s="97"/>
      <c r="I6" s="97"/>
      <c r="J6" s="544">
        <f t="shared" ref="J6:Q6" si="0">J7/J8</f>
        <v>1.7742903003613284</v>
      </c>
      <c r="K6" s="305">
        <f t="shared" si="0"/>
        <v>1.6623871227816527</v>
      </c>
      <c r="L6" s="305">
        <f t="shared" si="0"/>
        <v>1.6028847077351822</v>
      </c>
      <c r="M6" s="585">
        <f t="shared" si="0"/>
        <v>1.5552076174095208</v>
      </c>
      <c r="N6" s="305">
        <f t="shared" si="0"/>
        <v>1.2716316131756702</v>
      </c>
      <c r="O6" s="305">
        <f t="shared" si="0"/>
        <v>1.7696418912290681</v>
      </c>
      <c r="P6" s="775">
        <f t="shared" si="0"/>
        <v>1.7359479676963407</v>
      </c>
      <c r="Q6" s="688">
        <f t="shared" si="0"/>
        <v>1.7729500596105445</v>
      </c>
      <c r="R6" s="234"/>
      <c r="S6" s="699">
        <f>Q6-M6</f>
        <v>0.21774244220102368</v>
      </c>
      <c r="T6" s="699">
        <f>Q6-P6</f>
        <v>3.7002091914203783E-2</v>
      </c>
      <c r="U6" s="152"/>
      <c r="V6" s="152"/>
      <c r="W6" s="3"/>
      <c r="X6" s="3"/>
      <c r="Y6" s="3"/>
      <c r="Z6" s="298"/>
      <c r="AA6" s="298"/>
      <c r="AB6" s="293"/>
      <c r="AC6" s="293"/>
      <c r="AD6" s="293"/>
      <c r="AE6" s="291"/>
      <c r="AF6" s="70"/>
    </row>
    <row r="7" spans="1:32" ht="12" customHeight="1">
      <c r="A7" s="150"/>
      <c r="B7" s="149" t="s">
        <v>212</v>
      </c>
      <c r="C7" s="141"/>
      <c r="F7" s="86"/>
      <c r="G7" s="86" t="s">
        <v>60</v>
      </c>
      <c r="H7" s="86"/>
      <c r="I7" s="86"/>
      <c r="J7" s="545">
        <v>4021.4366991923398</v>
      </c>
      <c r="K7" s="306">
        <v>3931.4105192381999</v>
      </c>
      <c r="L7" s="306">
        <v>3908.3289644174511</v>
      </c>
      <c r="M7" s="586">
        <v>3875.3043568880748</v>
      </c>
      <c r="N7" s="306">
        <v>3386.1572805743199</v>
      </c>
      <c r="O7" s="306">
        <v>4285.0285413405418</v>
      </c>
      <c r="P7" s="781">
        <v>4020.0403157379837</v>
      </c>
      <c r="Q7" s="784">
        <v>4015.2</v>
      </c>
      <c r="R7" s="234"/>
      <c r="S7" s="152">
        <f t="shared" ref="S7:S12" si="1">IF(Q7/M7&lt;0,"n.a.",IF(M7&gt;0,ROUND(Q7,4)/ROUND(M7,4)-1,IF(M7&lt;0,"n.a.")))</f>
        <v>3.609925455146179E-2</v>
      </c>
      <c r="T7" s="152">
        <f t="shared" ref="T7:T12" si="2">IF(Q7/P7&lt;0,"n.a.",IF(P7&gt;0,ROUND(Q7,4)/ROUND(P7,4)-1,IF(P7&lt;0,"n.a.")))</f>
        <v>-1.2040426559903894E-3</v>
      </c>
      <c r="U7" s="152"/>
      <c r="V7" s="152"/>
      <c r="W7" s="3"/>
      <c r="X7" s="3"/>
      <c r="Y7" s="3"/>
      <c r="Z7" s="298"/>
      <c r="AA7" s="298"/>
      <c r="AB7" s="293"/>
      <c r="AC7" s="293"/>
      <c r="AD7" s="293"/>
      <c r="AE7" s="291"/>
      <c r="AF7" s="70"/>
    </row>
    <row r="8" spans="1:32" ht="12" customHeight="1">
      <c r="A8" s="150"/>
      <c r="B8" s="149" t="s">
        <v>213</v>
      </c>
      <c r="C8" s="141"/>
      <c r="F8" s="86"/>
      <c r="G8" s="86" t="s">
        <v>61</v>
      </c>
      <c r="H8" s="86"/>
      <c r="I8" s="86"/>
      <c r="J8" s="545">
        <v>2266.5043586009501</v>
      </c>
      <c r="K8" s="306">
        <v>2364.9187757541199</v>
      </c>
      <c r="L8" s="306">
        <v>2438.309471390352</v>
      </c>
      <c r="M8" s="586">
        <v>2491.824444213496</v>
      </c>
      <c r="N8" s="306">
        <v>2662.8445262681098</v>
      </c>
      <c r="O8" s="306">
        <v>2421.4099827646282</v>
      </c>
      <c r="P8" s="782">
        <v>2315.7608353162263</v>
      </c>
      <c r="Q8" s="785">
        <v>2264.6999999999998</v>
      </c>
      <c r="R8" s="234"/>
      <c r="S8" s="152">
        <f t="shared" si="1"/>
        <v>-9.1147835296901403E-2</v>
      </c>
      <c r="T8" s="152">
        <f t="shared" si="2"/>
        <v>-2.2049254828046205E-2</v>
      </c>
      <c r="U8" s="152"/>
      <c r="V8" s="152"/>
      <c r="W8" s="3"/>
      <c r="X8" s="3"/>
      <c r="Y8" s="3"/>
      <c r="Z8" s="298"/>
      <c r="AA8" s="298"/>
      <c r="AB8" s="293"/>
      <c r="AC8" s="293"/>
      <c r="AD8" s="293"/>
      <c r="AE8" s="291"/>
      <c r="AF8" s="70"/>
    </row>
    <row r="9" spans="1:32" ht="12" customHeight="1">
      <c r="A9" s="150"/>
      <c r="B9" s="149"/>
      <c r="C9" s="141"/>
      <c r="F9" s="86"/>
      <c r="G9" s="86"/>
      <c r="H9" s="86" t="s">
        <v>62</v>
      </c>
      <c r="I9" s="86"/>
      <c r="J9" s="545">
        <v>1759.4192430503599</v>
      </c>
      <c r="K9" s="306">
        <v>1808.965463</v>
      </c>
      <c r="L9" s="306">
        <v>1840.4549356093469</v>
      </c>
      <c r="M9" s="586">
        <v>1863.1231092890428</v>
      </c>
      <c r="N9" s="306">
        <v>1955.94360486864</v>
      </c>
      <c r="O9" s="306">
        <v>1997.3053279853173</v>
      </c>
      <c r="P9" s="782">
        <v>2016.3067377166233</v>
      </c>
      <c r="Q9" s="785">
        <v>1864</v>
      </c>
      <c r="R9" s="234"/>
      <c r="S9" s="152">
        <f t="shared" si="1"/>
        <v>4.706613320397679E-4</v>
      </c>
      <c r="T9" s="152">
        <f t="shared" si="2"/>
        <v>-7.5537466596723668E-2</v>
      </c>
      <c r="U9" s="299"/>
      <c r="V9" s="152"/>
      <c r="W9" s="3"/>
      <c r="X9" s="3"/>
      <c r="Y9" s="3"/>
      <c r="Z9" s="298"/>
      <c r="AA9" s="298"/>
      <c r="AB9" s="293"/>
      <c r="AC9" s="293"/>
      <c r="AD9" s="293"/>
      <c r="AE9" s="291"/>
      <c r="AF9" s="70"/>
    </row>
    <row r="10" spans="1:32" ht="12" customHeight="1">
      <c r="A10" s="140"/>
      <c r="B10" s="149" t="s">
        <v>171</v>
      </c>
      <c r="C10" s="141"/>
      <c r="F10" s="86"/>
      <c r="G10" s="86"/>
      <c r="H10" s="86" t="s">
        <v>63</v>
      </c>
      <c r="I10" s="86"/>
      <c r="J10" s="545">
        <v>1303.6546509060399</v>
      </c>
      <c r="K10" s="306">
        <v>1324.757218</v>
      </c>
      <c r="L10" s="306">
        <v>1349.9522867892163</v>
      </c>
      <c r="M10" s="586">
        <v>1281.2985461706198</v>
      </c>
      <c r="N10" s="306">
        <v>1219.7393156712899</v>
      </c>
      <c r="O10" s="306">
        <v>867.39940423917733</v>
      </c>
      <c r="P10" s="782">
        <v>612.6205643048196</v>
      </c>
      <c r="Q10" s="785">
        <v>561.5</v>
      </c>
      <c r="R10" s="234"/>
      <c r="S10" s="152">
        <f t="shared" si="1"/>
        <v>-0.56177268606807862</v>
      </c>
      <c r="T10" s="152">
        <f t="shared" si="2"/>
        <v>-8.3445773779073029E-2</v>
      </c>
      <c r="U10" s="152"/>
      <c r="V10" s="152"/>
      <c r="W10" s="3"/>
      <c r="X10" s="3"/>
      <c r="Y10" s="3"/>
      <c r="Z10" s="298"/>
      <c r="AA10" s="298"/>
      <c r="AB10" s="293"/>
      <c r="AC10" s="293"/>
      <c r="AD10" s="293"/>
      <c r="AE10" s="291"/>
      <c r="AF10" s="70"/>
    </row>
    <row r="11" spans="1:32" ht="12" customHeight="1">
      <c r="A11" s="140"/>
      <c r="B11" s="149" t="s">
        <v>166</v>
      </c>
      <c r="C11" s="141"/>
      <c r="F11" s="86"/>
      <c r="G11" s="86"/>
      <c r="H11" s="86" t="s">
        <v>64</v>
      </c>
      <c r="I11" s="86"/>
      <c r="J11" s="545">
        <v>616.52378055658903</v>
      </c>
      <c r="K11" s="306">
        <v>615.50795700000003</v>
      </c>
      <c r="L11" s="306">
        <v>647.15227968395516</v>
      </c>
      <c r="M11" s="586">
        <v>658.98444592704539</v>
      </c>
      <c r="N11" s="306">
        <v>627.84819306847396</v>
      </c>
      <c r="O11" s="306">
        <v>665.54097354570251</v>
      </c>
      <c r="P11" s="782">
        <v>588.82625326803395</v>
      </c>
      <c r="Q11" s="785">
        <v>585</v>
      </c>
      <c r="R11" s="234"/>
      <c r="S11" s="152">
        <f t="shared" si="1"/>
        <v>-0.11227033598974434</v>
      </c>
      <c r="T11" s="152">
        <f t="shared" si="2"/>
        <v>-6.498181212354015E-3</v>
      </c>
      <c r="W11" s="3"/>
      <c r="X11" s="3"/>
      <c r="Y11" s="3"/>
      <c r="Z11" s="298"/>
      <c r="AA11" s="298"/>
      <c r="AB11" s="293"/>
      <c r="AC11" s="293"/>
      <c r="AD11" s="293"/>
      <c r="AE11" s="291"/>
      <c r="AF11" s="70"/>
    </row>
    <row r="12" spans="1:32" ht="12" customHeight="1">
      <c r="A12" s="140"/>
      <c r="B12" s="149" t="s">
        <v>222</v>
      </c>
      <c r="C12" s="141"/>
      <c r="F12" s="90"/>
      <c r="G12" s="90"/>
      <c r="H12" s="90" t="s">
        <v>65</v>
      </c>
      <c r="I12" s="90"/>
      <c r="J12" s="649">
        <v>146.34464957020899</v>
      </c>
      <c r="K12" s="445">
        <v>161.154022</v>
      </c>
      <c r="L12" s="445">
        <v>162.26430856004953</v>
      </c>
      <c r="M12" s="587">
        <v>151.15784236824496</v>
      </c>
      <c r="N12" s="656">
        <v>151.631172566841</v>
      </c>
      <c r="O12" s="656">
        <v>141.85424973570639</v>
      </c>
      <c r="P12" s="783">
        <v>195.73361376809888</v>
      </c>
      <c r="Q12" s="786">
        <v>259.8</v>
      </c>
      <c r="R12" s="234"/>
      <c r="S12" s="307">
        <f t="shared" si="1"/>
        <v>0.71873366773001446</v>
      </c>
      <c r="T12" s="307">
        <f t="shared" si="2"/>
        <v>0.3273142679642127</v>
      </c>
      <c r="U12" s="152"/>
      <c r="V12" s="294"/>
      <c r="W12" s="3"/>
      <c r="X12" s="3"/>
      <c r="Y12" s="3"/>
      <c r="Z12" s="3"/>
      <c r="AA12" s="3"/>
    </row>
    <row r="13" spans="1:32" ht="12" customHeight="1">
      <c r="A13" s="140"/>
      <c r="B13" s="149"/>
      <c r="C13" s="141"/>
      <c r="F13" s="253" t="s">
        <v>265</v>
      </c>
      <c r="G13" s="86"/>
      <c r="H13" s="86"/>
      <c r="I13" s="86"/>
      <c r="J13" s="236"/>
      <c r="K13" s="236"/>
      <c r="L13" s="236"/>
      <c r="M13" s="236"/>
      <c r="N13" s="236"/>
      <c r="O13" s="236"/>
      <c r="P13" s="236"/>
      <c r="Q13" s="236"/>
      <c r="R13" s="234"/>
      <c r="S13" s="234"/>
      <c r="T13" s="294"/>
      <c r="U13" s="292"/>
      <c r="V13" s="787"/>
      <c r="W13" s="232"/>
    </row>
    <row r="14" spans="1:32" ht="12" customHeight="1">
      <c r="A14" s="140"/>
      <c r="B14" s="140" t="s">
        <v>173</v>
      </c>
      <c r="C14" s="141"/>
      <c r="F14" s="86" t="s">
        <v>244</v>
      </c>
      <c r="G14" s="86"/>
      <c r="H14" s="86"/>
      <c r="I14" s="86"/>
      <c r="J14" s="236"/>
      <c r="K14" s="236"/>
      <c r="L14" s="236"/>
      <c r="M14" s="790"/>
      <c r="N14" s="790"/>
      <c r="O14" s="790"/>
      <c r="P14" s="790"/>
      <c r="Q14" s="790"/>
      <c r="R14" s="234"/>
      <c r="S14" s="234"/>
      <c r="T14" s="292"/>
      <c r="U14" s="292"/>
      <c r="V14" s="787"/>
    </row>
    <row r="15" spans="1:32" ht="12" customHeight="1">
      <c r="A15" s="140"/>
      <c r="B15" s="142"/>
      <c r="C15" s="149" t="s">
        <v>40</v>
      </c>
      <c r="F15" s="86"/>
      <c r="G15" s="86"/>
      <c r="H15" s="86"/>
      <c r="I15" s="86"/>
      <c r="J15" s="236"/>
      <c r="K15" s="236"/>
      <c r="L15" s="236"/>
      <c r="M15" s="236"/>
      <c r="N15" s="236"/>
      <c r="O15" s="236"/>
      <c r="P15" s="236"/>
      <c r="Q15" s="236"/>
      <c r="R15" s="234"/>
      <c r="S15" s="234"/>
      <c r="T15" s="292"/>
      <c r="U15" s="235"/>
      <c r="V15" s="788"/>
    </row>
    <row r="16" spans="1:32" ht="12" customHeight="1">
      <c r="A16" s="140"/>
      <c r="B16" s="140"/>
      <c r="C16" s="149" t="s">
        <v>41</v>
      </c>
      <c r="F16" s="86"/>
      <c r="G16" s="86"/>
      <c r="H16" s="86"/>
      <c r="I16" s="86"/>
      <c r="J16" s="236"/>
      <c r="K16" s="236"/>
      <c r="L16" s="236"/>
      <c r="M16" s="236"/>
      <c r="N16" s="236"/>
      <c r="O16" s="236"/>
      <c r="P16" s="236"/>
      <c r="Q16" s="236"/>
      <c r="R16" s="234"/>
      <c r="S16" s="234"/>
      <c r="T16" s="292"/>
      <c r="V16" s="788"/>
    </row>
    <row r="17" spans="1:25" s="40" customFormat="1" ht="18.75" customHeight="1">
      <c r="A17" s="140"/>
      <c r="B17" s="140"/>
      <c r="C17" s="149"/>
      <c r="D17" s="1"/>
      <c r="E17" s="1"/>
      <c r="F17" s="249" t="s">
        <v>22</v>
      </c>
      <c r="G17" s="83"/>
      <c r="H17" s="83"/>
      <c r="I17" s="83"/>
      <c r="J17" s="851" t="s">
        <v>216</v>
      </c>
      <c r="K17" s="852"/>
      <c r="L17" s="852"/>
      <c r="M17" s="853"/>
      <c r="N17" s="838" t="s">
        <v>237</v>
      </c>
      <c r="O17" s="838"/>
      <c r="P17" s="838"/>
      <c r="Q17" s="838"/>
      <c r="R17" s="234"/>
      <c r="S17" s="843" t="s">
        <v>217</v>
      </c>
      <c r="T17" s="843"/>
      <c r="U17" s="293"/>
      <c r="V17" s="789"/>
      <c r="W17" s="1"/>
      <c r="X17" s="1"/>
      <c r="Y17" s="1"/>
    </row>
    <row r="18" spans="1:25" ht="12" customHeight="1">
      <c r="A18" s="140"/>
      <c r="B18" s="140" t="s">
        <v>176</v>
      </c>
      <c r="C18" s="149"/>
      <c r="F18" s="250" t="s">
        <v>56</v>
      </c>
      <c r="G18" s="103"/>
      <c r="H18" s="103"/>
      <c r="I18" s="103"/>
      <c r="J18" s="520">
        <v>45382</v>
      </c>
      <c r="K18" s="302">
        <v>45473</v>
      </c>
      <c r="L18" s="302">
        <v>45565</v>
      </c>
      <c r="M18" s="317">
        <v>45657</v>
      </c>
      <c r="N18" s="302">
        <v>45747</v>
      </c>
      <c r="O18" s="302">
        <v>45838</v>
      </c>
      <c r="P18" s="302">
        <v>45930</v>
      </c>
      <c r="Q18" s="302">
        <v>46022</v>
      </c>
      <c r="R18" s="234"/>
      <c r="S18" s="300" t="s">
        <v>23</v>
      </c>
      <c r="T18" s="300" t="s">
        <v>24</v>
      </c>
      <c r="V18" s="746"/>
    </row>
    <row r="19" spans="1:25" ht="12" customHeight="1">
      <c r="A19" s="140"/>
      <c r="B19" s="140"/>
      <c r="C19" s="149" t="s">
        <v>33</v>
      </c>
      <c r="F19" s="87" t="s">
        <v>66</v>
      </c>
      <c r="G19" s="87"/>
      <c r="H19" s="87"/>
      <c r="I19" s="87"/>
      <c r="J19" s="546">
        <v>28948.774905674996</v>
      </c>
      <c r="K19" s="175">
        <v>29341.972783808003</v>
      </c>
      <c r="L19" s="175">
        <v>29443.185358420003</v>
      </c>
      <c r="M19" s="550">
        <v>29474.764289855986</v>
      </c>
      <c r="N19" s="622">
        <v>29579.995804345981</v>
      </c>
      <c r="O19" s="622">
        <v>29788.905937618001</v>
      </c>
      <c r="P19" s="622">
        <v>30268.852278197999</v>
      </c>
      <c r="Q19" s="627">
        <v>30352.360508350001</v>
      </c>
      <c r="R19" s="234"/>
      <c r="S19" s="212">
        <f>IF(Q19/M19&lt;0,"n.a.",IF(M19&gt;0,ROUND(Q19,4)/ROUND(M19,4)-1,IF(M19&lt;0,"n.a.")))</f>
        <v>2.9774494244216854E-2</v>
      </c>
      <c r="T19" s="212">
        <f>IF(Q19/P19&lt;0,"n.a.",IF(P19&gt;0,ROUND(Q19,4)/ROUND(P19,4)-1,IF(P19&lt;0,"n.a.")))</f>
        <v>2.7588822718593864E-3</v>
      </c>
      <c r="U19" s="55"/>
      <c r="V19" s="152"/>
      <c r="X19" s="70"/>
    </row>
    <row r="20" spans="1:25" ht="12" customHeight="1">
      <c r="A20" s="140"/>
      <c r="B20" s="140"/>
      <c r="C20" s="149" t="s">
        <v>29</v>
      </c>
      <c r="F20" s="86"/>
      <c r="G20" s="86" t="s">
        <v>67</v>
      </c>
      <c r="H20" s="86"/>
      <c r="I20" s="86"/>
      <c r="J20" s="34">
        <v>0.43937631941545602</v>
      </c>
      <c r="K20" s="426">
        <v>0.43797601997574986</v>
      </c>
      <c r="L20" s="426">
        <v>0.4298044462479006</v>
      </c>
      <c r="M20" s="551">
        <v>0.42015205823220203</v>
      </c>
      <c r="N20" s="623">
        <v>0.41094195828621638</v>
      </c>
      <c r="O20" s="623">
        <v>0.40217874374875395</v>
      </c>
      <c r="P20" s="623">
        <v>0.39839999999999998</v>
      </c>
      <c r="Q20" s="628">
        <v>0.39293181191561732</v>
      </c>
      <c r="R20" s="234"/>
      <c r="S20" s="145">
        <f t="shared" ref="S20:S26" si="3">Q20-M20</f>
        <v>-2.7220246316584706E-2</v>
      </c>
      <c r="T20" s="145">
        <f t="shared" ref="T20:T26" si="4">Q20-P20</f>
        <v>-5.4681880843826525E-3</v>
      </c>
      <c r="U20" s="191"/>
      <c r="V20" s="152"/>
    </row>
    <row r="21" spans="1:25" ht="12" customHeight="1">
      <c r="A21" s="140"/>
      <c r="B21" s="140"/>
      <c r="C21" s="149" t="s">
        <v>30</v>
      </c>
      <c r="F21" s="86"/>
      <c r="G21" s="86" t="s">
        <v>68</v>
      </c>
      <c r="H21" s="86"/>
      <c r="I21" s="86"/>
      <c r="J21" s="34">
        <v>0.56062368058454393</v>
      </c>
      <c r="K21" s="426">
        <v>0.56202398002425014</v>
      </c>
      <c r="L21" s="426">
        <v>0.5701955537520994</v>
      </c>
      <c r="M21" s="551">
        <v>0.57984794176779797</v>
      </c>
      <c r="N21" s="623">
        <v>0.58905804171378362</v>
      </c>
      <c r="O21" s="623">
        <v>0.59782125625124605</v>
      </c>
      <c r="P21" s="623">
        <v>0.60170000000000001</v>
      </c>
      <c r="Q21" s="628">
        <v>0.60706818808438268</v>
      </c>
      <c r="R21" s="234"/>
      <c r="S21" s="145">
        <f t="shared" si="3"/>
        <v>2.7220246316584706E-2</v>
      </c>
      <c r="T21" s="145">
        <f t="shared" si="4"/>
        <v>5.3681880843826635E-3</v>
      </c>
      <c r="U21" s="191"/>
      <c r="V21" s="152"/>
    </row>
    <row r="22" spans="1:25" ht="12" customHeight="1">
      <c r="A22" s="140"/>
      <c r="B22" s="140"/>
      <c r="C22" s="149" t="s">
        <v>31</v>
      </c>
      <c r="F22" s="86"/>
      <c r="G22" s="86"/>
      <c r="H22" s="86" t="s">
        <v>25</v>
      </c>
      <c r="I22" s="86"/>
      <c r="J22" s="547">
        <v>7.7552916542968711E-2</v>
      </c>
      <c r="K22" s="427">
        <v>7.6426347378881598E-2</v>
      </c>
      <c r="L22" s="427">
        <v>7.599061467471821E-2</v>
      </c>
      <c r="M22" s="552">
        <v>7.5668539810497579E-2</v>
      </c>
      <c r="N22" s="624">
        <v>7.5259446129972873E-2</v>
      </c>
      <c r="O22" s="624">
        <v>7.4639295783609852E-2</v>
      </c>
      <c r="P22" s="624">
        <v>7.3300000000000004E-2</v>
      </c>
      <c r="Q22" s="629">
        <v>7.2856848242944625E-2</v>
      </c>
      <c r="R22" s="234"/>
      <c r="S22" s="145">
        <f t="shared" si="3"/>
        <v>-2.8116915675529541E-3</v>
      </c>
      <c r="T22" s="145">
        <f t="shared" si="4"/>
        <v>-4.4315175705537946E-4</v>
      </c>
      <c r="U22" s="191"/>
      <c r="V22" s="152"/>
    </row>
    <row r="23" spans="1:25" ht="12" customHeight="1">
      <c r="A23" s="140"/>
      <c r="B23" s="140"/>
      <c r="C23" s="149"/>
      <c r="F23" s="90"/>
      <c r="G23" s="90"/>
      <c r="H23" s="90" t="s">
        <v>26</v>
      </c>
      <c r="I23" s="90"/>
      <c r="J23" s="548">
        <v>0.48307076404157523</v>
      </c>
      <c r="K23" s="307">
        <v>0.48559763264536854</v>
      </c>
      <c r="L23" s="307">
        <v>0.49420493907738117</v>
      </c>
      <c r="M23" s="379">
        <v>0.50417940195730038</v>
      </c>
      <c r="N23" s="307">
        <v>0.51379859558381069</v>
      </c>
      <c r="O23" s="307">
        <v>0.52318196046763621</v>
      </c>
      <c r="P23" s="307">
        <v>0.52839999999999998</v>
      </c>
      <c r="Q23" s="630">
        <v>0.53421133984143809</v>
      </c>
      <c r="R23" s="234"/>
      <c r="S23" s="260">
        <f t="shared" si="3"/>
        <v>3.0031937884137716E-2</v>
      </c>
      <c r="T23" s="260">
        <f t="shared" si="4"/>
        <v>5.8113398414381123E-3</v>
      </c>
      <c r="U23" s="191"/>
      <c r="V23" s="597"/>
    </row>
    <row r="24" spans="1:25" ht="12" customHeight="1">
      <c r="A24" s="140"/>
      <c r="B24" s="140" t="s">
        <v>181</v>
      </c>
      <c r="C24" s="149"/>
      <c r="F24" s="87" t="s">
        <v>69</v>
      </c>
      <c r="G24" s="86"/>
      <c r="H24" s="86"/>
      <c r="I24" s="86"/>
      <c r="J24" s="547">
        <v>3.7499999999999999E-2</v>
      </c>
      <c r="K24" s="427">
        <v>3.6980930404626196E-2</v>
      </c>
      <c r="L24" s="427">
        <v>3.6868183900491944E-2</v>
      </c>
      <c r="M24" s="552">
        <v>3.6896709150536784E-2</v>
      </c>
      <c r="N24" s="624">
        <v>3.5551844527334391E-2</v>
      </c>
      <c r="O24" s="624">
        <v>3.5492068882607093E-2</v>
      </c>
      <c r="P24" s="624">
        <v>3.5638137E-2</v>
      </c>
      <c r="Q24" s="629">
        <v>3.5745760330646303E-2</v>
      </c>
      <c r="R24" s="234"/>
      <c r="S24" s="503">
        <f t="shared" si="3"/>
        <v>-1.1509488198904808E-3</v>
      </c>
      <c r="T24" s="503">
        <f t="shared" si="4"/>
        <v>1.0762333064630314E-4</v>
      </c>
      <c r="V24" s="597"/>
    </row>
    <row r="25" spans="1:25" s="7" customFormat="1" ht="12" customHeight="1">
      <c r="A25" s="140"/>
      <c r="B25" s="140"/>
      <c r="C25" s="149" t="s">
        <v>32</v>
      </c>
      <c r="D25" s="1"/>
      <c r="E25" s="1"/>
      <c r="F25" s="87" t="s">
        <v>70</v>
      </c>
      <c r="G25" s="87"/>
      <c r="H25" s="87"/>
      <c r="I25" s="87"/>
      <c r="J25" s="549">
        <v>3.8261585278596244E-2</v>
      </c>
      <c r="K25" s="428">
        <v>3.8814450980576808E-2</v>
      </c>
      <c r="L25" s="428">
        <v>3.8316279590577228E-2</v>
      </c>
      <c r="M25" s="553">
        <v>3.7715743091577603E-2</v>
      </c>
      <c r="N25" s="625">
        <v>3.9219519045179549E-2</v>
      </c>
      <c r="O25" s="625">
        <v>3.4722378929815487E-2</v>
      </c>
      <c r="P25" s="625">
        <v>3.5294827575510647E-2</v>
      </c>
      <c r="Q25" s="792">
        <v>3.4280119531898391E-2</v>
      </c>
      <c r="R25" s="234"/>
      <c r="S25" s="504">
        <f>Q25-M25</f>
        <v>-3.4356235596792115E-3</v>
      </c>
      <c r="T25" s="504">
        <f t="shared" si="4"/>
        <v>-1.0147080436122558E-3</v>
      </c>
      <c r="U25" s="1"/>
      <c r="V25" s="152"/>
    </row>
    <row r="26" spans="1:25" ht="12" customHeight="1">
      <c r="A26" s="140"/>
      <c r="B26" s="140"/>
      <c r="C26" s="149" t="s">
        <v>34</v>
      </c>
      <c r="F26" s="98" t="s">
        <v>71</v>
      </c>
      <c r="G26" s="98"/>
      <c r="H26" s="98"/>
      <c r="I26" s="98"/>
      <c r="J26" s="429">
        <f t="shared" ref="J26:Q26" si="5">J25-J24</f>
        <v>7.6158527859624542E-4</v>
      </c>
      <c r="K26" s="472">
        <f t="shared" si="5"/>
        <v>1.8335205759506118E-3</v>
      </c>
      <c r="L26" s="472">
        <f t="shared" si="5"/>
        <v>1.448095690085284E-3</v>
      </c>
      <c r="M26" s="554">
        <f t="shared" si="5"/>
        <v>8.1903394104081845E-4</v>
      </c>
      <c r="N26" s="626">
        <f t="shared" si="5"/>
        <v>3.6676745178451584E-3</v>
      </c>
      <c r="O26" s="626">
        <f t="shared" si="5"/>
        <v>-7.6968995279160651E-4</v>
      </c>
      <c r="P26" s="626">
        <f t="shared" si="5"/>
        <v>-3.4330942448935337E-4</v>
      </c>
      <c r="Q26" s="793">
        <f t="shared" si="5"/>
        <v>-1.4656407987479123E-3</v>
      </c>
      <c r="R26" s="234"/>
      <c r="S26" s="505">
        <f t="shared" si="3"/>
        <v>-2.2846747397887307E-3</v>
      </c>
      <c r="T26" s="505">
        <f t="shared" si="4"/>
        <v>-1.1223313742585589E-3</v>
      </c>
      <c r="V26" s="152"/>
    </row>
    <row r="27" spans="1:25" ht="12" customHeight="1">
      <c r="A27" s="140"/>
      <c r="B27" s="140"/>
      <c r="C27" s="149" t="s">
        <v>35</v>
      </c>
      <c r="F27" s="335"/>
      <c r="G27" s="335"/>
      <c r="H27" s="335"/>
      <c r="I27" s="335"/>
      <c r="J27"/>
      <c r="K27"/>
      <c r="L27"/>
      <c r="M27"/>
      <c r="N27"/>
      <c r="O27"/>
      <c r="P27"/>
      <c r="Q27"/>
      <c r="R27" s="234"/>
      <c r="S27" s="234"/>
      <c r="T27"/>
    </row>
    <row r="28" spans="1:25" ht="12" customHeight="1">
      <c r="A28" s="140"/>
      <c r="B28" s="140"/>
      <c r="C28" s="149"/>
      <c r="F28"/>
      <c r="G28"/>
      <c r="H28"/>
      <c r="I28"/>
      <c r="J28" s="335"/>
      <c r="K28" s="335"/>
      <c r="L28" s="335"/>
      <c r="M28" s="335"/>
      <c r="N28" s="335"/>
      <c r="O28" s="335"/>
      <c r="P28" s="335"/>
      <c r="Q28" s="335"/>
      <c r="R28" s="234"/>
      <c r="S28" s="234"/>
      <c r="T28"/>
    </row>
    <row r="29" spans="1:25" ht="14.25">
      <c r="A29" s="140"/>
      <c r="B29" s="140"/>
      <c r="C29" s="149"/>
      <c r="F29"/>
      <c r="G29"/>
      <c r="H29"/>
      <c r="I29"/>
      <c r="J29"/>
      <c r="K29"/>
      <c r="L29"/>
      <c r="M29"/>
      <c r="N29"/>
      <c r="O29"/>
      <c r="R29"/>
      <c r="S29"/>
      <c r="T29"/>
      <c r="U29"/>
      <c r="V29"/>
    </row>
    <row r="30" spans="1:25" ht="14.25">
      <c r="A30" s="140"/>
      <c r="B30" s="140" t="s">
        <v>185</v>
      </c>
      <c r="C30" s="149"/>
      <c r="F30"/>
      <c r="G30"/>
      <c r="H30"/>
      <c r="I30"/>
      <c r="J30"/>
      <c r="K30"/>
      <c r="L30"/>
      <c r="M30" s="55"/>
      <c r="N30" s="55"/>
      <c r="O30" s="55"/>
      <c r="P30" s="174"/>
      <c r="Q30" s="174"/>
      <c r="R30"/>
      <c r="S30"/>
      <c r="T30"/>
      <c r="U30"/>
      <c r="V30"/>
    </row>
    <row r="31" spans="1:25" ht="14.25">
      <c r="A31" s="140"/>
      <c r="B31" s="140"/>
      <c r="C31" s="149" t="s">
        <v>147</v>
      </c>
      <c r="L31" s="231"/>
      <c r="M31" s="55"/>
      <c r="N31" s="55"/>
      <c r="O31" s="55"/>
      <c r="P31" s="174"/>
      <c r="Q31" s="174"/>
    </row>
    <row r="32" spans="1:25" ht="14.25">
      <c r="A32" s="140"/>
      <c r="B32" s="140"/>
      <c r="C32" s="149" t="s">
        <v>36</v>
      </c>
      <c r="M32" s="55"/>
      <c r="N32" s="55"/>
      <c r="O32" s="55"/>
      <c r="P32" s="174"/>
      <c r="Q32" s="174"/>
    </row>
    <row r="33" spans="1:22" ht="14.25">
      <c r="A33" s="140"/>
      <c r="B33" s="140"/>
      <c r="C33" s="149"/>
      <c r="M33" s="55"/>
      <c r="N33" s="55"/>
      <c r="O33" s="55"/>
      <c r="P33" s="174"/>
      <c r="Q33" s="174"/>
    </row>
    <row r="34" spans="1:22" ht="14.25">
      <c r="A34" s="140"/>
      <c r="B34" s="140" t="s">
        <v>188</v>
      </c>
      <c r="C34" s="149"/>
      <c r="M34" s="55"/>
      <c r="N34" s="55"/>
      <c r="O34" s="55"/>
      <c r="P34" s="174"/>
      <c r="Q34" s="174"/>
    </row>
    <row r="35" spans="1:22" ht="14.25">
      <c r="A35" s="140"/>
      <c r="B35" s="140"/>
      <c r="C35" s="149" t="s">
        <v>37</v>
      </c>
      <c r="M35" s="55"/>
      <c r="N35" s="55"/>
      <c r="O35" s="55"/>
      <c r="P35" s="174"/>
      <c r="Q35" s="174"/>
    </row>
    <row r="36" spans="1:22" ht="14.25">
      <c r="A36" s="140"/>
      <c r="B36" s="140"/>
      <c r="C36" s="149" t="s">
        <v>38</v>
      </c>
      <c r="M36" s="55"/>
      <c r="N36" s="55"/>
      <c r="O36" s="55"/>
      <c r="P36" s="174"/>
      <c r="Q36" s="174"/>
    </row>
    <row r="37" spans="1:22" ht="14.25">
      <c r="A37" s="25"/>
    </row>
    <row r="38" spans="1:22" ht="14.25">
      <c r="A38" s="25"/>
    </row>
    <row r="39" spans="1:22" ht="14.25">
      <c r="A39" s="25"/>
      <c r="M39" s="60"/>
      <c r="N39" s="60"/>
      <c r="O39" s="60"/>
      <c r="P39" s="60"/>
      <c r="Q39" s="60"/>
    </row>
    <row r="40" spans="1:22" ht="14.25">
      <c r="A40" s="25"/>
      <c r="J40" s="70"/>
      <c r="K40" s="70"/>
      <c r="M40" s="60"/>
      <c r="N40" s="60"/>
      <c r="O40" s="60"/>
      <c r="P40" s="60"/>
      <c r="Q40" s="60"/>
      <c r="R40" s="70"/>
      <c r="S40" s="70"/>
      <c r="T40" s="70"/>
      <c r="U40" s="70"/>
      <c r="V40" s="70"/>
    </row>
    <row r="41" spans="1:22" ht="14.25">
      <c r="A41" s="25"/>
      <c r="J41" s="70"/>
      <c r="K41" s="70"/>
      <c r="L41" s="70"/>
      <c r="M41" s="60"/>
      <c r="N41" s="60"/>
      <c r="O41" s="60"/>
      <c r="P41" s="60"/>
      <c r="Q41" s="60"/>
      <c r="R41" s="70"/>
      <c r="S41" s="70"/>
      <c r="T41" s="70"/>
      <c r="U41" s="70"/>
      <c r="V41" s="70"/>
    </row>
    <row r="42" spans="1:22" ht="14.25">
      <c r="A42" s="25"/>
      <c r="J42" s="70"/>
      <c r="K42" s="70"/>
      <c r="L42" s="70"/>
      <c r="M42" s="70"/>
      <c r="N42" s="70"/>
      <c r="O42" s="70"/>
      <c r="P42" s="70"/>
      <c r="Q42" s="70"/>
      <c r="R42" s="70"/>
      <c r="S42" s="70"/>
      <c r="T42" s="70"/>
      <c r="U42" s="70"/>
      <c r="V42" s="70"/>
    </row>
    <row r="43" spans="1:22" ht="14.25">
      <c r="A43" s="25"/>
      <c r="J43" s="70"/>
      <c r="K43" s="70"/>
      <c r="L43" s="70"/>
      <c r="M43" s="70"/>
      <c r="N43" s="70"/>
      <c r="O43" s="70"/>
      <c r="P43" s="70"/>
      <c r="Q43" s="70"/>
      <c r="R43" s="70"/>
      <c r="S43" s="70"/>
      <c r="T43" s="70"/>
      <c r="U43" s="70"/>
      <c r="V43" s="70"/>
    </row>
    <row r="44" spans="1:22" ht="14.25">
      <c r="A44" s="25"/>
      <c r="J44" s="70"/>
      <c r="K44" s="70"/>
      <c r="L44" s="70"/>
      <c r="M44" s="70"/>
      <c r="N44" s="70"/>
      <c r="O44" s="70"/>
      <c r="P44" s="70"/>
      <c r="Q44" s="70"/>
      <c r="R44" s="70"/>
      <c r="S44" s="70"/>
      <c r="T44" s="70"/>
      <c r="U44" s="70"/>
      <c r="V44" s="70"/>
    </row>
    <row r="45" spans="1:22" ht="14.25">
      <c r="A45" s="25"/>
      <c r="J45" s="70"/>
      <c r="K45" s="70"/>
      <c r="L45" s="70"/>
      <c r="M45" s="70"/>
      <c r="N45" s="70"/>
      <c r="O45" s="70"/>
      <c r="P45" s="70"/>
      <c r="Q45" s="70"/>
      <c r="R45" s="70"/>
      <c r="S45" s="70"/>
      <c r="T45" s="70"/>
      <c r="U45" s="70"/>
      <c r="V45" s="70"/>
    </row>
    <row r="46" spans="1:22" ht="14.25">
      <c r="A46" s="25"/>
      <c r="J46" s="70"/>
      <c r="K46" s="70"/>
      <c r="L46" s="70"/>
      <c r="M46" s="70"/>
      <c r="N46" s="70"/>
      <c r="O46" s="70"/>
      <c r="P46" s="70"/>
      <c r="Q46" s="70"/>
      <c r="R46" s="70"/>
      <c r="S46" s="70"/>
      <c r="T46" s="70"/>
      <c r="U46" s="70"/>
      <c r="V46" s="70"/>
    </row>
    <row r="47" spans="1:22" ht="14.25">
      <c r="A47" s="25"/>
      <c r="J47" s="70"/>
      <c r="K47" s="70"/>
      <c r="L47" s="70"/>
      <c r="M47" s="70"/>
      <c r="N47" s="70"/>
      <c r="O47" s="70"/>
      <c r="P47" s="70"/>
      <c r="Q47" s="70"/>
      <c r="R47" s="70"/>
      <c r="S47" s="70"/>
      <c r="T47" s="70"/>
      <c r="U47" s="70"/>
      <c r="V47" s="70"/>
    </row>
    <row r="48" spans="1:22" ht="14.25">
      <c r="A48" s="25"/>
      <c r="J48" s="70"/>
      <c r="K48" s="70"/>
      <c r="L48" s="70"/>
      <c r="M48" s="70"/>
      <c r="N48" s="70"/>
      <c r="O48" s="70"/>
      <c r="P48" s="70"/>
      <c r="Q48" s="70"/>
      <c r="R48" s="70"/>
      <c r="S48" s="70"/>
      <c r="T48" s="70"/>
      <c r="U48" s="70"/>
      <c r="V48" s="70"/>
    </row>
    <row r="49" spans="1:22">
      <c r="J49" s="70"/>
      <c r="K49" s="70"/>
      <c r="L49" s="70"/>
      <c r="M49" s="70"/>
      <c r="N49" s="70"/>
      <c r="O49" s="70"/>
      <c r="P49" s="70"/>
      <c r="Q49" s="70"/>
      <c r="R49" s="70"/>
      <c r="S49" s="70"/>
      <c r="T49" s="70"/>
      <c r="U49" s="70"/>
      <c r="V49" s="70"/>
    </row>
    <row r="50" spans="1:22">
      <c r="J50" s="70"/>
      <c r="K50" s="70"/>
      <c r="L50" s="70"/>
      <c r="M50" s="70"/>
      <c r="N50" s="70"/>
      <c r="O50" s="70"/>
      <c r="P50" s="70"/>
      <c r="Q50" s="70"/>
      <c r="R50" s="70"/>
      <c r="S50" s="70"/>
      <c r="T50" s="70"/>
      <c r="U50" s="70"/>
      <c r="V50" s="70"/>
    </row>
    <row r="51" spans="1:22">
      <c r="J51" s="70"/>
      <c r="K51" s="70"/>
      <c r="L51" s="70"/>
      <c r="M51" s="70"/>
      <c r="N51" s="70"/>
      <c r="O51" s="70"/>
      <c r="P51" s="70"/>
      <c r="Q51" s="70"/>
      <c r="R51" s="70"/>
      <c r="S51" s="70"/>
      <c r="T51" s="70"/>
      <c r="U51" s="70"/>
      <c r="V51" s="70"/>
    </row>
    <row r="52" spans="1:22">
      <c r="J52" s="70"/>
      <c r="K52" s="70"/>
      <c r="L52" s="70"/>
      <c r="M52" s="70"/>
      <c r="N52" s="70"/>
      <c r="O52" s="70"/>
      <c r="P52" s="70"/>
      <c r="Q52" s="70"/>
      <c r="R52" s="70"/>
      <c r="S52" s="70"/>
      <c r="T52" s="70"/>
      <c r="U52" s="70"/>
      <c r="V52" s="70"/>
    </row>
    <row r="53" spans="1:22">
      <c r="J53" s="70"/>
      <c r="K53" s="70"/>
      <c r="L53" s="70"/>
      <c r="M53" s="70"/>
      <c r="N53" s="70"/>
      <c r="O53" s="70"/>
      <c r="P53" s="70"/>
      <c r="Q53" s="70"/>
      <c r="R53" s="70"/>
      <c r="S53" s="70"/>
      <c r="T53" s="70"/>
      <c r="U53" s="70"/>
      <c r="V53" s="70"/>
    </row>
    <row r="54" spans="1:22">
      <c r="J54" s="70"/>
      <c r="K54" s="70"/>
      <c r="L54" s="70"/>
      <c r="M54" s="70"/>
      <c r="N54" s="70"/>
      <c r="O54" s="70"/>
      <c r="P54" s="70"/>
      <c r="Q54" s="70"/>
      <c r="R54" s="70"/>
      <c r="S54" s="70"/>
      <c r="T54" s="70"/>
      <c r="U54" s="70"/>
      <c r="V54" s="70"/>
    </row>
    <row r="55" spans="1:22">
      <c r="J55" s="70"/>
      <c r="K55" s="70"/>
      <c r="L55" s="70"/>
      <c r="M55" s="70"/>
      <c r="N55" s="70"/>
      <c r="O55" s="70"/>
      <c r="P55" s="70"/>
      <c r="Q55" s="70"/>
      <c r="R55" s="70"/>
      <c r="S55" s="70"/>
      <c r="T55" s="70"/>
      <c r="U55" s="70"/>
      <c r="V55" s="70"/>
    </row>
    <row r="56" spans="1:22">
      <c r="J56" s="70"/>
      <c r="K56" s="70"/>
      <c r="L56" s="70"/>
      <c r="M56" s="70"/>
      <c r="N56" s="70"/>
      <c r="O56" s="70"/>
      <c r="P56" s="70"/>
      <c r="Q56" s="70"/>
      <c r="R56" s="70"/>
      <c r="S56" s="70"/>
      <c r="T56" s="70"/>
      <c r="U56" s="70"/>
      <c r="V56" s="70"/>
    </row>
    <row r="57" spans="1:22">
      <c r="J57" s="70"/>
      <c r="K57" s="70"/>
      <c r="L57" s="70"/>
      <c r="M57" s="70"/>
      <c r="N57" s="70"/>
      <c r="O57" s="70"/>
      <c r="P57" s="70"/>
      <c r="Q57" s="70"/>
      <c r="R57" s="70"/>
      <c r="S57" s="70"/>
      <c r="T57" s="70"/>
      <c r="U57" s="70"/>
      <c r="V57" s="70"/>
    </row>
    <row r="58" spans="1:22">
      <c r="J58" s="70"/>
      <c r="K58" s="70"/>
      <c r="L58" s="70"/>
      <c r="M58" s="70"/>
      <c r="N58" s="70"/>
      <c r="O58" s="70"/>
      <c r="P58" s="70"/>
      <c r="Q58" s="70"/>
      <c r="R58" s="70"/>
      <c r="S58" s="70"/>
      <c r="T58" s="70"/>
      <c r="U58" s="70"/>
      <c r="V58" s="70"/>
    </row>
    <row r="59" spans="1:22">
      <c r="J59" s="70"/>
      <c r="K59" s="70"/>
      <c r="L59" s="70"/>
      <c r="M59" s="70"/>
      <c r="N59" s="70"/>
      <c r="O59" s="70"/>
      <c r="P59" s="70"/>
      <c r="Q59" s="70"/>
      <c r="R59" s="70"/>
      <c r="S59" s="70"/>
      <c r="T59" s="70"/>
      <c r="U59" s="70"/>
      <c r="V59" s="70"/>
    </row>
    <row r="60" spans="1:22">
      <c r="J60" s="70"/>
      <c r="K60" s="70"/>
      <c r="L60" s="70"/>
      <c r="M60" s="70"/>
      <c r="N60" s="70"/>
      <c r="O60" s="70"/>
      <c r="P60" s="70"/>
      <c r="Q60" s="70"/>
      <c r="R60" s="70"/>
      <c r="S60" s="70"/>
      <c r="T60" s="70"/>
      <c r="U60" s="70"/>
      <c r="V60" s="70"/>
    </row>
    <row r="61" spans="1:22">
      <c r="J61" s="70"/>
      <c r="K61" s="70"/>
      <c r="L61" s="70"/>
      <c r="M61" s="70"/>
      <c r="N61" s="70"/>
      <c r="O61" s="70"/>
      <c r="P61" s="70"/>
      <c r="Q61" s="70"/>
      <c r="R61" s="70"/>
      <c r="S61" s="70"/>
      <c r="T61" s="70"/>
      <c r="U61" s="70"/>
      <c r="V61" s="70"/>
    </row>
    <row r="62" spans="1:22">
      <c r="J62" s="70"/>
      <c r="K62" s="70"/>
      <c r="L62" s="70"/>
      <c r="M62" s="70"/>
      <c r="N62" s="70"/>
      <c r="O62" s="70"/>
      <c r="P62" s="70"/>
      <c r="Q62" s="70"/>
      <c r="R62" s="70"/>
      <c r="S62" s="70"/>
      <c r="T62" s="70"/>
      <c r="U62" s="70"/>
      <c r="V62" s="70"/>
    </row>
    <row r="63" spans="1:22">
      <c r="J63" s="70"/>
      <c r="K63" s="70"/>
      <c r="L63" s="70"/>
      <c r="M63" s="70"/>
      <c r="N63" s="70"/>
      <c r="O63" s="70"/>
      <c r="P63" s="70"/>
      <c r="Q63" s="70"/>
      <c r="R63" s="70"/>
      <c r="S63" s="70"/>
      <c r="T63" s="70"/>
      <c r="U63" s="70"/>
      <c r="V63" s="70"/>
    </row>
    <row r="64" spans="1:22"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6">
    <mergeCell ref="J4:M4"/>
    <mergeCell ref="N4:Q4"/>
    <mergeCell ref="S4:T4"/>
    <mergeCell ref="J17:M17"/>
    <mergeCell ref="N17:Q17"/>
    <mergeCell ref="S17:T17"/>
  </mergeCells>
  <phoneticPr fontId="7" type="noConversion"/>
  <hyperlinks>
    <hyperlink ref="B5" location="FH!A1" display="재무현황" xr:uid="{2F2ED51A-6630-4C72-9BDD-6B144BD8AF5F}"/>
    <hyperlink ref="B7" location="FS!A1" display="요약재무상태표 (Selected Balance sheet)" xr:uid="{F6DB529C-B388-4FE0-BE72-77FFC93BFE7D}"/>
    <hyperlink ref="C15" location="Stability!A1" display="재무 안정성 (Financial Stability)" xr:uid="{B14B23ED-5777-4812-9FEE-F360F1FB934D}"/>
    <hyperlink ref="C16" location="Productivity!A1" display="생산성 / 경영효율 (Productivity / Operating Efficiency)" xr:uid="{0A5EA9BB-CC82-4E08-83DE-7197E674570B}"/>
    <hyperlink ref="C20" location="'Premium Income by P.T.(GA+SA)'!A1" display="상품별 수입보험료 (Premium Income)" xr:uid="{CA5C7CDE-3B93-46B3-A685-C8959399A44D}"/>
    <hyperlink ref="C21" location="'Initial P. by P.T.'!A1" display="상품별 초회보험료 (Initial Premium)" xr:uid="{194A193D-F739-4787-A3F0-1DD11556D99A}"/>
    <hyperlink ref="C22" location="'First-year P. by P.T.'!A1" display="상품별 초년도보험료 (First Year Premium)" xr:uid="{9116502B-AD1A-451A-AE17-A67E4F948A7F}"/>
    <hyperlink ref="C26" location="'Premium Income by D.C.(GA+SA)'!A1" display="채널별 수입보험료 (Premium Income)" xr:uid="{391995B3-2682-4206-99C1-3BF020FB6D31}"/>
    <hyperlink ref="C27" location="'First-year P. by D.C'!A1" display="채널별 초년도보험료 (First Year Premium)" xr:uid="{F67D823E-FD76-46C8-A5A2-C5934BD39AD6}"/>
    <hyperlink ref="C31" location="'&gt;Loan'!A1" display="대출 (Loan)/ 자산건전성 (Asset Quality of Loan)" xr:uid="{CC873510-709D-47E5-9806-70B2574EB6CB}"/>
    <hyperlink ref="C32" location="'&gt;Bond'!A1" display="채권 (Bond)" xr:uid="{4929EF9B-48AF-4784-BE41-CFBF00644543}"/>
    <hyperlink ref="C35" location="'BS  K-IFRS'!A1" display="재무상태표 (Balance Sheet - KIFRS)" xr:uid="{533FC0F6-AAE6-4495-B702-0B273C59C1A9}"/>
    <hyperlink ref="C36" location="'IS  K-IFRS'!A1" display="손익계산서 (Income Statement - KIFRS)" xr:uid="{131B1BE6-580A-43A0-8A3C-6BB5B9241DEB}"/>
    <hyperlink ref="B8" location="FS!A1" display="요약손익계산서 (Selected Income Statement)" xr:uid="{17AC1815-9B2A-44DC-B4DF-D34B9156978E}"/>
    <hyperlink ref="B10" location="CSM!A1" display="RA, CSM, BEL Movement" xr:uid="{D7C0D077-DC53-4264-84DE-0BC345E5E17D}"/>
    <hyperlink ref="B11" location="CSM!A1" display="신계약 CSM (New Business CSM)" xr:uid="{4C34CFCE-721E-477F-B4F6-A82EABDB8A7E}"/>
    <hyperlink ref="B13" location="'Sources of Margin'!A1" display="이원별손익" xr:uid="{D52504FF-7055-4591-9FF7-212DC5F9C5CC}"/>
    <hyperlink ref="B12" location="CSM!A1" display="신계약 CSM 배수 (New Business CSM Margin)" xr:uid="{AA388440-38F5-4D19-A58D-AFF69AF19D4F}"/>
    <hyperlink ref="C19" location="'APE by P.T'!A1" display="상품별 APE (Annualized Premium Equivalent (APE))" xr:uid="{8D9157C2-AABE-47F5-8C12-4129C0D7D632}"/>
    <hyperlink ref="C25" location="'APE by D.C'!A1" display="채널별 APE (Annualized Premium Equivalent (APE))" xr:uid="{16D4D601-A98C-4F6A-8FB0-DD293E04558E}"/>
  </hyperlinks>
  <pageMargins left="0.19685039370078741" right="0.19685039370078741"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B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9.7109375" style="1" customWidth="1"/>
    <col min="10" max="13" width="10.7109375" style="1" hidden="1" customWidth="1"/>
    <col min="14" max="21" width="10.7109375" style="1" customWidth="1"/>
    <col min="22" max="22" width="4.85546875" style="1" customWidth="1"/>
    <col min="23" max="24" width="8.7109375" style="1" customWidth="1"/>
    <col min="25" max="16384" width="9.140625" style="1"/>
  </cols>
  <sheetData>
    <row r="1" spans="1:26" s="3" customFormat="1" ht="24.95" customHeight="1">
      <c r="A1" s="6"/>
      <c r="F1" s="81" t="s">
        <v>72</v>
      </c>
      <c r="G1" s="81"/>
      <c r="H1" s="82"/>
      <c r="I1" s="82"/>
      <c r="J1" s="234"/>
      <c r="K1" s="234"/>
      <c r="L1" s="234"/>
      <c r="M1" s="234"/>
      <c r="N1" s="234"/>
      <c r="O1" s="234"/>
      <c r="P1" s="234"/>
      <c r="Q1" s="234"/>
      <c r="R1" s="234"/>
      <c r="S1" s="234"/>
      <c r="T1" s="234"/>
      <c r="U1" s="234"/>
    </row>
    <row r="2" spans="1:26" ht="12" customHeight="1">
      <c r="A2" s="140"/>
      <c r="B2" s="141"/>
      <c r="C2" s="141"/>
      <c r="F2" s="83" t="s">
        <v>234</v>
      </c>
      <c r="G2" s="83"/>
      <c r="H2" s="83"/>
      <c r="I2" s="354"/>
      <c r="J2" s="851" t="s">
        <v>214</v>
      </c>
      <c r="K2" s="852"/>
      <c r="L2" s="852"/>
      <c r="M2" s="853"/>
      <c r="N2" s="851" t="s">
        <v>216</v>
      </c>
      <c r="O2" s="852"/>
      <c r="P2" s="852"/>
      <c r="Q2" s="853"/>
      <c r="R2" s="838" t="s">
        <v>237</v>
      </c>
      <c r="S2" s="838"/>
      <c r="T2" s="838"/>
      <c r="U2" s="838"/>
      <c r="V2" s="3"/>
      <c r="W2" s="843" t="s">
        <v>217</v>
      </c>
      <c r="X2" s="843"/>
    </row>
    <row r="3" spans="1:26" ht="12" customHeight="1">
      <c r="A3" s="140" t="s">
        <v>27</v>
      </c>
      <c r="B3" s="141"/>
      <c r="C3" s="141"/>
      <c r="F3" s="103" t="s">
        <v>235</v>
      </c>
      <c r="G3" s="103"/>
      <c r="H3" s="103"/>
      <c r="I3" s="104"/>
      <c r="J3" s="520">
        <v>45382</v>
      </c>
      <c r="K3" s="302">
        <v>45473</v>
      </c>
      <c r="L3" s="302">
        <v>45565</v>
      </c>
      <c r="M3" s="317">
        <v>45657</v>
      </c>
      <c r="N3" s="520">
        <v>45382</v>
      </c>
      <c r="O3" s="302">
        <v>45473</v>
      </c>
      <c r="P3" s="302">
        <v>45565</v>
      </c>
      <c r="Q3" s="317">
        <v>45657</v>
      </c>
      <c r="R3" s="302">
        <v>45747</v>
      </c>
      <c r="S3" s="302">
        <v>45838</v>
      </c>
      <c r="T3" s="302">
        <v>45930</v>
      </c>
      <c r="U3" s="302">
        <v>46022</v>
      </c>
      <c r="V3" s="3"/>
      <c r="W3" s="300" t="s">
        <v>23</v>
      </c>
      <c r="X3" s="300" t="s">
        <v>24</v>
      </c>
      <c r="Z3" s="231"/>
    </row>
    <row r="4" spans="1:26" ht="12" customHeight="1">
      <c r="A4" s="140"/>
      <c r="B4" s="141"/>
      <c r="C4" s="141"/>
      <c r="F4" s="86" t="s">
        <v>73</v>
      </c>
      <c r="G4" s="86"/>
      <c r="H4" s="86"/>
      <c r="I4" s="355"/>
      <c r="J4" s="357"/>
      <c r="K4" s="233"/>
      <c r="L4" s="233"/>
      <c r="M4" s="380"/>
      <c r="N4" s="357"/>
      <c r="O4" s="233"/>
      <c r="P4" s="233"/>
      <c r="Q4" s="380"/>
      <c r="R4" s="233"/>
      <c r="S4" s="233"/>
      <c r="T4" s="233"/>
      <c r="U4" s="631"/>
      <c r="V4" s="3"/>
      <c r="W4" s="42"/>
      <c r="X4" s="233"/>
      <c r="Y4" s="238"/>
      <c r="Z4" s="231"/>
    </row>
    <row r="5" spans="1:26" ht="12" customHeight="1">
      <c r="A5" s="150"/>
      <c r="B5" s="140" t="s">
        <v>155</v>
      </c>
      <c r="C5" s="140"/>
      <c r="F5" s="86"/>
      <c r="G5" s="86" t="s">
        <v>48</v>
      </c>
      <c r="H5" s="86"/>
      <c r="I5" s="355"/>
      <c r="J5" s="358"/>
      <c r="K5" s="152"/>
      <c r="L5" s="152"/>
      <c r="M5" s="378"/>
      <c r="N5" s="358">
        <v>2.6221392089908351E-2</v>
      </c>
      <c r="O5" s="152">
        <v>4.9584589084990388E-2</v>
      </c>
      <c r="P5" s="152">
        <v>7.1565109101872165E-2</v>
      </c>
      <c r="Q5" s="378">
        <v>9.2743007014728762E-2</v>
      </c>
      <c r="R5" s="152">
        <v>1.4338998535945694E-2</v>
      </c>
      <c r="S5" s="152">
        <v>2.4947612545098589E-2</v>
      </c>
      <c r="T5" s="152">
        <v>3.9589009693831237E-2</v>
      </c>
      <c r="U5" s="632">
        <v>5.4271010564929854E-2</v>
      </c>
      <c r="V5" s="3"/>
      <c r="W5" s="145">
        <f>U5-Q5</f>
        <v>-3.8471996449798908E-2</v>
      </c>
      <c r="X5" s="145">
        <f>U5-T5</f>
        <v>1.4682000871098617E-2</v>
      </c>
    </row>
    <row r="6" spans="1:26" ht="12" customHeight="1">
      <c r="A6" s="150"/>
      <c r="B6" s="149"/>
      <c r="C6" s="141"/>
      <c r="F6" s="86"/>
      <c r="G6" s="86" t="s">
        <v>74</v>
      </c>
      <c r="H6" s="86"/>
      <c r="I6" s="355"/>
      <c r="J6" s="358"/>
      <c r="K6" s="152"/>
      <c r="L6" s="152"/>
      <c r="M6" s="378"/>
      <c r="N6" s="358">
        <v>4.3439064622010724E-3</v>
      </c>
      <c r="O6" s="152">
        <v>5.0608907376188767E-3</v>
      </c>
      <c r="P6" s="152">
        <v>5.2386965297760435E-3</v>
      </c>
      <c r="Q6" s="378">
        <v>9.3250739245229614E-3</v>
      </c>
      <c r="R6" s="152">
        <v>7.9135191723926605E-5</v>
      </c>
      <c r="S6" s="152">
        <v>1.1851790325467786E-4</v>
      </c>
      <c r="T6" s="152">
        <v>1.8433944511475901E-4</v>
      </c>
      <c r="U6" s="632">
        <v>4.00727158224185E-3</v>
      </c>
      <c r="V6" s="3"/>
      <c r="W6" s="145">
        <f t="shared" ref="W6:W15" si="0">U6-Q6</f>
        <v>-5.3178023422811114E-3</v>
      </c>
      <c r="X6" s="145">
        <f t="shared" ref="X6:X15" si="1">U6-T6</f>
        <v>3.8229321371270912E-3</v>
      </c>
    </row>
    <row r="7" spans="1:26" ht="12" customHeight="1">
      <c r="A7" s="150"/>
      <c r="B7" s="149" t="s">
        <v>212</v>
      </c>
      <c r="C7" s="141"/>
      <c r="F7" s="86" t="s">
        <v>75</v>
      </c>
      <c r="G7" s="86"/>
      <c r="H7" s="86"/>
      <c r="I7" s="355"/>
      <c r="J7" s="357"/>
      <c r="K7" s="233"/>
      <c r="L7" s="233"/>
      <c r="M7" s="380"/>
      <c r="N7" s="357"/>
      <c r="O7" s="233"/>
      <c r="P7" s="233"/>
      <c r="Q7" s="380"/>
      <c r="R7" s="233"/>
      <c r="S7" s="233"/>
      <c r="T7" s="233"/>
      <c r="U7" s="631"/>
      <c r="V7" s="3"/>
      <c r="W7" s="487"/>
      <c r="X7" s="145"/>
      <c r="Z7" s="231"/>
    </row>
    <row r="8" spans="1:26" ht="12" customHeight="1">
      <c r="A8" s="150"/>
      <c r="B8" s="149" t="s">
        <v>213</v>
      </c>
      <c r="C8" s="141"/>
      <c r="F8" s="86"/>
      <c r="G8" s="86" t="s">
        <v>48</v>
      </c>
      <c r="H8" s="86"/>
      <c r="I8" s="355"/>
      <c r="J8" s="555"/>
      <c r="K8" s="23"/>
      <c r="L8" s="23"/>
      <c r="M8" s="381"/>
      <c r="N8" s="555">
        <v>2.312724341820081E-2</v>
      </c>
      <c r="O8" s="23">
        <v>4.2009821799598751E-2</v>
      </c>
      <c r="P8" s="23">
        <v>6.0250047379385156E-2</v>
      </c>
      <c r="Q8" s="381">
        <v>7.8269874889036403E-2</v>
      </c>
      <c r="R8" s="23">
        <v>2.0696706945230417E-2</v>
      </c>
      <c r="S8" s="23">
        <v>3.8037782028110652E-2</v>
      </c>
      <c r="T8" s="23">
        <v>5.4206474484437599E-2</v>
      </c>
      <c r="U8" s="633">
        <v>6.9134890753740033E-2</v>
      </c>
      <c r="V8" s="3"/>
      <c r="W8" s="145">
        <f t="shared" si="0"/>
        <v>-9.1349841352963701E-3</v>
      </c>
      <c r="X8" s="145">
        <f t="shared" si="1"/>
        <v>1.4928416269302434E-2</v>
      </c>
    </row>
    <row r="9" spans="1:26" ht="12" customHeight="1">
      <c r="A9" s="150"/>
      <c r="B9" s="149"/>
      <c r="C9" s="141"/>
      <c r="F9" s="86"/>
      <c r="G9" s="86" t="s">
        <v>74</v>
      </c>
      <c r="H9" s="86"/>
      <c r="I9" s="355"/>
      <c r="J9" s="555"/>
      <c r="K9" s="23"/>
      <c r="L9" s="23"/>
      <c r="M9" s="381"/>
      <c r="N9" s="555">
        <v>1.4910141620784766E-2</v>
      </c>
      <c r="O9" s="23">
        <v>2.5459161343074996E-2</v>
      </c>
      <c r="P9" s="23">
        <v>3.666417619704427E-2</v>
      </c>
      <c r="Q9" s="381">
        <v>5.401757528084894E-2</v>
      </c>
      <c r="R9" s="23">
        <v>1.6496223226139323E-2</v>
      </c>
      <c r="S9" s="23">
        <v>3.5185052025469676E-2</v>
      </c>
      <c r="T9" s="23">
        <v>4.6912738818977284E-2</v>
      </c>
      <c r="U9" s="633">
        <v>6.0952619040955995E-2</v>
      </c>
      <c r="V9" s="3"/>
      <c r="W9" s="145">
        <f t="shared" si="0"/>
        <v>6.9350437601070555E-3</v>
      </c>
      <c r="X9" s="145">
        <f t="shared" si="1"/>
        <v>1.4039880221978711E-2</v>
      </c>
      <c r="Y9" s="237"/>
    </row>
    <row r="10" spans="1:26" ht="12" customHeight="1">
      <c r="A10" s="140"/>
      <c r="B10" s="149" t="s">
        <v>171</v>
      </c>
      <c r="C10" s="141"/>
      <c r="F10" s="86" t="s">
        <v>239</v>
      </c>
      <c r="G10" s="86"/>
      <c r="H10" s="86"/>
      <c r="I10" s="355"/>
      <c r="J10" s="357"/>
      <c r="K10" s="233"/>
      <c r="L10" s="233"/>
      <c r="M10" s="380"/>
      <c r="N10" s="357"/>
      <c r="O10" s="233"/>
      <c r="P10" s="233"/>
      <c r="Q10" s="380"/>
      <c r="R10" s="233"/>
      <c r="S10" s="233"/>
      <c r="T10" s="233"/>
      <c r="U10" s="631"/>
      <c r="V10" s="3"/>
      <c r="W10" s="487"/>
      <c r="X10" s="145"/>
    </row>
    <row r="11" spans="1:26" ht="12" customHeight="1">
      <c r="A11" s="140"/>
      <c r="B11" s="149" t="s">
        <v>166</v>
      </c>
      <c r="C11" s="141"/>
      <c r="F11" s="86"/>
      <c r="G11" s="86" t="s">
        <v>76</v>
      </c>
      <c r="H11" s="86"/>
      <c r="I11" s="355"/>
      <c r="J11" s="358"/>
      <c r="K11" s="152"/>
      <c r="L11" s="152"/>
      <c r="M11" s="378"/>
      <c r="N11" s="358">
        <v>0.88087894076175444</v>
      </c>
      <c r="O11" s="152">
        <v>0.89840173048513194</v>
      </c>
      <c r="P11" s="152">
        <v>0.91724623152326989</v>
      </c>
      <c r="Q11" s="378">
        <v>0.88791333994610255</v>
      </c>
      <c r="R11" s="152">
        <v>0.89433798253142183</v>
      </c>
      <c r="S11" s="152">
        <v>0.8974079412356657</v>
      </c>
      <c r="T11" s="152">
        <v>0.89920240363081727</v>
      </c>
      <c r="U11" s="632">
        <v>0.89866682589743396</v>
      </c>
      <c r="V11" s="3"/>
      <c r="W11" s="145">
        <f t="shared" si="0"/>
        <v>1.075348595133141E-2</v>
      </c>
      <c r="X11" s="145">
        <f t="shared" si="1"/>
        <v>-5.3557773338330783E-4</v>
      </c>
    </row>
    <row r="12" spans="1:26" ht="12" customHeight="1">
      <c r="A12" s="140"/>
      <c r="B12" s="149" t="s">
        <v>222</v>
      </c>
      <c r="C12" s="141"/>
      <c r="F12" s="86"/>
      <c r="G12" s="86" t="s">
        <v>77</v>
      </c>
      <c r="H12" s="86"/>
      <c r="I12" s="355"/>
      <c r="J12" s="358"/>
      <c r="K12" s="152"/>
      <c r="L12" s="152"/>
      <c r="M12" s="378"/>
      <c r="N12" s="358">
        <v>0.64053010146540967</v>
      </c>
      <c r="O12" s="152">
        <v>0.63137477111173523</v>
      </c>
      <c r="P12" s="152">
        <v>0.6588611721572144</v>
      </c>
      <c r="Q12" s="378">
        <v>0.78268364807959312</v>
      </c>
      <c r="R12" s="152">
        <v>0.78729114748925511</v>
      </c>
      <c r="S12" s="152">
        <v>0.8116778910887773</v>
      </c>
      <c r="T12" s="152">
        <v>0.83585764033626053</v>
      </c>
      <c r="U12" s="632">
        <v>0.78552608127857604</v>
      </c>
      <c r="V12" s="3"/>
      <c r="W12" s="145">
        <f t="shared" si="0"/>
        <v>2.8424331989829188E-3</v>
      </c>
      <c r="X12" s="145">
        <f t="shared" si="1"/>
        <v>-5.0331559057684494E-2</v>
      </c>
      <c r="Y12" s="237"/>
    </row>
    <row r="13" spans="1:26" ht="12" customHeight="1">
      <c r="A13" s="140"/>
      <c r="B13" s="149"/>
      <c r="C13" s="141"/>
      <c r="F13" s="86" t="s">
        <v>240</v>
      </c>
      <c r="G13" s="86"/>
      <c r="H13" s="86"/>
      <c r="I13" s="355"/>
      <c r="J13" s="358"/>
      <c r="K13" s="152"/>
      <c r="L13" s="152"/>
      <c r="M13" s="378"/>
      <c r="N13" s="358"/>
      <c r="O13" s="152"/>
      <c r="P13" s="152"/>
      <c r="Q13" s="378"/>
      <c r="R13" s="152"/>
      <c r="S13" s="152"/>
      <c r="T13" s="152"/>
      <c r="U13" s="632"/>
      <c r="V13" s="3"/>
      <c r="W13" s="145"/>
      <c r="X13" s="145"/>
    </row>
    <row r="14" spans="1:26" ht="12" customHeight="1">
      <c r="A14" s="140"/>
      <c r="B14" s="140" t="s">
        <v>173</v>
      </c>
      <c r="C14" s="141"/>
      <c r="F14" s="86"/>
      <c r="G14" s="86" t="s">
        <v>76</v>
      </c>
      <c r="H14" s="86"/>
      <c r="I14" s="355"/>
      <c r="J14" s="358"/>
      <c r="K14" s="152"/>
      <c r="L14" s="152"/>
      <c r="M14" s="378"/>
      <c r="N14" s="358">
        <v>0.86234883703455534</v>
      </c>
      <c r="O14" s="152">
        <v>0.87137170447823542</v>
      </c>
      <c r="P14" s="152">
        <v>0.87864668853394312</v>
      </c>
      <c r="Q14" s="378">
        <v>0.88003076506206679</v>
      </c>
      <c r="R14" s="152">
        <v>0.88719516473765969</v>
      </c>
      <c r="S14" s="152">
        <v>0.885967805660967</v>
      </c>
      <c r="T14" s="152">
        <v>0.89507224381360506</v>
      </c>
      <c r="U14" s="632">
        <v>0.89326945992125328</v>
      </c>
      <c r="V14" s="3"/>
      <c r="W14" s="145">
        <f t="shared" si="0"/>
        <v>1.3238694859186495E-2</v>
      </c>
      <c r="X14" s="145">
        <f t="shared" si="1"/>
        <v>-1.8027838923517781E-3</v>
      </c>
    </row>
    <row r="15" spans="1:26" ht="12" customHeight="1">
      <c r="A15" s="140"/>
      <c r="B15" s="142"/>
      <c r="C15" s="149" t="s">
        <v>40</v>
      </c>
      <c r="F15" s="86"/>
      <c r="G15" s="86" t="s">
        <v>77</v>
      </c>
      <c r="H15" s="86"/>
      <c r="I15" s="355"/>
      <c r="J15" s="358"/>
      <c r="K15" s="152"/>
      <c r="L15" s="152"/>
      <c r="M15" s="378"/>
      <c r="N15" s="358">
        <v>0.68232191483983284</v>
      </c>
      <c r="O15" s="152">
        <v>0.68451924832763866</v>
      </c>
      <c r="P15" s="152">
        <v>0.68648260926192362</v>
      </c>
      <c r="Q15" s="378">
        <v>0.68604890432158827</v>
      </c>
      <c r="R15" s="152">
        <v>0.71177674137360347</v>
      </c>
      <c r="S15" s="152">
        <v>0.74013701628368078</v>
      </c>
      <c r="T15" s="152">
        <v>0.77708952244315133</v>
      </c>
      <c r="U15" s="632">
        <v>0.77215343168130202</v>
      </c>
      <c r="V15" s="3"/>
      <c r="W15" s="145">
        <f t="shared" si="0"/>
        <v>8.6104527359713745E-2</v>
      </c>
      <c r="X15" s="145">
        <f t="shared" si="1"/>
        <v>-4.9360907618493099E-3</v>
      </c>
    </row>
    <row r="16" spans="1:26" ht="12" customHeight="1">
      <c r="A16" s="140"/>
      <c r="B16" s="140"/>
      <c r="C16" s="149" t="s">
        <v>41</v>
      </c>
      <c r="F16" s="512" t="s">
        <v>229</v>
      </c>
      <c r="I16" s="355"/>
      <c r="J16" s="556"/>
      <c r="M16" s="380"/>
      <c r="N16" s="556"/>
      <c r="Q16" s="380"/>
      <c r="R16" s="597"/>
      <c r="S16" s="597"/>
      <c r="T16" s="597"/>
      <c r="U16" s="634"/>
    </row>
    <row r="17" spans="1:28" ht="12" customHeight="1">
      <c r="A17" s="140"/>
      <c r="B17" s="140"/>
      <c r="C17" s="149"/>
      <c r="F17" s="7"/>
      <c r="G17" s="674" t="s">
        <v>230</v>
      </c>
      <c r="H17" s="597"/>
      <c r="I17" s="685"/>
      <c r="J17" s="393">
        <v>139.161983572</v>
      </c>
      <c r="K17" s="32">
        <v>280.69017517700001</v>
      </c>
      <c r="L17" s="32">
        <v>424.75061598600001</v>
      </c>
      <c r="M17" s="64">
        <v>570.77066976200001</v>
      </c>
      <c r="N17" s="393">
        <v>148.00284513</v>
      </c>
      <c r="O17" s="32">
        <v>298.09752463000001</v>
      </c>
      <c r="P17" s="32">
        <v>450.78836040700003</v>
      </c>
      <c r="Q17" s="64">
        <v>605.91064699900005</v>
      </c>
      <c r="R17" s="636">
        <v>155.96825638199999</v>
      </c>
      <c r="S17" s="636">
        <v>313.99645896199956</v>
      </c>
      <c r="T17" s="636">
        <v>473.7138084009996</v>
      </c>
      <c r="U17" s="651">
        <v>634.73319049799898</v>
      </c>
      <c r="V17" s="3"/>
      <c r="W17" s="513">
        <f>IF(U17/Q17&lt;0,"n.a.",IF(Q17&gt;0,ROUND(U17,4)/ROUND(Q17,4)-1,IF(Q17&lt;0,"n.a.")))</f>
        <v>4.7569063818985846E-2</v>
      </c>
      <c r="X17" s="22">
        <f>IF(U17/T17&lt;0,"n.a.",IF(T17&gt;0,ROUND(U17,4)/ROUND(T17,4)-1,IF(T17&lt;0,"n.a.")))</f>
        <v>0.33990861148651352</v>
      </c>
      <c r="Z17" s="231"/>
    </row>
    <row r="18" spans="1:28" ht="12" customHeight="1">
      <c r="A18" s="140"/>
      <c r="B18" s="140" t="s">
        <v>176</v>
      </c>
      <c r="C18" s="149"/>
      <c r="F18" s="7"/>
      <c r="G18" s="674" t="s">
        <v>231</v>
      </c>
      <c r="H18" s="597"/>
      <c r="I18" s="685"/>
      <c r="J18" s="393">
        <v>120.518256084</v>
      </c>
      <c r="K18" s="32">
        <v>233.93139919200001</v>
      </c>
      <c r="L18" s="32">
        <v>351.92564809300001</v>
      </c>
      <c r="M18" s="64">
        <v>473.30712747500002</v>
      </c>
      <c r="N18" s="393">
        <v>125.40699443000001</v>
      </c>
      <c r="O18" s="32">
        <v>243.68255745000002</v>
      </c>
      <c r="P18" s="32">
        <v>370.83888231899999</v>
      </c>
      <c r="Q18" s="64">
        <v>505.21131281700002</v>
      </c>
      <c r="R18" s="636">
        <v>143.561749682</v>
      </c>
      <c r="S18" s="636">
        <v>282.45167992699999</v>
      </c>
      <c r="T18" s="636">
        <v>435.23597651099999</v>
      </c>
      <c r="U18" s="651">
        <v>579.64822364209999</v>
      </c>
      <c r="V18" s="60"/>
      <c r="W18" s="513">
        <f>IF(U18/Q18&lt;0,"n.a.",IF(Q18&gt;0,ROUND(U18,4)/ROUND(Q18,4)-1,IF(Q18&lt;0,"n.a.")))</f>
        <v>0.14733815336276135</v>
      </c>
      <c r="X18" s="22">
        <f>IF(U18/T18&lt;0,"n.a.",IF(T18&gt;0,ROUND(U18,4)/ROUND(T18,4)-1,IF(T18&lt;0,"n.a.")))</f>
        <v>0.33180205681515318</v>
      </c>
    </row>
    <row r="19" spans="1:28" ht="12" customHeight="1">
      <c r="A19" s="140"/>
      <c r="B19" s="140"/>
      <c r="C19" s="149" t="s">
        <v>33</v>
      </c>
      <c r="E19" s="7"/>
      <c r="F19" s="7"/>
      <c r="G19" s="686" t="s">
        <v>232</v>
      </c>
      <c r="H19" s="687"/>
      <c r="I19" s="685"/>
      <c r="J19" s="393">
        <v>2.3560456059999999</v>
      </c>
      <c r="K19" s="32">
        <v>4.3612093319999996</v>
      </c>
      <c r="L19" s="32">
        <v>4.7197105499999994</v>
      </c>
      <c r="M19" s="64">
        <v>6.5823872599999991</v>
      </c>
      <c r="N19" s="393">
        <v>17.701150489</v>
      </c>
      <c r="O19" s="32">
        <v>19.781771372000001</v>
      </c>
      <c r="P19" s="32">
        <v>25.070893510000001</v>
      </c>
      <c r="Q19" s="64">
        <v>25.684125619</v>
      </c>
      <c r="R19" s="636">
        <v>7.9477560970000001</v>
      </c>
      <c r="S19" s="636">
        <v>13.770921856801746</v>
      </c>
      <c r="T19" s="636">
        <v>22.681381576801748</v>
      </c>
      <c r="U19" s="651">
        <v>28.484494206348199</v>
      </c>
      <c r="V19" s="274"/>
      <c r="W19" s="513">
        <f>IF(U19/Q19&lt;0,"n.a.",IF(Q19&gt;0,ROUND(U19,4)/ROUND(Q19,4)-1,IF(Q19&lt;0,"n.a.")))</f>
        <v>0.10903243641007476</v>
      </c>
      <c r="X19" s="22">
        <f>IF(U19/T19&lt;0,"n.a.",IF(T19&gt;0,ROUND(U19,4)/ROUND(T19,4)-1,IF(T19&lt;0,"n.a.")))</f>
        <v>0.25585281331840193</v>
      </c>
    </row>
    <row r="20" spans="1:28" ht="12" customHeight="1">
      <c r="A20" s="140"/>
      <c r="B20" s="140"/>
      <c r="C20" s="149" t="s">
        <v>29</v>
      </c>
      <c r="G20" s="686" t="s">
        <v>229</v>
      </c>
      <c r="H20" s="687"/>
      <c r="I20" s="685"/>
      <c r="J20" s="358">
        <v>0.88295882636960954</v>
      </c>
      <c r="K20" s="152">
        <v>0.84895243794598585</v>
      </c>
      <c r="L20" s="152">
        <v>0.83965824938263356</v>
      </c>
      <c r="M20" s="378">
        <v>0.84077465812163121</v>
      </c>
      <c r="N20" s="358">
        <v>0.96692833704175973</v>
      </c>
      <c r="O20" s="152">
        <v>0.88381924388340072</v>
      </c>
      <c r="P20" s="152">
        <v>0.87826086607814768</v>
      </c>
      <c r="Q20" s="378">
        <v>0.87619427231632097</v>
      </c>
      <c r="R20" s="152">
        <v>0.97141244823510997</v>
      </c>
      <c r="S20" s="152">
        <v>0.9433947209565543</v>
      </c>
      <c r="T20" s="152">
        <v>0.96665402183120208</v>
      </c>
      <c r="U20" s="632">
        <v>0.9580918832546309</v>
      </c>
      <c r="V20" s="274"/>
      <c r="W20" s="145">
        <f>U20-Q20</f>
        <v>8.1897610938309939E-2</v>
      </c>
      <c r="X20" s="145">
        <f>U20-T20</f>
        <v>-8.5621385765711766E-3</v>
      </c>
    </row>
    <row r="21" spans="1:28" ht="12" customHeight="1">
      <c r="A21" s="140"/>
      <c r="B21" s="140"/>
      <c r="C21" s="149" t="s">
        <v>30</v>
      </c>
      <c r="G21" s="686" t="s">
        <v>233</v>
      </c>
      <c r="H21" s="687"/>
      <c r="I21" s="685"/>
      <c r="J21" s="358">
        <v>0.86602858762534052</v>
      </c>
      <c r="K21" s="152">
        <v>0.83341498876647735</v>
      </c>
      <c r="L21" s="152">
        <v>0.82854652788684746</v>
      </c>
      <c r="M21" s="378">
        <v>0.8292422027788493</v>
      </c>
      <c r="N21" s="358">
        <v>0.84732826804678885</v>
      </c>
      <c r="O21" s="152">
        <v>0.81745917800713008</v>
      </c>
      <c r="P21" s="152">
        <v>0.82264520313741774</v>
      </c>
      <c r="Q21" s="378">
        <v>0.83380497655759755</v>
      </c>
      <c r="R21" s="152">
        <v>0.92045492468920198</v>
      </c>
      <c r="S21" s="152">
        <v>0.89953778733913303</v>
      </c>
      <c r="T21" s="152">
        <v>0.91877409691754641</v>
      </c>
      <c r="U21" s="632">
        <v>0.91321555626753903</v>
      </c>
      <c r="V21" s="274"/>
      <c r="W21" s="145">
        <f>U21-Q21</f>
        <v>7.9410579709941476E-2</v>
      </c>
      <c r="X21" s="145">
        <f>U21-T21</f>
        <v>-5.558540650007382E-3</v>
      </c>
    </row>
    <row r="22" spans="1:28" s="7" customFormat="1" ht="12" customHeight="1">
      <c r="A22" s="140"/>
      <c r="B22" s="140"/>
      <c r="C22" s="149" t="s">
        <v>31</v>
      </c>
      <c r="D22" s="1"/>
      <c r="E22" s="1"/>
      <c r="F22" s="90" t="s">
        <v>78</v>
      </c>
      <c r="G22" s="90"/>
      <c r="H22" s="90"/>
      <c r="I22" s="356"/>
      <c r="J22" s="557"/>
      <c r="K22" s="439"/>
      <c r="L22" s="439"/>
      <c r="M22" s="558"/>
      <c r="N22" s="557">
        <v>1393</v>
      </c>
      <c r="O22" s="439">
        <v>1502</v>
      </c>
      <c r="P22" s="439">
        <v>1507</v>
      </c>
      <c r="Q22" s="558">
        <v>1548</v>
      </c>
      <c r="R22" s="637">
        <v>1558</v>
      </c>
      <c r="S22" s="637">
        <v>1589</v>
      </c>
      <c r="T22" s="637">
        <v>1585</v>
      </c>
      <c r="U22" s="635">
        <v>1644</v>
      </c>
      <c r="V22" s="3"/>
      <c r="W22" s="469">
        <f>IF(U22/Q22&lt;0,"n.a.",IF(Q22&gt;0,ROUND(U22,4)/ROUND(Q22,4)-1,IF(Q22&lt;0,"n.a.")))</f>
        <v>6.2015503875969102E-2</v>
      </c>
      <c r="X22" s="469">
        <f>IF(U22/T22&lt;0,"n.a.",IF(T22&gt;0,ROUND(U22,4)/ROUND(T22,4)-1,IF(T22&lt;0,"n.a.")))</f>
        <v>3.7223974763406886E-2</v>
      </c>
      <c r="Z22" s="231"/>
      <c r="AA22" s="1"/>
      <c r="AB22" s="1"/>
    </row>
    <row r="23" spans="1:28" ht="12" customHeight="1">
      <c r="A23" s="140"/>
      <c r="B23" s="140"/>
      <c r="C23" s="149"/>
      <c r="H23" s="274"/>
      <c r="I23" s="274"/>
      <c r="J23" s="274"/>
      <c r="K23" s="274"/>
      <c r="L23" s="274"/>
      <c r="M23" s="274"/>
      <c r="N23" s="274"/>
      <c r="O23" s="274"/>
      <c r="P23" s="274"/>
      <c r="Q23" s="274"/>
      <c r="R23" s="274"/>
      <c r="S23" s="274"/>
      <c r="T23" s="274"/>
      <c r="U23" s="274"/>
      <c r="V23" s="274"/>
      <c r="W23" s="60"/>
    </row>
    <row r="24" spans="1:28" ht="12" customHeight="1">
      <c r="A24" s="140"/>
      <c r="B24" s="140" t="s">
        <v>181</v>
      </c>
      <c r="C24" s="149"/>
      <c r="H24" s="274"/>
      <c r="I24" s="274"/>
      <c r="J24" s="274"/>
      <c r="K24" s="274"/>
      <c r="L24" s="274"/>
      <c r="M24" s="274"/>
      <c r="N24" s="274"/>
      <c r="O24" s="274"/>
      <c r="P24" s="274"/>
      <c r="Q24" s="274"/>
      <c r="R24" s="274"/>
      <c r="S24" s="274"/>
      <c r="T24" s="274"/>
      <c r="U24" s="274"/>
      <c r="V24" s="274"/>
    </row>
    <row r="25" spans="1:28" ht="12" customHeight="1">
      <c r="A25" s="140"/>
      <c r="B25" s="140"/>
      <c r="C25" s="149" t="s">
        <v>32</v>
      </c>
      <c r="J25" s="191"/>
      <c r="K25" s="191"/>
      <c r="L25" s="191"/>
      <c r="M25" s="191"/>
      <c r="N25" s="191"/>
      <c r="O25" s="191"/>
      <c r="P25" s="191"/>
      <c r="Q25" s="191"/>
      <c r="R25" s="191"/>
      <c r="S25" s="191"/>
      <c r="T25" s="191"/>
      <c r="U25" s="191"/>
      <c r="V25" s="191"/>
      <c r="W25" s="191"/>
      <c r="X25" s="191"/>
    </row>
    <row r="26" spans="1:28" ht="12" customHeight="1">
      <c r="A26" s="140"/>
      <c r="B26" s="140"/>
      <c r="C26" s="149" t="s">
        <v>34</v>
      </c>
      <c r="G26" s="748"/>
      <c r="H26" s="748"/>
      <c r="I26" s="683"/>
      <c r="J26" s="291"/>
      <c r="K26" s="318"/>
      <c r="L26" s="291"/>
      <c r="M26" s="291"/>
      <c r="N26" s="291"/>
      <c r="O26" s="291"/>
      <c r="P26" s="291"/>
      <c r="Q26" s="291"/>
      <c r="R26" s="291"/>
      <c r="S26" s="291"/>
      <c r="T26" s="291"/>
      <c r="U26" s="291"/>
      <c r="V26" s="291"/>
      <c r="W26" s="683"/>
      <c r="X26" s="683"/>
      <c r="Y26" s="683"/>
      <c r="Z26" s="683"/>
      <c r="AA26" s="683"/>
    </row>
    <row r="27" spans="1:28" ht="12" customHeight="1">
      <c r="A27" s="140"/>
      <c r="B27" s="140"/>
      <c r="C27" s="149" t="s">
        <v>35</v>
      </c>
      <c r="G27" s="683"/>
      <c r="H27" s="754"/>
      <c r="I27" s="683"/>
      <c r="J27" s="755"/>
      <c r="K27" s="755"/>
      <c r="L27" s="755"/>
      <c r="M27" s="755"/>
      <c r="N27" s="755"/>
      <c r="O27" s="755"/>
      <c r="P27" s="755"/>
      <c r="Q27" s="755"/>
      <c r="R27" s="755"/>
      <c r="S27" s="755"/>
      <c r="T27" s="755"/>
      <c r="U27" s="756"/>
      <c r="V27" s="756"/>
      <c r="W27" s="756"/>
      <c r="X27" s="683"/>
      <c r="Y27" s="683"/>
      <c r="Z27" s="683"/>
      <c r="AA27" s="683"/>
    </row>
    <row r="28" spans="1:28" ht="12" customHeight="1">
      <c r="A28" s="140"/>
      <c r="B28" s="140"/>
      <c r="C28" s="149"/>
      <c r="G28" s="683"/>
      <c r="H28" s="754"/>
      <c r="I28" s="683"/>
      <c r="J28" s="755"/>
      <c r="K28" s="755"/>
      <c r="L28" s="755"/>
      <c r="M28" s="755"/>
      <c r="N28" s="755"/>
      <c r="O28" s="755"/>
      <c r="P28" s="755"/>
      <c r="Q28" s="755"/>
      <c r="R28" s="755"/>
      <c r="S28" s="755"/>
      <c r="T28" s="755"/>
      <c r="U28" s="756"/>
      <c r="V28" s="756"/>
      <c r="W28" s="756"/>
      <c r="X28" s="683"/>
      <c r="Y28" s="683"/>
      <c r="Z28" s="683"/>
      <c r="AA28" s="683"/>
    </row>
    <row r="29" spans="1:28" ht="12" customHeight="1">
      <c r="A29" s="140"/>
      <c r="B29" s="140"/>
      <c r="C29" s="149"/>
      <c r="G29" s="683"/>
      <c r="H29" s="757"/>
      <c r="I29" s="758"/>
      <c r="J29" s="755"/>
      <c r="K29" s="755"/>
      <c r="L29" s="755"/>
      <c r="M29" s="755"/>
      <c r="N29" s="755"/>
      <c r="O29" s="755"/>
      <c r="P29" s="755"/>
      <c r="Q29" s="755"/>
      <c r="R29" s="755"/>
      <c r="S29" s="755"/>
      <c r="T29" s="755"/>
      <c r="U29" s="683"/>
      <c r="V29" s="683"/>
      <c r="W29" s="683"/>
      <c r="X29" s="683"/>
      <c r="Y29" s="683"/>
      <c r="Z29" s="683"/>
      <c r="AA29" s="683"/>
    </row>
    <row r="30" spans="1:28" ht="12" customHeight="1">
      <c r="A30" s="140"/>
      <c r="B30" s="140" t="s">
        <v>185</v>
      </c>
      <c r="C30" s="149"/>
      <c r="G30" s="683"/>
      <c r="H30" s="757"/>
      <c r="I30" s="758"/>
      <c r="J30" s="152"/>
      <c r="K30" s="152"/>
      <c r="L30" s="152"/>
      <c r="M30" s="152"/>
      <c r="N30" s="152"/>
      <c r="O30" s="152"/>
      <c r="P30" s="152"/>
      <c r="Q30" s="152"/>
      <c r="R30" s="152"/>
      <c r="S30" s="755"/>
      <c r="T30" s="755"/>
      <c r="U30" s="759"/>
      <c r="V30" s="759"/>
      <c r="W30" s="683"/>
      <c r="X30" s="683"/>
      <c r="Y30" s="683"/>
      <c r="Z30" s="683"/>
      <c r="AA30" s="683"/>
    </row>
    <row r="31" spans="1:28" ht="12" customHeight="1">
      <c r="A31" s="140"/>
      <c r="B31" s="140"/>
      <c r="C31" s="149" t="s">
        <v>147</v>
      </c>
      <c r="G31" s="683"/>
      <c r="H31" s="757"/>
      <c r="I31" s="758"/>
      <c r="J31" s="152"/>
      <c r="K31" s="152"/>
      <c r="L31" s="152"/>
      <c r="M31" s="152"/>
      <c r="N31" s="152"/>
      <c r="O31" s="152"/>
      <c r="P31" s="152"/>
      <c r="Q31" s="152"/>
      <c r="R31" s="152"/>
      <c r="S31" s="152"/>
      <c r="T31" s="152"/>
      <c r="U31" s="759"/>
      <c r="V31" s="759"/>
      <c r="W31" s="683"/>
      <c r="X31" s="750"/>
      <c r="Y31" s="683"/>
      <c r="Z31" s="683"/>
      <c r="AA31" s="683"/>
    </row>
    <row r="32" spans="1:28" ht="12" customHeight="1">
      <c r="A32" s="140"/>
      <c r="B32" s="140"/>
      <c r="C32" s="149" t="s">
        <v>36</v>
      </c>
      <c r="G32" s="748"/>
      <c r="H32" s="683"/>
      <c r="I32" s="683"/>
      <c r="J32" s="759"/>
      <c r="K32" s="759"/>
      <c r="L32" s="759"/>
      <c r="M32" s="759"/>
      <c r="N32" s="759"/>
      <c r="O32" s="759"/>
      <c r="P32" s="759"/>
      <c r="Q32" s="759"/>
      <c r="R32" s="759"/>
      <c r="S32" s="291"/>
      <c r="T32" s="291"/>
      <c r="U32" s="291"/>
      <c r="V32" s="759"/>
      <c r="W32" s="683"/>
      <c r="X32" s="683"/>
      <c r="Y32" s="683"/>
      <c r="Z32" s="683"/>
      <c r="AA32" s="683"/>
    </row>
    <row r="33" spans="1:27" ht="12" customHeight="1">
      <c r="A33" s="140"/>
      <c r="B33" s="140"/>
      <c r="C33" s="149"/>
      <c r="G33" s="683"/>
      <c r="H33" s="754"/>
      <c r="I33" s="683"/>
      <c r="J33" s="755"/>
      <c r="K33" s="755"/>
      <c r="L33" s="755"/>
      <c r="M33" s="755"/>
      <c r="N33" s="755"/>
      <c r="O33" s="755"/>
      <c r="P33" s="755"/>
      <c r="Q33" s="755"/>
      <c r="R33" s="755"/>
      <c r="S33" s="755"/>
      <c r="T33" s="755"/>
      <c r="U33" s="760"/>
      <c r="V33" s="760"/>
      <c r="W33" s="683"/>
      <c r="X33" s="683"/>
      <c r="Y33" s="683"/>
      <c r="Z33" s="683"/>
      <c r="AA33" s="683"/>
    </row>
    <row r="34" spans="1:27" ht="12" customHeight="1">
      <c r="A34" s="140"/>
      <c r="B34" s="140" t="s">
        <v>188</v>
      </c>
      <c r="C34" s="149"/>
      <c r="G34" s="683"/>
      <c r="H34" s="754"/>
      <c r="I34" s="683"/>
      <c r="J34" s="755"/>
      <c r="K34" s="755"/>
      <c r="L34" s="755"/>
      <c r="M34" s="755"/>
      <c r="N34" s="755"/>
      <c r="O34" s="755"/>
      <c r="P34" s="755"/>
      <c r="Q34" s="755"/>
      <c r="R34" s="755"/>
      <c r="S34" s="152"/>
      <c r="T34" s="152"/>
      <c r="U34" s="291"/>
      <c r="V34" s="683"/>
      <c r="W34" s="683"/>
      <c r="X34" s="683"/>
      <c r="Y34" s="683"/>
      <c r="Z34" s="683"/>
      <c r="AA34" s="683"/>
    </row>
    <row r="35" spans="1:27" ht="12" customHeight="1">
      <c r="A35" s="140"/>
      <c r="B35" s="140"/>
      <c r="C35" s="149" t="s">
        <v>37</v>
      </c>
      <c r="G35" s="683"/>
      <c r="H35" s="757"/>
      <c r="I35" s="758"/>
      <c r="J35" s="755"/>
      <c r="K35" s="755"/>
      <c r="L35" s="755"/>
      <c r="M35" s="755"/>
      <c r="N35" s="755"/>
      <c r="O35" s="755"/>
      <c r="P35" s="755"/>
      <c r="Q35" s="755"/>
      <c r="R35" s="755"/>
      <c r="S35" s="755"/>
      <c r="T35" s="755"/>
      <c r="U35" s="683"/>
      <c r="V35" s="683"/>
      <c r="W35" s="683"/>
      <c r="X35" s="683"/>
      <c r="Y35" s="683"/>
      <c r="Z35" s="683"/>
      <c r="AA35" s="683"/>
    </row>
    <row r="36" spans="1:27" ht="12" customHeight="1">
      <c r="A36" s="140"/>
      <c r="B36" s="140"/>
      <c r="C36" s="149" t="s">
        <v>38</v>
      </c>
      <c r="G36" s="683"/>
      <c r="H36" s="757"/>
      <c r="I36" s="758"/>
      <c r="J36" s="152"/>
      <c r="K36" s="152"/>
      <c r="L36" s="152"/>
      <c r="M36" s="152"/>
      <c r="N36" s="152"/>
      <c r="O36" s="152"/>
      <c r="P36" s="152"/>
      <c r="Q36" s="152"/>
      <c r="R36" s="152"/>
      <c r="S36" s="152"/>
      <c r="T36" s="152"/>
      <c r="U36" s="683"/>
      <c r="V36" s="683"/>
      <c r="W36" s="683"/>
      <c r="X36" s="683"/>
      <c r="Y36" s="683"/>
      <c r="Z36" s="683"/>
      <c r="AA36" s="683"/>
    </row>
    <row r="37" spans="1:27" ht="12" customHeight="1">
      <c r="A37" s="25"/>
      <c r="G37" s="683"/>
      <c r="H37" s="757"/>
      <c r="I37" s="758"/>
      <c r="J37" s="152"/>
      <c r="K37" s="152"/>
      <c r="L37" s="152"/>
      <c r="M37" s="152"/>
      <c r="N37" s="152"/>
      <c r="O37" s="152"/>
      <c r="P37" s="152"/>
      <c r="Q37" s="152"/>
      <c r="R37" s="152"/>
      <c r="S37" s="152"/>
      <c r="T37" s="152"/>
      <c r="U37" s="683"/>
      <c r="V37" s="683"/>
      <c r="W37" s="683"/>
      <c r="X37" s="683"/>
      <c r="Y37" s="683"/>
      <c r="Z37" s="683"/>
      <c r="AA37" s="683"/>
    </row>
    <row r="38" spans="1:27" ht="12" customHeight="1">
      <c r="A38" s="25"/>
      <c r="G38" s="683"/>
      <c r="H38" s="683"/>
      <c r="I38" s="683"/>
      <c r="J38" s="683"/>
      <c r="K38" s="683"/>
      <c r="L38" s="683"/>
      <c r="M38" s="683"/>
      <c r="N38" s="683"/>
      <c r="O38" s="683"/>
      <c r="P38" s="683"/>
      <c r="Q38" s="683"/>
      <c r="R38" s="683"/>
      <c r="S38" s="683"/>
      <c r="T38" s="683"/>
      <c r="U38" s="683"/>
      <c r="V38" s="683"/>
      <c r="W38" s="683"/>
      <c r="X38" s="683"/>
      <c r="Y38" s="683"/>
      <c r="Z38" s="683"/>
      <c r="AA38" s="683"/>
    </row>
    <row r="39" spans="1:27" ht="12" customHeight="1">
      <c r="A39" s="25"/>
      <c r="G39" s="683"/>
      <c r="H39" s="683"/>
      <c r="I39" s="683"/>
      <c r="J39" s="683"/>
      <c r="K39" s="683"/>
      <c r="L39" s="683"/>
      <c r="M39" s="683"/>
      <c r="N39" s="683"/>
      <c r="O39" s="683"/>
      <c r="P39" s="683"/>
      <c r="Q39" s="683"/>
      <c r="R39" s="683"/>
      <c r="S39" s="683"/>
      <c r="T39" s="683"/>
      <c r="U39" s="683"/>
      <c r="V39" s="683"/>
      <c r="W39" s="683"/>
      <c r="X39" s="683"/>
      <c r="Y39" s="683"/>
      <c r="Z39" s="683"/>
      <c r="AA39" s="683"/>
    </row>
    <row r="40" spans="1:27" ht="12" customHeight="1">
      <c r="A40" s="25"/>
      <c r="G40" s="683"/>
      <c r="H40" s="683"/>
      <c r="I40" s="683"/>
      <c r="J40" s="152"/>
      <c r="K40" s="683"/>
      <c r="L40" s="683"/>
      <c r="M40" s="683"/>
      <c r="N40" s="683"/>
      <c r="O40" s="683"/>
      <c r="P40" s="683"/>
      <c r="Q40" s="683"/>
      <c r="R40" s="683"/>
      <c r="S40" s="683"/>
      <c r="T40" s="683"/>
      <c r="U40" s="683"/>
      <c r="V40" s="683"/>
      <c r="W40" s="683"/>
      <c r="X40" s="683"/>
      <c r="Y40" s="683"/>
      <c r="Z40" s="683"/>
      <c r="AA40" s="683"/>
    </row>
    <row r="41" spans="1:27" ht="12" customHeight="1">
      <c r="A41" s="25"/>
      <c r="G41" s="683"/>
      <c r="H41" s="683"/>
      <c r="I41" s="683"/>
      <c r="J41" s="152"/>
      <c r="K41" s="683"/>
      <c r="L41" s="683"/>
      <c r="M41" s="683"/>
      <c r="N41" s="683"/>
      <c r="O41" s="683"/>
      <c r="P41" s="683"/>
      <c r="Q41" s="683"/>
      <c r="R41" s="683"/>
      <c r="S41" s="683"/>
      <c r="T41" s="683"/>
      <c r="U41" s="683"/>
      <c r="V41" s="683"/>
      <c r="W41" s="683"/>
      <c r="X41" s="683"/>
      <c r="Y41" s="683"/>
      <c r="Z41" s="683"/>
      <c r="AA41" s="683"/>
    </row>
    <row r="42" spans="1:27" ht="14.25">
      <c r="A42" s="25"/>
      <c r="G42" s="683"/>
      <c r="H42" s="683"/>
      <c r="I42" s="683"/>
      <c r="J42" s="683"/>
      <c r="K42" s="683"/>
      <c r="L42" s="683"/>
      <c r="M42" s="683"/>
      <c r="N42" s="683"/>
      <c r="O42" s="683"/>
      <c r="P42" s="683"/>
      <c r="Q42" s="683"/>
      <c r="R42" s="683"/>
      <c r="S42" s="683"/>
      <c r="T42" s="683"/>
      <c r="U42" s="683"/>
      <c r="V42" s="683"/>
      <c r="W42" s="683"/>
      <c r="X42" s="683"/>
      <c r="Y42" s="683"/>
      <c r="Z42" s="683"/>
      <c r="AA42" s="683"/>
    </row>
    <row r="43" spans="1:27" ht="14.25">
      <c r="A43" s="25"/>
      <c r="G43" s="683"/>
      <c r="H43" s="683"/>
      <c r="I43" s="683"/>
      <c r="J43" s="683"/>
      <c r="K43" s="683"/>
      <c r="L43" s="683"/>
      <c r="M43" s="683"/>
      <c r="N43" s="683"/>
      <c r="O43" s="683"/>
      <c r="P43" s="683"/>
      <c r="Q43" s="683"/>
      <c r="R43" s="683"/>
      <c r="S43" s="683"/>
      <c r="T43" s="683"/>
      <c r="U43" s="683"/>
      <c r="V43" s="683"/>
      <c r="W43" s="683"/>
      <c r="X43" s="683"/>
      <c r="Y43" s="683"/>
      <c r="Z43" s="683"/>
      <c r="AA43" s="683"/>
    </row>
    <row r="44" spans="1:27" ht="14.25">
      <c r="A44" s="25"/>
    </row>
    <row r="45" spans="1:27" ht="14.25">
      <c r="A45" s="25"/>
    </row>
    <row r="46" spans="1:27" ht="14.25">
      <c r="A46" s="25"/>
    </row>
    <row r="47" spans="1:27" ht="14.25">
      <c r="A47" s="25"/>
    </row>
    <row r="48" spans="1:27"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4">
    <mergeCell ref="W2:X2"/>
    <mergeCell ref="N2:Q2"/>
    <mergeCell ref="R2:U2"/>
    <mergeCell ref="J2:M2"/>
  </mergeCells>
  <phoneticPr fontId="7" type="noConversion"/>
  <hyperlinks>
    <hyperlink ref="B5" location="FH!A1" display="재무현황" xr:uid="{FE52DEA7-2124-4B67-8F74-29AEBA2CDD4F}"/>
    <hyperlink ref="B7" location="FS!A1" display="요약재무상태표 (Selected Balance sheet)" xr:uid="{B5254D73-E1B4-42F4-A0CB-333437FF8489}"/>
    <hyperlink ref="C15" location="Stability!A1" display="재무 안정성 (Financial Stability)" xr:uid="{AA64DDD9-F01E-4DCE-9AA1-FC0F35B80204}"/>
    <hyperlink ref="C16" location="Productivity!A1" display="생산성 / 경영효율 (Productivity / Operating Efficiency)" xr:uid="{DD646FA0-7D3E-4678-A941-42C59E0F168E}"/>
    <hyperlink ref="C20" location="'Premium Income by P.T.(GA+SA)'!A1" display="상품별 수입보험료 (Premium Income)" xr:uid="{3610240B-4DBF-48DC-AB53-C51ED40CD202}"/>
    <hyperlink ref="C21" location="'Initial P. by P.T.'!A1" display="상품별 초회보험료 (Initial Premium)" xr:uid="{3C08F756-CC7E-4E37-AE20-18DD6853FE4D}"/>
    <hyperlink ref="C22" location="'First-year P. by P.T.'!A1" display="상품별 초년도보험료 (First Year Premium)" xr:uid="{5293BF01-F0E4-4AC5-BCE3-08A77D306618}"/>
    <hyperlink ref="C26" location="'Premium Income by D.C.(GA+SA)'!A1" display="채널별 수입보험료 (Premium Income)" xr:uid="{11D4E51E-78C7-4E62-AAA1-62321BD13985}"/>
    <hyperlink ref="C27" location="'First-year P. by D.C'!A1" display="채널별 초년도보험료 (First Year Premium)" xr:uid="{0FD7C167-C54C-446C-9D4E-096B4C946313}"/>
    <hyperlink ref="C31" location="'&gt;Loan'!A1" display="대출 (Loan)/ 자산건전성 (Asset Quality of Loan)" xr:uid="{2525F638-6DD3-4F95-A867-5D18A3572F09}"/>
    <hyperlink ref="C32" location="'&gt;Bond'!A1" display="채권 (Bond)" xr:uid="{E0BABB44-E17A-44AF-AFE8-AE5BD3A99891}"/>
    <hyperlink ref="C35" location="'BS  K-IFRS'!A1" display="재무상태표 (Balance Sheet - KIFRS)" xr:uid="{F2110588-B82E-4DEF-9616-7DE0A44D5ACD}"/>
    <hyperlink ref="C36" location="'IS  K-IFRS'!A1" display="손익계산서 (Income Statement - KIFRS)" xr:uid="{7F344569-78A5-4C17-8DE3-B1AFE4661081}"/>
    <hyperlink ref="B8" location="FS!A1" display="요약손익계산서 (Selected Income Statement)" xr:uid="{DB662490-338C-4406-ABB5-F4BECD2208CB}"/>
    <hyperlink ref="B10" location="CSM!A1" display="RA, CSM, BEL Movement" xr:uid="{D15FB4EB-E7D8-4B7F-81F3-750B47C4FF79}"/>
    <hyperlink ref="B11" location="CSM!A1" display="신계약 CSM (New Business CSM)" xr:uid="{BE2ADEA2-F479-4588-9E33-FBE9FA759ACC}"/>
    <hyperlink ref="B13" location="'Sources of Margin'!A1" display="이원별손익" xr:uid="{96F61222-428A-49DC-B5BB-A28FCFABC495}"/>
    <hyperlink ref="B12" location="CSM!A1" display="신계약 CSM 배수 (New Business CSM Margin)" xr:uid="{C3AAA8E3-7821-48DD-8C79-2D4164F5E8CA}"/>
    <hyperlink ref="C19" location="'APE by P.T'!A1" display="상품별 APE (Annualized Premium Equivalent (APE))" xr:uid="{D03AE58F-F652-44FD-8C0E-37CF22604D29}"/>
    <hyperlink ref="C25" location="'APE by D.C'!A1" display="채널별 APE (Annualized Premium Equivalent (APE))" xr:uid="{1F0359E4-F29C-4A6D-9DA1-CF6BE3493484}"/>
  </hyperlinks>
  <pageMargins left="0.19685039370078741" right="0.19685039370078741"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05"/>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7" width="11.85546875" style="1" bestFit="1" customWidth="1"/>
    <col min="18" max="16384" width="9.140625" style="1"/>
  </cols>
  <sheetData>
    <row r="1" spans="1:17" s="3" customFormat="1" ht="24" customHeight="1">
      <c r="A1" s="6"/>
      <c r="F1" s="4" t="s">
        <v>10</v>
      </c>
      <c r="G1" s="81" t="s">
        <v>79</v>
      </c>
      <c r="H1" s="82"/>
      <c r="I1" s="82"/>
    </row>
    <row r="2" spans="1:17" ht="12" customHeight="1">
      <c r="A2" s="140"/>
      <c r="B2" s="141"/>
      <c r="C2" s="141"/>
      <c r="F2" s="2" t="s">
        <v>5</v>
      </c>
      <c r="G2" s="99" t="s">
        <v>80</v>
      </c>
      <c r="H2" s="100"/>
      <c r="I2" s="100"/>
    </row>
    <row r="3" spans="1:17" ht="12" customHeight="1">
      <c r="A3" s="140" t="s">
        <v>27</v>
      </c>
      <c r="B3" s="141"/>
      <c r="C3" s="141"/>
      <c r="F3" s="57"/>
      <c r="G3" s="101"/>
      <c r="H3" s="101"/>
      <c r="I3" s="102"/>
      <c r="J3" s="854" t="s">
        <v>82</v>
      </c>
      <c r="K3" s="855"/>
      <c r="L3" s="856" t="s">
        <v>83</v>
      </c>
      <c r="M3" s="854"/>
      <c r="N3" s="855"/>
      <c r="O3" s="101"/>
      <c r="P3" s="101"/>
    </row>
    <row r="4" spans="1:17" ht="12" customHeight="1">
      <c r="A4" s="140"/>
      <c r="B4" s="141"/>
      <c r="C4" s="141"/>
      <c r="F4" s="8" t="s">
        <v>8</v>
      </c>
      <c r="G4" s="84" t="s">
        <v>81</v>
      </c>
      <c r="H4" s="103"/>
      <c r="I4" s="104"/>
      <c r="J4" s="430">
        <v>46022</v>
      </c>
      <c r="K4" s="187">
        <v>45657</v>
      </c>
      <c r="L4" s="430">
        <v>46022</v>
      </c>
      <c r="M4" s="259">
        <v>45657</v>
      </c>
      <c r="N4" s="266">
        <v>45930</v>
      </c>
      <c r="O4" s="262" t="s">
        <v>23</v>
      </c>
      <c r="P4" s="110" t="s">
        <v>24</v>
      </c>
    </row>
    <row r="5" spans="1:17" ht="12" customHeight="1">
      <c r="A5" s="150"/>
      <c r="B5" s="140" t="s">
        <v>155</v>
      </c>
      <c r="C5" s="140"/>
      <c r="F5" s="9" t="s">
        <v>0</v>
      </c>
      <c r="G5" s="105" t="s">
        <v>84</v>
      </c>
      <c r="H5" s="105"/>
      <c r="I5" s="105"/>
      <c r="J5" s="155">
        <f>SUM(J6,J10,J14)</f>
        <v>666.48624948969996</v>
      </c>
      <c r="K5" s="65">
        <f>SUM(K6,K10,K14)</f>
        <v>919.72579205400007</v>
      </c>
      <c r="L5" s="157">
        <f>SUM(L6,L10,L14)</f>
        <v>143.2803235657</v>
      </c>
      <c r="M5" s="158">
        <f>SUM(M6,M10,M14)</f>
        <v>219.07320044799999</v>
      </c>
      <c r="N5" s="158">
        <f>SUM(N6,N10,N14)</f>
        <v>183.0835908171</v>
      </c>
      <c r="O5" s="192">
        <f>IF(J5/K5&lt;0,"n.a.",IF(K5&gt;0,ROUND(J5,4)/ROUND(K5,4)-1,IF(K5&lt;0,"n.a.")))</f>
        <v>-0.27534249881866968</v>
      </c>
      <c r="P5" s="192">
        <f>IF(L5/N5&lt;0,"n.a.",IF(N5&gt;0,ROUND(L5,4)/ROUND(N5,4)-1,IF(N5&lt;0,"n.a.")))</f>
        <v>-0.21740505430306145</v>
      </c>
      <c r="Q5" s="202"/>
    </row>
    <row r="6" spans="1:17" ht="12" customHeight="1">
      <c r="A6" s="150"/>
      <c r="B6" s="149"/>
      <c r="C6" s="141"/>
      <c r="F6" s="7"/>
      <c r="G6" s="106" t="s">
        <v>85</v>
      </c>
      <c r="H6" s="106"/>
      <c r="I6" s="106"/>
      <c r="J6" s="159">
        <f>SUM(J7:J9)</f>
        <v>626.61750743079995</v>
      </c>
      <c r="K6" s="66">
        <f>SUM(K7:K9)</f>
        <v>862.04174747859997</v>
      </c>
      <c r="L6" s="160">
        <f>SUM(L7:L9)</f>
        <v>134.93865829269998</v>
      </c>
      <c r="M6" s="161">
        <f>SUM(M7:M9)</f>
        <v>217.8889839798</v>
      </c>
      <c r="N6" s="161">
        <f>SUM(N7:N9)</f>
        <v>156.23766577480001</v>
      </c>
      <c r="O6" s="193">
        <f>IF(J6/K6&lt;0,"n.a.",IF(K6&gt;0,ROUND(J6,4)/ROUND(K6,4)-1,IF(K6&lt;0,"n.a.")))</f>
        <v>-0.27310070962924415</v>
      </c>
      <c r="P6" s="193">
        <f>IF(L6/N6&lt;0,"n.a.",IF(N6&gt;0,ROUND(L6,4)/ROUND(N6,4)-1,IF(N6&lt;0,"n.a.")))</f>
        <v>-0.13632433145137168</v>
      </c>
      <c r="Q6" s="208"/>
    </row>
    <row r="7" spans="1:17" ht="12" customHeight="1">
      <c r="A7" s="150"/>
      <c r="B7" s="149" t="s">
        <v>212</v>
      </c>
      <c r="C7" s="141"/>
      <c r="F7" s="7"/>
      <c r="G7" s="107"/>
      <c r="H7" s="107" t="s">
        <v>86</v>
      </c>
      <c r="I7" s="107"/>
      <c r="J7" s="162">
        <v>222.99436692800001</v>
      </c>
      <c r="K7" s="67">
        <v>475.83736482999996</v>
      </c>
      <c r="L7" s="154">
        <v>57.724018356000002</v>
      </c>
      <c r="M7" s="164">
        <v>114.35166754799999</v>
      </c>
      <c r="N7" s="164">
        <v>49.964474448000004</v>
      </c>
      <c r="O7" s="194">
        <f>IF(J7/K7&lt;0,"n.a.",IF(K7&gt;0,ROUND(J7,4)/ROUND(K7,4)-1,IF(K7&lt;0,"n.a.")))</f>
        <v>-0.53136428536302527</v>
      </c>
      <c r="P7" s="194">
        <f>IF(L7/N7&lt;0,"n.a.",IF(N7&gt;0,ROUND(L7,4)/ROUND(N7,4)-1,IF(N7&lt;0,"n.a.")))</f>
        <v>0.15530026318686252</v>
      </c>
      <c r="Q7" s="204"/>
    </row>
    <row r="8" spans="1:17" ht="12" customHeight="1">
      <c r="A8" s="150"/>
      <c r="B8" s="149" t="s">
        <v>213</v>
      </c>
      <c r="C8" s="141"/>
      <c r="F8" s="7"/>
      <c r="G8" s="107"/>
      <c r="H8" s="107" t="s">
        <v>87</v>
      </c>
      <c r="I8" s="107"/>
      <c r="J8" s="162">
        <v>-2.4717911999999998E-2</v>
      </c>
      <c r="K8" s="67">
        <v>-1.1071823999999999E-2</v>
      </c>
      <c r="L8" s="154">
        <v>-1.30449E-2</v>
      </c>
      <c r="M8" s="164">
        <v>-2.3455680000000001E-3</v>
      </c>
      <c r="N8" s="164">
        <v>-6.6940800000000003E-4</v>
      </c>
      <c r="O8" s="194"/>
      <c r="P8" s="194"/>
      <c r="Q8" s="204"/>
    </row>
    <row r="9" spans="1:17" ht="12" customHeight="1">
      <c r="A9" s="150"/>
      <c r="B9" s="149"/>
      <c r="C9" s="141"/>
      <c r="F9" s="7"/>
      <c r="G9" s="107"/>
      <c r="H9" s="107" t="s">
        <v>88</v>
      </c>
      <c r="I9" s="107"/>
      <c r="J9" s="162">
        <v>403.64785841479994</v>
      </c>
      <c r="K9" s="67">
        <v>386.21545447260002</v>
      </c>
      <c r="L9" s="154">
        <v>77.227684836699979</v>
      </c>
      <c r="M9" s="164">
        <v>103.5396619998</v>
      </c>
      <c r="N9" s="164">
        <v>106.27386073480001</v>
      </c>
      <c r="O9" s="194">
        <f>IF(J9/K9&lt;0,"n.a.",IF(K9&gt;0,ROUND(J9,4)/ROUND(K9,4)-1,IF(K9&lt;0,"n.a.")))</f>
        <v>4.5136458790493883E-2</v>
      </c>
      <c r="P9" s="194">
        <f>IF(L9/N9&lt;0,"n.a.",IF(N9&gt;0,ROUND(L9,4)/ROUND(N9,4)-1,IF(N9&lt;0,"n.a.")))</f>
        <v>-0.27331452031025494</v>
      </c>
      <c r="Q9" s="204"/>
    </row>
    <row r="10" spans="1:17" ht="12" customHeight="1">
      <c r="A10" s="140"/>
      <c r="B10" s="149" t="s">
        <v>171</v>
      </c>
      <c r="C10" s="141"/>
      <c r="F10" s="7"/>
      <c r="G10" s="108" t="s">
        <v>89</v>
      </c>
      <c r="H10" s="108"/>
      <c r="I10" s="108"/>
      <c r="J10" s="159">
        <f>SUM(J11:J13)</f>
        <v>39.275991293099992</v>
      </c>
      <c r="K10" s="66">
        <f>SUM(K11:K13)</f>
        <v>54.282144952699994</v>
      </c>
      <c r="L10" s="165">
        <f>SUM(L11:L13)</f>
        <v>8.2063762071999982</v>
      </c>
      <c r="M10" s="166">
        <f>SUM(M11:M13)</f>
        <v>1.0654130670999999</v>
      </c>
      <c r="N10" s="166">
        <f>SUM(N11:N13)</f>
        <v>26.703909073399998</v>
      </c>
      <c r="O10" s="195">
        <f>IF(J10/K10&lt;0,"n.a.",IF(K10&gt;0,ROUND(J10,4)/ROUND(K10,4)-1,IF(K10&lt;0,"n.a.")))</f>
        <v>-0.27644656341593266</v>
      </c>
      <c r="P10" s="195">
        <f>IF(L10/N10&lt;0,"n.a.",IF(N10&gt;0,ROUND(L10,4)/ROUND(N10,4)-1,IF(N10&lt;0,"n.a.")))</f>
        <v>-0.69268908286804542</v>
      </c>
      <c r="Q10" s="204"/>
    </row>
    <row r="11" spans="1:17" ht="12" customHeight="1">
      <c r="A11" s="140"/>
      <c r="B11" s="149" t="s">
        <v>166</v>
      </c>
      <c r="C11" s="141"/>
      <c r="F11" s="7"/>
      <c r="G11" s="107"/>
      <c r="H11" s="107" t="s">
        <v>90</v>
      </c>
      <c r="I11" s="107"/>
      <c r="J11" s="162">
        <v>0.14645550020000001</v>
      </c>
      <c r="K11" s="493">
        <v>5.9042362800000005E-2</v>
      </c>
      <c r="L11" s="590">
        <v>4.8636234200000003E-2</v>
      </c>
      <c r="M11" s="164">
        <v>1.31165125E-2</v>
      </c>
      <c r="N11" s="164">
        <v>5.1912915500000004E-2</v>
      </c>
      <c r="O11" s="194">
        <f>IF(J11/K11&lt;0,"n.a.",IF(K11&gt;0,ROUND(J11,4)/ROUND(K11,4)-1,IF(K11&lt;0,"n.a.")))</f>
        <v>1.4830508474576272</v>
      </c>
      <c r="P11" s="194">
        <f>IF(L11/N11&lt;0,"n.a.",IF(N11&gt;0,ROUND(L11,4)/ROUND(N11,4)-1,IF(N11&lt;0,"n.a.")))</f>
        <v>-6.3583815028901869E-2</v>
      </c>
      <c r="Q11" s="204"/>
    </row>
    <row r="12" spans="1:17" ht="12" customHeight="1">
      <c r="A12" s="140"/>
      <c r="B12" s="149" t="s">
        <v>222</v>
      </c>
      <c r="C12" s="141"/>
      <c r="F12" s="7"/>
      <c r="G12" s="107"/>
      <c r="H12" s="107" t="s">
        <v>91</v>
      </c>
      <c r="I12" s="107"/>
      <c r="J12" s="162">
        <v>39.129535792899993</v>
      </c>
      <c r="K12" s="67">
        <v>54.223102589899995</v>
      </c>
      <c r="L12" s="154">
        <v>8.1577399729999982</v>
      </c>
      <c r="M12" s="164">
        <v>1.0522965546</v>
      </c>
      <c r="N12" s="164">
        <v>26.651996157899998</v>
      </c>
      <c r="O12" s="194">
        <f>IF(J12/K12&lt;0,"n.a.",IF(K12&gt;0,ROUND(J12,4)/ROUND(K12,4)-1,IF(K12&lt;0,"n.a.")))</f>
        <v>-0.27836106751550538</v>
      </c>
      <c r="P12" s="194">
        <f>IF(L12/N12&lt;0,"n.a.",IF(N12&gt;0,ROUND(L12,4)/ROUND(N12,4)-1,IF(N12&lt;0,"n.a.")))</f>
        <v>-0.69391790484766624</v>
      </c>
      <c r="Q12" s="204"/>
    </row>
    <row r="13" spans="1:17" ht="12" customHeight="1">
      <c r="A13" s="140"/>
      <c r="B13" s="149"/>
      <c r="C13" s="141"/>
      <c r="F13" s="7"/>
      <c r="G13" s="107"/>
      <c r="H13" s="107" t="s">
        <v>92</v>
      </c>
      <c r="I13" s="107"/>
      <c r="J13" s="162">
        <v>0</v>
      </c>
      <c r="K13" s="67">
        <v>0</v>
      </c>
      <c r="L13" s="154">
        <v>0</v>
      </c>
      <c r="M13" s="164">
        <v>0</v>
      </c>
      <c r="N13" s="164">
        <v>0</v>
      </c>
      <c r="O13" s="194"/>
      <c r="P13" s="194"/>
      <c r="Q13" s="204"/>
    </row>
    <row r="14" spans="1:17" ht="12" customHeight="1">
      <c r="A14" s="140"/>
      <c r="B14" s="140" t="s">
        <v>173</v>
      </c>
      <c r="C14" s="141"/>
      <c r="F14" s="7"/>
      <c r="G14" s="108" t="s">
        <v>93</v>
      </c>
      <c r="H14" s="108"/>
      <c r="I14" s="108"/>
      <c r="J14" s="159">
        <f>SUM(J15:J17)</f>
        <v>0.59275076579999997</v>
      </c>
      <c r="K14" s="66">
        <f>SUM(K15:K17)</f>
        <v>3.4018996227000002</v>
      </c>
      <c r="L14" s="165">
        <f>SUM(L15:L17)</f>
        <v>0.1352890658</v>
      </c>
      <c r="M14" s="166">
        <f>SUM(M15:M17)</f>
        <v>0.11880340109999998</v>
      </c>
      <c r="N14" s="166">
        <f>SUM(N15:N17)</f>
        <v>0.14201596890000001</v>
      </c>
      <c r="O14" s="195">
        <f>IF(J14/K14&lt;0,"n.a.",IF(K14&gt;0,ROUND(J14,4)/ROUND(K14,4)-1,IF(K14&lt;0,"n.a.")))</f>
        <v>-0.82574443693230259</v>
      </c>
      <c r="P14" s="195">
        <f>IF(L14/N14&lt;0,"n.a.",IF(N14&gt;0,ROUND(L14,4)/ROUND(N14,4)-1,IF(N14&lt;0,"n.a.")))</f>
        <v>-4.7183098591549233E-2</v>
      </c>
      <c r="Q14" s="204"/>
    </row>
    <row r="15" spans="1:17" ht="12" customHeight="1">
      <c r="A15" s="140"/>
      <c r="B15" s="142"/>
      <c r="C15" s="149" t="s">
        <v>40</v>
      </c>
      <c r="F15" s="7"/>
      <c r="G15" s="107"/>
      <c r="H15" s="107" t="s">
        <v>90</v>
      </c>
      <c r="I15" s="107"/>
      <c r="J15" s="162">
        <v>0</v>
      </c>
      <c r="K15" s="67">
        <v>3.3913198000000002</v>
      </c>
      <c r="L15" s="154">
        <v>0</v>
      </c>
      <c r="M15" s="164">
        <v>0</v>
      </c>
      <c r="N15" s="164">
        <v>0</v>
      </c>
      <c r="O15" s="194"/>
      <c r="P15" s="194"/>
      <c r="Q15" s="204"/>
    </row>
    <row r="16" spans="1:17" ht="12" customHeight="1">
      <c r="A16" s="140"/>
      <c r="B16" s="140"/>
      <c r="C16" s="149" t="s">
        <v>41</v>
      </c>
      <c r="F16" s="7"/>
      <c r="G16" s="107"/>
      <c r="H16" s="107" t="s">
        <v>91</v>
      </c>
      <c r="I16" s="107"/>
      <c r="J16" s="162">
        <v>0.59275076579999997</v>
      </c>
      <c r="K16" s="67">
        <v>1.0579822700000008E-2</v>
      </c>
      <c r="L16" s="154">
        <v>0.1352890658</v>
      </c>
      <c r="M16" s="164">
        <v>0.11880340109999998</v>
      </c>
      <c r="N16" s="164">
        <v>0.14201596890000001</v>
      </c>
      <c r="O16" s="194">
        <f>IF(J16/K16&lt;0,"n.a.",IF(K16&gt;0,ROUND(J16,4)/ROUND(K16,4)-1,IF(K16&lt;0,"n.a.")))</f>
        <v>54.924528301886795</v>
      </c>
      <c r="P16" s="194">
        <f>IF(L16/N16&lt;0,"n.a.",IF(N16&gt;0,ROUND(L16,4)/ROUND(N16,4)-1,IF(N16&lt;0,"n.a.")))</f>
        <v>-4.7183098591549233E-2</v>
      </c>
      <c r="Q16" s="204"/>
    </row>
    <row r="17" spans="1:17" ht="12" customHeight="1">
      <c r="A17" s="140"/>
      <c r="B17" s="140"/>
      <c r="C17" s="149"/>
      <c r="F17" s="7"/>
      <c r="G17" s="107"/>
      <c r="H17" s="107" t="s">
        <v>94</v>
      </c>
      <c r="I17" s="107"/>
      <c r="J17" s="162">
        <v>0</v>
      </c>
      <c r="K17" s="67">
        <v>0</v>
      </c>
      <c r="L17" s="154">
        <v>0</v>
      </c>
      <c r="M17" s="164">
        <v>0</v>
      </c>
      <c r="N17" s="164">
        <v>0</v>
      </c>
      <c r="O17" s="194"/>
      <c r="P17" s="194"/>
      <c r="Q17" s="204"/>
    </row>
    <row r="18" spans="1:17" ht="12" customHeight="1">
      <c r="A18" s="140"/>
      <c r="B18" s="140" t="s">
        <v>176</v>
      </c>
      <c r="C18" s="149"/>
      <c r="F18" s="9" t="s">
        <v>1</v>
      </c>
      <c r="G18" s="105" t="s">
        <v>95</v>
      </c>
      <c r="H18" s="105"/>
      <c r="I18" s="105"/>
      <c r="J18" s="155">
        <f>SUM(J19:J20)</f>
        <v>0</v>
      </c>
      <c r="K18" s="65">
        <f>SUM(K19:K20)</f>
        <v>0</v>
      </c>
      <c r="L18" s="157">
        <f>SUM(L19:L20)</f>
        <v>0</v>
      </c>
      <c r="M18" s="158">
        <f>SUM(M19:M20)</f>
        <v>0</v>
      </c>
      <c r="N18" s="158">
        <f>SUM(N19:N20)</f>
        <v>0</v>
      </c>
      <c r="O18" s="192"/>
      <c r="P18" s="192"/>
      <c r="Q18" s="204"/>
    </row>
    <row r="19" spans="1:17" ht="12" customHeight="1">
      <c r="A19" s="140"/>
      <c r="B19" s="140"/>
      <c r="C19" s="149" t="s">
        <v>33</v>
      </c>
      <c r="F19" s="7"/>
      <c r="G19" s="107" t="s">
        <v>96</v>
      </c>
      <c r="H19" s="107"/>
      <c r="I19" s="107"/>
      <c r="J19" s="162">
        <v>0</v>
      </c>
      <c r="K19" s="67">
        <v>0</v>
      </c>
      <c r="L19" s="154">
        <v>0</v>
      </c>
      <c r="M19" s="164">
        <v>0</v>
      </c>
      <c r="N19" s="164">
        <v>0</v>
      </c>
      <c r="O19" s="194"/>
      <c r="P19" s="194"/>
      <c r="Q19" s="204"/>
    </row>
    <row r="20" spans="1:17" ht="12" customHeight="1">
      <c r="A20" s="140"/>
      <c r="B20" s="140"/>
      <c r="C20" s="149" t="s">
        <v>29</v>
      </c>
      <c r="F20" s="7"/>
      <c r="G20" s="109" t="s">
        <v>97</v>
      </c>
      <c r="H20" s="109"/>
      <c r="I20" s="109"/>
      <c r="J20" s="167">
        <v>0</v>
      </c>
      <c r="K20" s="68">
        <v>0</v>
      </c>
      <c r="L20" s="169">
        <v>0</v>
      </c>
      <c r="M20" s="170">
        <v>0</v>
      </c>
      <c r="N20" s="170">
        <v>0</v>
      </c>
      <c r="O20" s="196"/>
      <c r="P20" s="196"/>
      <c r="Q20" s="204"/>
    </row>
    <row r="21" spans="1:17" ht="12" customHeight="1">
      <c r="A21" s="140"/>
      <c r="B21" s="140"/>
      <c r="C21" s="149" t="s">
        <v>30</v>
      </c>
      <c r="F21" s="18"/>
      <c r="G21" s="105" t="s">
        <v>98</v>
      </c>
      <c r="H21" s="105"/>
      <c r="I21" s="105"/>
      <c r="J21" s="155">
        <f>SUM(J22:J24)</f>
        <v>666.48624948969996</v>
      </c>
      <c r="K21" s="156">
        <f>SUM(K22:K24)</f>
        <v>919.72579205400007</v>
      </c>
      <c r="L21" s="157">
        <f>SUM(L22:L24)</f>
        <v>143.2803235657</v>
      </c>
      <c r="M21" s="158">
        <f>SUM(M22:M24)</f>
        <v>219.07320044799999</v>
      </c>
      <c r="N21" s="158">
        <f>SUM(N22:N24)</f>
        <v>183.0835908171</v>
      </c>
      <c r="O21" s="192">
        <f>IF(J21/K21&lt;0,"n.a.",IF(K21&gt;0,ROUND(J21,4)/ROUND(K21,4)-1,IF(K21&lt;0,"n.a.")))</f>
        <v>-0.27534249881866968</v>
      </c>
      <c r="P21" s="192">
        <f>IF(L21/N21&lt;0,"n.a.",IF(N21&gt;0,ROUND(L21,4)/ROUND(N21,4)-1,IF(N21&lt;0,"n.a.")))</f>
        <v>-0.21740505430306145</v>
      </c>
      <c r="Q21" s="204"/>
    </row>
    <row r="22" spans="1:17" ht="12" customHeight="1">
      <c r="A22" s="140"/>
      <c r="B22" s="140"/>
      <c r="C22" s="149" t="s">
        <v>31</v>
      </c>
      <c r="F22" s="9" t="s">
        <v>4</v>
      </c>
      <c r="G22" s="188" t="s">
        <v>85</v>
      </c>
      <c r="H22" s="107"/>
      <c r="I22" s="107"/>
      <c r="J22" s="162">
        <f>SUM(J6,J19)</f>
        <v>626.61750743079995</v>
      </c>
      <c r="K22" s="171">
        <f>SUM(K6,K19)</f>
        <v>862.04174747859997</v>
      </c>
      <c r="L22" s="154">
        <f>SUM(L6,L19)</f>
        <v>134.93865829269998</v>
      </c>
      <c r="M22" s="164">
        <f>SUM(M6,M19)</f>
        <v>217.8889839798</v>
      </c>
      <c r="N22" s="164">
        <f>SUM(N6,N19)</f>
        <v>156.23766577480001</v>
      </c>
      <c r="O22" s="194">
        <f>IF(J22/K22&lt;0,"n.a.",IF(K22&gt;0,ROUND(J22,4)/ROUND(K22,4)-1,IF(K22&lt;0,"n.a.")))</f>
        <v>-0.27310070962924415</v>
      </c>
      <c r="P22" s="194">
        <f>IF(L22/N22&lt;0,"n.a.",IF(N22&gt;0,ROUND(L22,4)/ROUND(N22,4)-1,IF(N22&lt;0,"n.a.")))</f>
        <v>-0.13632433145137168</v>
      </c>
      <c r="Q22" s="204"/>
    </row>
    <row r="23" spans="1:17" ht="12" customHeight="1">
      <c r="A23" s="140"/>
      <c r="B23" s="140"/>
      <c r="C23" s="149"/>
      <c r="F23" s="7"/>
      <c r="G23" s="107" t="s">
        <v>99</v>
      </c>
      <c r="H23" s="107"/>
      <c r="I23" s="107"/>
      <c r="J23" s="162">
        <f>J10</f>
        <v>39.275991293099992</v>
      </c>
      <c r="K23" s="163">
        <f>K10</f>
        <v>54.282144952699994</v>
      </c>
      <c r="L23" s="154">
        <f>L10</f>
        <v>8.2063762071999982</v>
      </c>
      <c r="M23" s="164">
        <f>M10</f>
        <v>1.0654130670999999</v>
      </c>
      <c r="N23" s="164">
        <f>N10</f>
        <v>26.703909073399998</v>
      </c>
      <c r="O23" s="194">
        <f>IF(J23/K23&lt;0,"n.a.",IF(K23&gt;0,ROUND(J23,4)/ROUND(K23,4)-1,IF(K23&lt;0,"n.a.")))</f>
        <v>-0.27644656341593266</v>
      </c>
      <c r="P23" s="194">
        <f>IF(L23/N23&lt;0,"n.a.",IF(N23&gt;0,ROUND(L23,4)/ROUND(N23,4)-1,IF(N23&lt;0,"n.a.")))</f>
        <v>-0.69268908286804542</v>
      </c>
      <c r="Q23" s="204"/>
    </row>
    <row r="24" spans="1:17" ht="12" customHeight="1">
      <c r="A24" s="140"/>
      <c r="B24" s="140" t="s">
        <v>181</v>
      </c>
      <c r="C24" s="149"/>
      <c r="F24" s="7"/>
      <c r="G24" s="109" t="s">
        <v>93</v>
      </c>
      <c r="H24" s="109"/>
      <c r="I24" s="109"/>
      <c r="J24" s="167">
        <f>SUM(J14,J20)</f>
        <v>0.59275076579999997</v>
      </c>
      <c r="K24" s="168">
        <f>SUM(K14,K20)</f>
        <v>3.4018996227000002</v>
      </c>
      <c r="L24" s="169">
        <f>SUM(L14,L20)</f>
        <v>0.1352890658</v>
      </c>
      <c r="M24" s="170">
        <f>SUM(M14,M20)</f>
        <v>0.11880340109999998</v>
      </c>
      <c r="N24" s="170">
        <f>SUM(N14,N20)</f>
        <v>0.14201596890000001</v>
      </c>
      <c r="O24" s="196">
        <f>IF(J24/K24&lt;0,"n.a.",IF(K24&gt;0,ROUND(J24,4)/ROUND(K24,4)-1,IF(K24&lt;0,"n.a.")))</f>
        <v>-0.82574443693230259</v>
      </c>
      <c r="P24" s="196">
        <f>IF(L24/N24&lt;0,"n.a.",IF(N24&gt;0,ROUND(L24,4)/ROUND(N24,4)-1,IF(N24&lt;0,"n.a.")))</f>
        <v>-4.7183098591549233E-2</v>
      </c>
      <c r="Q24" s="204"/>
    </row>
    <row r="25" spans="1:17" ht="12" customHeight="1">
      <c r="A25" s="140"/>
      <c r="B25" s="140"/>
      <c r="C25" s="149" t="s">
        <v>32</v>
      </c>
      <c r="F25" s="18"/>
      <c r="G25" s="105" t="s">
        <v>100</v>
      </c>
      <c r="H25" s="105"/>
      <c r="I25" s="105"/>
      <c r="J25" s="155">
        <f>SUM(J26:J27)</f>
        <v>29.837291985499999</v>
      </c>
      <c r="K25" s="65">
        <f>SUM(K26:K27)</f>
        <v>63.266907044699998</v>
      </c>
      <c r="L25" s="172">
        <f>SUM(L26:L27)</f>
        <v>29.627664088900001</v>
      </c>
      <c r="M25" s="158">
        <f>SUM(M26:M27)</f>
        <v>31.235349109200001</v>
      </c>
      <c r="N25" s="158">
        <f>SUM(N26:N27)</f>
        <v>5.1482130399999999E-2</v>
      </c>
      <c r="O25" s="591">
        <f>IF(J25/K25&lt;0,"n.a.",IF(K25&gt;0,ROUND(J25,4)/ROUND(K25,4)-1,IF(K25&lt;0,"n.a.")))</f>
        <v>-0.52839004281859869</v>
      </c>
      <c r="P25" s="192">
        <f>IF(L25/N25&lt;0,"n.a.",IF(N25&gt;0,ROUND(L25,4)/ROUND(N25,4)-1,IF(N25&lt;0,"n.a.")))</f>
        <v>574.29514563106795</v>
      </c>
      <c r="Q25" s="204"/>
    </row>
    <row r="26" spans="1:17" ht="12" customHeight="1">
      <c r="A26" s="140"/>
      <c r="B26" s="140"/>
      <c r="C26" s="149" t="s">
        <v>34</v>
      </c>
      <c r="F26" s="9" t="s">
        <v>2</v>
      </c>
      <c r="G26" s="107" t="s">
        <v>101</v>
      </c>
      <c r="H26" s="107"/>
      <c r="I26" s="107"/>
      <c r="J26" s="162">
        <v>0</v>
      </c>
      <c r="K26" s="67">
        <v>0</v>
      </c>
      <c r="L26" s="154">
        <v>0</v>
      </c>
      <c r="M26" s="164">
        <v>0</v>
      </c>
      <c r="N26" s="164">
        <v>0</v>
      </c>
      <c r="O26" s="194"/>
      <c r="P26" s="194"/>
      <c r="Q26" s="204"/>
    </row>
    <row r="27" spans="1:17" ht="12" customHeight="1">
      <c r="A27" s="140"/>
      <c r="B27" s="140"/>
      <c r="C27" s="149" t="s">
        <v>35</v>
      </c>
      <c r="F27" s="7"/>
      <c r="G27" s="109" t="s">
        <v>102</v>
      </c>
      <c r="H27" s="109"/>
      <c r="I27" s="109"/>
      <c r="J27" s="167">
        <v>29.837291985499999</v>
      </c>
      <c r="K27" s="68">
        <v>63.266907044699998</v>
      </c>
      <c r="L27" s="169">
        <v>29.627664088900001</v>
      </c>
      <c r="M27" s="170">
        <v>31.235349109200001</v>
      </c>
      <c r="N27" s="170">
        <v>5.1482130399999999E-2</v>
      </c>
      <c r="O27" s="196">
        <f>IF(J27/K27&lt;0,"n.a.",IF(K27&gt;0,ROUND(J27,4)/ROUND(K27,4)-1,IF(K27&lt;0,"n.a.")))</f>
        <v>-0.52839004281859869</v>
      </c>
      <c r="P27" s="196">
        <f>IF(L27/N27&lt;0,"n.a.",IF(N27&gt;0,ROUND(L27,4)/ROUND(N27,4)-1,IF(N27&lt;0,"n.a.")))</f>
        <v>574.29514563106795</v>
      </c>
      <c r="Q27" s="204"/>
    </row>
    <row r="28" spans="1:17" ht="12" customHeight="1">
      <c r="A28" s="140"/>
      <c r="B28" s="140"/>
      <c r="C28" s="149"/>
      <c r="F28" s="18"/>
      <c r="G28" s="7"/>
      <c r="H28" s="7"/>
      <c r="I28" s="7"/>
      <c r="J28" s="74"/>
      <c r="K28" s="74"/>
      <c r="L28" s="74"/>
      <c r="M28" s="74"/>
      <c r="N28" s="74"/>
    </row>
    <row r="29" spans="1:17" ht="12" customHeight="1">
      <c r="A29" s="140"/>
      <c r="B29" s="140"/>
      <c r="C29" s="149"/>
      <c r="F29" s="7"/>
      <c r="G29" s="107"/>
      <c r="J29" s="516"/>
      <c r="K29" s="516"/>
      <c r="L29" s="516"/>
      <c r="M29" s="516"/>
      <c r="N29" s="516"/>
    </row>
    <row r="30" spans="1:17" s="3" customFormat="1" ht="12" customHeight="1">
      <c r="A30" s="140"/>
      <c r="B30" s="140" t="s">
        <v>185</v>
      </c>
      <c r="C30" s="149"/>
      <c r="D30" s="1"/>
      <c r="E30" s="1"/>
      <c r="F30" s="7"/>
      <c r="J30" s="516"/>
      <c r="K30" s="516"/>
      <c r="L30" s="516"/>
      <c r="M30" s="516"/>
      <c r="N30" s="516"/>
      <c r="O30" s="1"/>
      <c r="P30" s="1"/>
    </row>
    <row r="31" spans="1:17" ht="12" customHeight="1">
      <c r="A31" s="140"/>
      <c r="B31" s="140"/>
      <c r="C31" s="149" t="s">
        <v>147</v>
      </c>
      <c r="F31" s="4" t="s">
        <v>7</v>
      </c>
      <c r="I31" s="231"/>
      <c r="J31" s="831"/>
      <c r="K31" s="831"/>
      <c r="L31" s="831"/>
      <c r="M31" s="516"/>
      <c r="N31" s="516"/>
    </row>
    <row r="32" spans="1:17" ht="12" customHeight="1">
      <c r="A32" s="140"/>
      <c r="B32" s="140"/>
      <c r="C32" s="149" t="s">
        <v>36</v>
      </c>
      <c r="F32" s="2" t="s">
        <v>6</v>
      </c>
      <c r="I32" s="231"/>
      <c r="J32" s="831"/>
      <c r="K32" s="831"/>
      <c r="L32" s="831"/>
      <c r="M32" s="516"/>
      <c r="N32" s="516"/>
      <c r="Q32" s="318"/>
    </row>
    <row r="33" spans="1:17" ht="12" customHeight="1">
      <c r="A33" s="140"/>
      <c r="B33" s="140"/>
      <c r="C33" s="149"/>
      <c r="F33" s="57"/>
      <c r="J33" s="831"/>
      <c r="K33" s="831"/>
      <c r="L33" s="831"/>
      <c r="M33" s="516"/>
      <c r="N33" s="516"/>
    </row>
    <row r="34" spans="1:17" ht="12" customHeight="1">
      <c r="A34" s="140"/>
      <c r="B34" s="140" t="s">
        <v>188</v>
      </c>
      <c r="C34" s="149"/>
      <c r="F34" s="8" t="s">
        <v>8</v>
      </c>
      <c r="J34" s="516"/>
      <c r="K34" s="516"/>
      <c r="L34" s="516"/>
      <c r="M34" s="516"/>
      <c r="N34" s="516"/>
    </row>
    <row r="35" spans="1:17" ht="12" customHeight="1">
      <c r="A35" s="140"/>
      <c r="B35" s="140"/>
      <c r="C35" s="149" t="s">
        <v>37</v>
      </c>
      <c r="F35" s="9" t="s">
        <v>0</v>
      </c>
      <c r="J35" s="794"/>
      <c r="K35" s="794"/>
      <c r="L35" s="794"/>
      <c r="M35" s="794"/>
      <c r="N35" s="516"/>
    </row>
    <row r="36" spans="1:17" ht="12" customHeight="1">
      <c r="A36" s="140"/>
      <c r="B36" s="140"/>
      <c r="C36" s="149" t="s">
        <v>38</v>
      </c>
      <c r="F36" s="7"/>
      <c r="J36" s="516"/>
      <c r="K36" s="516"/>
      <c r="L36" s="516"/>
      <c r="M36" s="516"/>
      <c r="N36" s="516"/>
      <c r="Q36" s="318"/>
    </row>
    <row r="37" spans="1:17" ht="12" customHeight="1">
      <c r="A37" s="25"/>
      <c r="F37" s="7"/>
      <c r="J37" s="516"/>
      <c r="K37" s="516"/>
      <c r="L37" s="516"/>
      <c r="M37" s="516"/>
      <c r="N37" s="516"/>
    </row>
    <row r="38" spans="1:17" ht="12" customHeight="1">
      <c r="A38" s="25"/>
      <c r="F38" s="7"/>
      <c r="J38" s="516"/>
      <c r="K38" s="516"/>
      <c r="L38" s="516"/>
      <c r="M38" s="516"/>
      <c r="N38" s="516"/>
    </row>
    <row r="39" spans="1:17" ht="12" customHeight="1">
      <c r="A39" s="25"/>
      <c r="F39" s="7"/>
      <c r="J39" s="516"/>
      <c r="K39" s="516"/>
      <c r="L39" s="516"/>
      <c r="M39" s="516"/>
      <c r="N39" s="516"/>
    </row>
    <row r="40" spans="1:17" ht="12" customHeight="1">
      <c r="A40" s="25"/>
      <c r="F40" s="7"/>
      <c r="J40" s="516"/>
      <c r="K40" s="516"/>
      <c r="L40" s="516"/>
      <c r="M40" s="516"/>
      <c r="N40" s="516"/>
    </row>
    <row r="41" spans="1:17" ht="12" customHeight="1">
      <c r="A41" s="25"/>
      <c r="F41" s="7"/>
      <c r="J41" s="516"/>
      <c r="K41" s="516"/>
      <c r="L41" s="516"/>
      <c r="M41" s="516"/>
      <c r="N41" s="516"/>
    </row>
    <row r="42" spans="1:17" ht="12" customHeight="1">
      <c r="A42" s="25"/>
      <c r="F42" s="7"/>
      <c r="J42" s="516"/>
      <c r="K42" s="516"/>
      <c r="L42" s="516"/>
      <c r="M42" s="516"/>
      <c r="N42" s="516"/>
    </row>
    <row r="43" spans="1:17" ht="12" customHeight="1">
      <c r="A43" s="25"/>
      <c r="F43" s="7"/>
      <c r="J43" s="516"/>
      <c r="K43" s="516"/>
      <c r="L43" s="516"/>
      <c r="M43" s="516"/>
      <c r="N43" s="516"/>
    </row>
    <row r="44" spans="1:17" ht="12" customHeight="1">
      <c r="A44" s="25"/>
      <c r="F44" s="7"/>
      <c r="J44" s="516"/>
      <c r="K44" s="516"/>
      <c r="L44" s="516"/>
      <c r="M44" s="516"/>
      <c r="N44" s="516"/>
    </row>
    <row r="45" spans="1:17" ht="12" customHeight="1">
      <c r="A45" s="25"/>
      <c r="F45" s="7"/>
    </row>
    <row r="46" spans="1:17" ht="12" customHeight="1">
      <c r="A46" s="25"/>
      <c r="F46" s="7"/>
    </row>
    <row r="47" spans="1:17" ht="12" customHeight="1">
      <c r="A47" s="25"/>
      <c r="F47" s="7"/>
    </row>
    <row r="48" spans="1:17" ht="12" customHeight="1">
      <c r="A48" s="25"/>
      <c r="F48" s="9" t="s">
        <v>1</v>
      </c>
    </row>
    <row r="49" spans="1:16" ht="12" customHeight="1">
      <c r="F49" s="7"/>
    </row>
    <row r="50" spans="1:16" ht="12" customHeight="1">
      <c r="F50" s="7"/>
    </row>
    <row r="51" spans="1:16" ht="12" customHeight="1">
      <c r="F51" s="18"/>
    </row>
    <row r="52" spans="1:16" ht="12" customHeight="1">
      <c r="F52" s="9" t="s">
        <v>4</v>
      </c>
    </row>
    <row r="53" spans="1:16" ht="12" customHeight="1">
      <c r="F53" s="7"/>
      <c r="J53" s="74"/>
      <c r="K53" s="74"/>
      <c r="L53" s="74"/>
      <c r="M53" s="74"/>
      <c r="N53" s="74"/>
      <c r="O53" s="74"/>
      <c r="P53" s="74"/>
    </row>
    <row r="54" spans="1:16" ht="12" customHeight="1">
      <c r="F54" s="7"/>
      <c r="J54" s="74"/>
      <c r="K54" s="74"/>
      <c r="L54" s="74"/>
      <c r="M54" s="74"/>
      <c r="N54" s="74"/>
      <c r="O54" s="74"/>
      <c r="P54" s="74"/>
    </row>
    <row r="55" spans="1:16" ht="12" customHeight="1">
      <c r="F55" s="18"/>
      <c r="J55" s="74"/>
      <c r="K55" s="74"/>
      <c r="L55" s="74"/>
      <c r="M55" s="74"/>
      <c r="N55" s="74"/>
      <c r="O55" s="74"/>
      <c r="P55" s="74"/>
    </row>
    <row r="56" spans="1:16" ht="12" customHeight="1">
      <c r="F56" s="9" t="s">
        <v>2</v>
      </c>
      <c r="J56" s="74"/>
      <c r="K56" s="74"/>
      <c r="L56" s="74"/>
      <c r="M56" s="74"/>
      <c r="N56" s="74"/>
      <c r="O56" s="74"/>
      <c r="P56" s="74"/>
    </row>
    <row r="57" spans="1:16" ht="12" customHeight="1">
      <c r="F57" s="7"/>
      <c r="J57" s="74"/>
      <c r="K57" s="74"/>
      <c r="L57" s="74"/>
      <c r="M57" s="74"/>
      <c r="N57" s="74"/>
      <c r="O57" s="74"/>
      <c r="P57" s="74"/>
    </row>
    <row r="58" spans="1:16" ht="12" customHeight="1">
      <c r="F58" s="18"/>
      <c r="J58" s="74"/>
      <c r="K58" s="74"/>
      <c r="L58" s="74"/>
      <c r="M58" s="74"/>
      <c r="N58" s="74"/>
      <c r="O58" s="74"/>
      <c r="P58" s="74"/>
    </row>
    <row r="59" spans="1:16" ht="12" customHeight="1">
      <c r="J59" s="74"/>
      <c r="K59" s="74"/>
      <c r="L59" s="74"/>
      <c r="M59" s="74"/>
      <c r="N59" s="74"/>
      <c r="O59" s="74"/>
      <c r="P59" s="74"/>
    </row>
    <row r="60" spans="1:16" ht="12" customHeight="1">
      <c r="F60" s="2" t="s">
        <v>9</v>
      </c>
      <c r="J60" s="74"/>
      <c r="K60" s="74"/>
      <c r="L60" s="74"/>
      <c r="M60" s="74"/>
      <c r="N60" s="74"/>
      <c r="O60" s="74"/>
      <c r="P60" s="74"/>
    </row>
    <row r="61" spans="1:16" ht="12" customHeight="1">
      <c r="F61" s="57"/>
      <c r="J61" s="74"/>
      <c r="K61" s="74"/>
      <c r="L61" s="74"/>
      <c r="M61" s="74"/>
      <c r="N61" s="74"/>
      <c r="O61" s="74"/>
      <c r="P61" s="74"/>
    </row>
    <row r="62" spans="1:16" ht="12" customHeight="1">
      <c r="F62" s="8" t="s">
        <v>8</v>
      </c>
      <c r="J62" s="74"/>
      <c r="K62" s="74"/>
      <c r="L62" s="74"/>
      <c r="M62" s="74"/>
      <c r="N62" s="74"/>
      <c r="O62" s="74"/>
      <c r="P62" s="74"/>
    </row>
    <row r="63" spans="1:16" ht="12" customHeight="1">
      <c r="F63" s="9" t="s">
        <v>0</v>
      </c>
      <c r="J63" s="74"/>
      <c r="K63" s="74"/>
      <c r="L63" s="74"/>
      <c r="M63" s="74"/>
      <c r="N63" s="74"/>
      <c r="O63" s="74"/>
      <c r="P63" s="74"/>
    </row>
    <row r="64" spans="1:16" ht="12" customHeight="1">
      <c r="A64" s="1"/>
      <c r="F64" s="7"/>
      <c r="J64" s="74"/>
      <c r="K64" s="74"/>
      <c r="L64" s="74"/>
      <c r="M64" s="74"/>
      <c r="N64" s="74"/>
      <c r="O64" s="74"/>
      <c r="P64" s="74"/>
    </row>
    <row r="65" spans="1:16" ht="12" customHeight="1">
      <c r="A65" s="1"/>
      <c r="F65" s="7"/>
      <c r="J65" s="74"/>
      <c r="K65" s="74"/>
      <c r="L65" s="74"/>
      <c r="M65" s="74"/>
      <c r="N65" s="74"/>
      <c r="O65" s="74"/>
      <c r="P65" s="74"/>
    </row>
    <row r="66" spans="1:16" ht="12" customHeight="1">
      <c r="A66" s="1"/>
      <c r="F66" s="7"/>
      <c r="J66" s="74"/>
      <c r="K66" s="74"/>
      <c r="L66" s="74"/>
      <c r="M66" s="74"/>
      <c r="N66" s="74"/>
      <c r="O66" s="74"/>
      <c r="P66" s="74"/>
    </row>
    <row r="67" spans="1:16" ht="12" customHeight="1">
      <c r="A67" s="1"/>
      <c r="F67" s="7"/>
      <c r="J67" s="74"/>
      <c r="K67" s="74"/>
      <c r="L67" s="74"/>
      <c r="M67" s="74"/>
      <c r="N67" s="74"/>
      <c r="O67" s="74"/>
      <c r="P67" s="74"/>
    </row>
    <row r="68" spans="1:16" ht="12" customHeight="1">
      <c r="A68" s="1"/>
      <c r="F68" s="7"/>
      <c r="J68" s="74"/>
      <c r="K68" s="74"/>
      <c r="L68" s="74"/>
      <c r="M68" s="74"/>
      <c r="N68" s="74"/>
      <c r="O68" s="74"/>
      <c r="P68" s="74"/>
    </row>
    <row r="69" spans="1:16" ht="12" customHeight="1">
      <c r="A69" s="1"/>
      <c r="F69" s="7"/>
      <c r="J69" s="74"/>
      <c r="K69" s="74"/>
      <c r="L69" s="74"/>
      <c r="M69" s="74"/>
      <c r="N69" s="74"/>
      <c r="O69" s="74"/>
      <c r="P69" s="74"/>
    </row>
    <row r="70" spans="1:16" ht="12" customHeight="1">
      <c r="A70" s="1"/>
      <c r="F70" s="7"/>
      <c r="J70" s="74"/>
      <c r="K70" s="74"/>
      <c r="L70" s="74"/>
      <c r="M70" s="74"/>
      <c r="N70" s="74"/>
      <c r="O70" s="74"/>
      <c r="P70" s="74"/>
    </row>
    <row r="71" spans="1:16" ht="12" customHeight="1">
      <c r="A71" s="1"/>
      <c r="F71" s="7"/>
      <c r="J71" s="74"/>
      <c r="K71" s="74"/>
      <c r="L71" s="74"/>
      <c r="M71" s="74"/>
      <c r="N71" s="74"/>
      <c r="O71" s="74"/>
      <c r="P71" s="74"/>
    </row>
    <row r="72" spans="1:16" ht="12" customHeight="1">
      <c r="A72" s="1"/>
      <c r="F72" s="7"/>
      <c r="J72" s="74"/>
      <c r="K72" s="74"/>
      <c r="L72" s="74"/>
      <c r="M72" s="74"/>
      <c r="N72" s="74"/>
      <c r="O72" s="74"/>
      <c r="P72" s="74"/>
    </row>
    <row r="73" spans="1:16" ht="12" customHeight="1">
      <c r="A73" s="1"/>
      <c r="F73" s="7"/>
      <c r="J73" s="74"/>
      <c r="K73" s="74"/>
      <c r="L73" s="74"/>
      <c r="M73" s="74"/>
      <c r="N73" s="74"/>
      <c r="O73" s="74"/>
      <c r="P73" s="74"/>
    </row>
    <row r="74" spans="1:16" ht="12" customHeight="1">
      <c r="A74" s="1"/>
      <c r="F74" s="7"/>
      <c r="J74" s="74"/>
      <c r="K74" s="74"/>
      <c r="L74" s="74"/>
      <c r="M74" s="74"/>
      <c r="N74" s="74"/>
      <c r="O74" s="74"/>
      <c r="P74" s="74"/>
    </row>
    <row r="75" spans="1:16" ht="12" customHeight="1">
      <c r="A75" s="1"/>
      <c r="F75" s="7"/>
      <c r="J75" s="74"/>
      <c r="K75" s="74"/>
      <c r="L75" s="74"/>
      <c r="M75" s="74"/>
      <c r="N75" s="74"/>
      <c r="O75" s="74"/>
      <c r="P75" s="74"/>
    </row>
    <row r="76" spans="1:16" ht="12" customHeight="1">
      <c r="A76" s="1"/>
      <c r="F76" s="9" t="s">
        <v>1</v>
      </c>
    </row>
    <row r="77" spans="1:16" ht="12" customHeight="1">
      <c r="F77" s="7"/>
    </row>
    <row r="78" spans="1:16" ht="12" customHeight="1">
      <c r="F78" s="7"/>
    </row>
    <row r="79" spans="1:16" ht="12" customHeight="1">
      <c r="F79" s="18"/>
    </row>
    <row r="80" spans="1:16" ht="12" customHeight="1">
      <c r="F80" s="9" t="s">
        <v>4</v>
      </c>
    </row>
    <row r="81" spans="6:6" ht="12" customHeight="1">
      <c r="F81" s="7"/>
    </row>
    <row r="82" spans="6:6" ht="12" customHeight="1">
      <c r="F82" s="7"/>
    </row>
    <row r="83" spans="6:6" ht="12" customHeight="1">
      <c r="F83" s="18"/>
    </row>
    <row r="84" spans="6:6" ht="12" customHeight="1">
      <c r="F84" s="9" t="s">
        <v>2</v>
      </c>
    </row>
    <row r="85" spans="6:6" ht="12" customHeight="1">
      <c r="F85" s="7"/>
    </row>
    <row r="86" spans="6:6" ht="12" customHeight="1">
      <c r="F86" s="18"/>
    </row>
    <row r="87" spans="6:6" ht="12" customHeight="1"/>
    <row r="88" spans="6:6" ht="12" customHeight="1">
      <c r="F88" s="1" t="s">
        <v>3</v>
      </c>
    </row>
    <row r="89" spans="6:6" ht="12" customHeight="1"/>
    <row r="90" spans="6:6" ht="12" customHeight="1"/>
    <row r="91" spans="6:6" ht="12" customHeight="1"/>
    <row r="92" spans="6:6" ht="12" customHeight="1"/>
    <row r="93" spans="6:6" ht="12" customHeight="1"/>
    <row r="94" spans="6:6" ht="12" customHeight="1"/>
    <row r="95" spans="6:6" ht="12" customHeight="1"/>
    <row r="96" spans="6:6" ht="12" customHeight="1"/>
    <row r="97" ht="12" customHeight="1"/>
    <row r="98" ht="12" customHeight="1"/>
    <row r="99" ht="12" customHeight="1"/>
    <row r="100" ht="12" customHeight="1"/>
    <row r="101" ht="12" customHeight="1"/>
    <row r="102" ht="12" customHeight="1"/>
    <row r="103" ht="12" customHeight="1"/>
    <row r="104" ht="12" customHeight="1"/>
    <row r="105" ht="12" customHeight="1"/>
  </sheetData>
  <mergeCells count="2">
    <mergeCell ref="J3:K3"/>
    <mergeCell ref="L3:N3"/>
  </mergeCells>
  <phoneticPr fontId="7" type="noConversion"/>
  <hyperlinks>
    <hyperlink ref="B5" location="FH!A1" display="재무현황" xr:uid="{735DAA2A-3C9A-4879-8D95-386B52A217FB}"/>
    <hyperlink ref="B7" location="FS!A1" display="요약재무상태표 (Selected Balance sheet)" xr:uid="{D51BA283-051B-4C3E-9881-3EBA49EBECE1}"/>
    <hyperlink ref="C15" location="Stability!A1" display="재무 안정성 (Financial Stability)" xr:uid="{8970253D-F222-4278-A36F-5E4837BA036A}"/>
    <hyperlink ref="C16" location="Productivity!A1" display="생산성 / 경영효율 (Productivity / Operating Efficiency)" xr:uid="{1FC8F3A8-36D7-419F-A629-F262F1DF35E4}"/>
    <hyperlink ref="C20" location="'Premium Income by P.T.(GA+SA)'!A1" display="상품별 수입보험료 (Premium Income)" xr:uid="{16E149E3-7EF5-4881-8AC2-F9861BACC8BC}"/>
    <hyperlink ref="C21" location="'Initial P. by P.T.'!A1" display="상품별 초회보험료 (Initial Premium)" xr:uid="{C1A872EE-2C61-4AF8-A4D1-6E4ABB86955B}"/>
    <hyperlink ref="C22" location="'First-year P. by P.T.'!A1" display="상품별 초년도보험료 (First Year Premium)" xr:uid="{E169EDD0-DA41-449D-9516-003191E2779B}"/>
    <hyperlink ref="C26" location="'Premium Income by D.C.(GA+SA)'!A1" display="채널별 수입보험료 (Premium Income)" xr:uid="{457B1AF0-E544-417E-901C-C7A7666192CC}"/>
    <hyperlink ref="C27" location="'First-year P. by D.C'!A1" display="채널별 초년도보험료 (First Year Premium)" xr:uid="{D7F5CE9C-BA30-468B-AA94-66C18E3335B7}"/>
    <hyperlink ref="C31" location="'&gt;Loan'!A1" display="대출 (Loan)/ 자산건전성 (Asset Quality of Loan)" xr:uid="{04837A6B-F8CA-4215-A0E7-370D9BF84FC4}"/>
    <hyperlink ref="C32" location="'&gt;Bond'!A1" display="채권 (Bond)" xr:uid="{37E6BC7B-304E-4184-BD9F-F7EF44E3758D}"/>
    <hyperlink ref="C35" location="'BS  K-IFRS'!A1" display="재무상태표 (Balance Sheet - KIFRS)" xr:uid="{8949CF5C-FAF7-474E-BF36-4A4861B9E628}"/>
    <hyperlink ref="C36" location="'IS  K-IFRS'!A1" display="손익계산서 (Income Statement - KIFRS)" xr:uid="{D883EC3C-C2C8-4A58-A04D-D8FBB630202F}"/>
    <hyperlink ref="B8" location="FS!A1" display="요약손익계산서 (Selected Income Statement)" xr:uid="{9DAE0A10-A49B-48A5-B7F3-3B3AC85542FF}"/>
    <hyperlink ref="B10" location="CSM!A1" display="RA, CSM, BEL Movement" xr:uid="{25D97E17-420F-4966-B8DE-E4BFE75B08FF}"/>
    <hyperlink ref="B11" location="CSM!A1" display="신계약 CSM (New Business CSM)" xr:uid="{C10DED8B-2B2A-420E-B3D6-F1566C02778E}"/>
    <hyperlink ref="B13" location="'Sources of Margin'!A1" display="이원별손익" xr:uid="{C34DCC24-5B53-46AC-A175-6CF4E508D5A2}"/>
    <hyperlink ref="B12" location="CSM!A1" display="신계약 CSM 배수 (New Business CSM Margin)" xr:uid="{6B65CBD3-0175-4E22-BB0E-DC8F4C4C05B7}"/>
    <hyperlink ref="C19" location="'APE by P.T'!A1" display="상품별 APE (Annualized Premium Equivalent (APE))" xr:uid="{866B08BC-5D90-4171-9E0C-926D5D98D6A6}"/>
    <hyperlink ref="C25" location="'APE by D.C'!A1" display="채널별 APE (Annualized Premium Equivalent (APE))" xr:uid="{14570944-015F-4979-9CA5-C4D5E3C5871D}"/>
  </hyperlinks>
  <pageMargins left="0.19685039370078741" right="0.19685039370078741" top="0.74803149606299213" bottom="0.74803149606299213" header="0.31496062992125984" footer="0.31496062992125984"/>
  <pageSetup paperSize="9" orientation="landscape" copies="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11</v>
      </c>
      <c r="G1" s="81" t="s">
        <v>145</v>
      </c>
      <c r="H1" s="82"/>
      <c r="I1" s="82"/>
    </row>
    <row r="2" spans="1:18" ht="12" customHeight="1">
      <c r="A2" s="140"/>
      <c r="B2" s="141"/>
      <c r="C2" s="141"/>
      <c r="F2" s="2" t="s">
        <v>12</v>
      </c>
      <c r="G2" s="99" t="s">
        <v>103</v>
      </c>
      <c r="H2" s="100"/>
      <c r="I2" s="100"/>
    </row>
    <row r="3" spans="1:18" ht="12" customHeight="1">
      <c r="A3" s="140" t="s">
        <v>27</v>
      </c>
      <c r="B3" s="141"/>
      <c r="C3" s="141"/>
      <c r="F3" s="57"/>
      <c r="G3" s="101"/>
      <c r="H3" s="101"/>
      <c r="I3" s="102"/>
      <c r="J3" s="854" t="s">
        <v>82</v>
      </c>
      <c r="K3" s="855"/>
      <c r="L3" s="856" t="s">
        <v>83</v>
      </c>
      <c r="M3" s="854"/>
      <c r="N3" s="855"/>
      <c r="O3" s="101"/>
      <c r="P3" s="101"/>
    </row>
    <row r="4" spans="1:18" ht="12" customHeight="1">
      <c r="A4" s="140"/>
      <c r="B4" s="141"/>
      <c r="C4" s="141"/>
      <c r="F4" s="8" t="s">
        <v>13</v>
      </c>
      <c r="G4" s="84" t="s">
        <v>81</v>
      </c>
      <c r="H4" s="103"/>
      <c r="I4" s="104"/>
      <c r="J4" s="776">
        <v>46022</v>
      </c>
      <c r="K4" s="187">
        <v>45657</v>
      </c>
      <c r="L4" s="776">
        <v>46022</v>
      </c>
      <c r="M4" s="259">
        <v>45657</v>
      </c>
      <c r="N4" s="266">
        <v>45930</v>
      </c>
      <c r="O4" s="262" t="s">
        <v>23</v>
      </c>
      <c r="P4" s="110" t="s">
        <v>24</v>
      </c>
    </row>
    <row r="5" spans="1:18" ht="12" customHeight="1">
      <c r="A5" s="150"/>
      <c r="B5" s="140" t="s">
        <v>155</v>
      </c>
      <c r="C5" s="140"/>
      <c r="F5" s="9" t="s">
        <v>14</v>
      </c>
      <c r="G5" s="105" t="s">
        <v>84</v>
      </c>
      <c r="H5" s="105"/>
      <c r="I5" s="105"/>
      <c r="J5" s="155">
        <f>SUM(J6,J10,J14)</f>
        <v>4032.5349146260014</v>
      </c>
      <c r="K5" s="65">
        <f>SUM(K6,K10,K14)</f>
        <v>3992.9832476410015</v>
      </c>
      <c r="L5" s="157">
        <f>SUM(L6,L10,L14)</f>
        <v>996.42380876700099</v>
      </c>
      <c r="M5" s="158">
        <f>SUM(M6,M10,M14)</f>
        <v>900.24748531900138</v>
      </c>
      <c r="N5" s="158">
        <f>SUM(N6,N10,N14)</f>
        <v>1183.3422016970007</v>
      </c>
      <c r="O5" s="192">
        <f>IF(J5/K5&lt;0,"n.a.",IF(K5&gt;0,ROUND(J5,4)/ROUND(K5,4)-1,IF(K5&lt;0,"n.a.")))</f>
        <v>9.9053008788014818E-3</v>
      </c>
      <c r="P5" s="192">
        <f>IF(L5/N5&lt;0,"n.a.",IF(N5&gt;0,ROUND(L5,4)/ROUND(N5,4)-1,IF(N5&lt;0,"n.a.")))</f>
        <v>-0.1579580276947784</v>
      </c>
      <c r="Q5" s="1" ph="1"/>
    </row>
    <row r="6" spans="1:18" ht="12" customHeight="1">
      <c r="A6" s="150"/>
      <c r="B6" s="149"/>
      <c r="C6" s="141"/>
      <c r="F6" s="7"/>
      <c r="G6" s="106" t="s">
        <v>85</v>
      </c>
      <c r="H6" s="106"/>
      <c r="I6" s="106"/>
      <c r="J6" s="159">
        <f>SUM(J7:J9)</f>
        <v>3256.4507569820016</v>
      </c>
      <c r="K6" s="66">
        <f>SUM(K7:K9)</f>
        <v>2911.0744995100017</v>
      </c>
      <c r="L6" s="160">
        <f>SUM(L7:L9)</f>
        <v>829.40442488600092</v>
      </c>
      <c r="M6" s="161">
        <f>SUM(M7:M9)</f>
        <v>772.6614903150014</v>
      </c>
      <c r="N6" s="161">
        <f>SUM(N7:N9)</f>
        <v>825.25182615200072</v>
      </c>
      <c r="O6" s="193">
        <f t="shared" ref="O6:O27" si="0">IF(J6/K6&lt;0,"n.a.",IF(K6&gt;0,ROUND(J6,4)/ROUND(K6,4)-1,IF(K6&lt;0,"n.a.")))</f>
        <v>0.11864220582468765</v>
      </c>
      <c r="P6" s="193">
        <f>IF(L6/N6&lt;0,"n.a.",IF(N6&gt;0,ROUND(L6,4)/ROUND(N6,4)-1,IF(N6&lt;0,"n.a.")))</f>
        <v>5.0319187428613521E-3</v>
      </c>
    </row>
    <row r="7" spans="1:18" ht="12" customHeight="1">
      <c r="A7" s="150"/>
      <c r="B7" s="149" t="s">
        <v>212</v>
      </c>
      <c r="C7" s="141"/>
      <c r="F7" s="7"/>
      <c r="G7" s="107"/>
      <c r="H7" s="107" t="s">
        <v>86</v>
      </c>
      <c r="I7" s="107"/>
      <c r="J7" s="162">
        <v>1517.4332044790001</v>
      </c>
      <c r="K7" s="67">
        <v>1393.1023417220003</v>
      </c>
      <c r="L7" s="154">
        <v>382.23755925100011</v>
      </c>
      <c r="M7" s="164">
        <v>371.62456025400002</v>
      </c>
      <c r="N7" s="164">
        <v>379.47476409600034</v>
      </c>
      <c r="O7" s="194">
        <f t="shared" si="0"/>
        <v>8.9247501780737704E-2</v>
      </c>
      <c r="P7" s="194">
        <f t="shared" ref="P7:P27" si="1">IF(L7/N7&lt;0,"n.a.",IF(N7&gt;0,ROUND(L7,4)/ROUND(N7,4)-1,IF(N7&lt;0,"n.a.")))</f>
        <v>7.2805888559661636E-3</v>
      </c>
    </row>
    <row r="8" spans="1:18" ht="12" customHeight="1">
      <c r="A8" s="150"/>
      <c r="B8" s="149" t="s">
        <v>213</v>
      </c>
      <c r="C8" s="141"/>
      <c r="F8" s="7"/>
      <c r="G8" s="107"/>
      <c r="H8" s="107" t="s">
        <v>87</v>
      </c>
      <c r="I8" s="107"/>
      <c r="J8" s="162">
        <v>82.01286693199998</v>
      </c>
      <c r="K8" s="67">
        <v>88.174951967000027</v>
      </c>
      <c r="L8" s="154">
        <v>19.881464727000001</v>
      </c>
      <c r="M8" s="164">
        <v>21.472000948999998</v>
      </c>
      <c r="N8" s="164">
        <v>20.428931957999993</v>
      </c>
      <c r="O8" s="194">
        <f t="shared" si="0"/>
        <v>-6.9884888006804591E-2</v>
      </c>
      <c r="P8" s="194">
        <f t="shared" si="1"/>
        <v>-2.6795373221269903E-2</v>
      </c>
    </row>
    <row r="9" spans="1:18" ht="12" customHeight="1">
      <c r="A9" s="150"/>
      <c r="B9" s="149"/>
      <c r="C9" s="141"/>
      <c r="F9" s="7"/>
      <c r="G9" s="107"/>
      <c r="H9" s="107" t="s">
        <v>88</v>
      </c>
      <c r="I9" s="107"/>
      <c r="J9" s="162">
        <v>1657.0046855710013</v>
      </c>
      <c r="K9" s="67">
        <v>1429.7972058210014</v>
      </c>
      <c r="L9" s="154">
        <v>427.28540090800078</v>
      </c>
      <c r="M9" s="164">
        <v>379.56492911200132</v>
      </c>
      <c r="N9" s="164">
        <v>425.34813009800041</v>
      </c>
      <c r="O9" s="194">
        <f t="shared" si="0"/>
        <v>0.15890889980760914</v>
      </c>
      <c r="P9" s="194">
        <f t="shared" si="1"/>
        <v>4.5546224374812816E-3</v>
      </c>
    </row>
    <row r="10" spans="1:18" ht="12" customHeight="1">
      <c r="A10" s="140"/>
      <c r="B10" s="149" t="s">
        <v>171</v>
      </c>
      <c r="C10" s="141"/>
      <c r="F10" s="7"/>
      <c r="G10" s="108" t="s">
        <v>89</v>
      </c>
      <c r="H10" s="108"/>
      <c r="I10" s="108"/>
      <c r="J10" s="159">
        <f>SUM(J11:J13)</f>
        <v>519.36744287800002</v>
      </c>
      <c r="K10" s="66">
        <f>SUM(K11:K13)</f>
        <v>744.16768814599993</v>
      </c>
      <c r="L10" s="165">
        <f>SUM(L11:L13)</f>
        <v>108.88955028300001</v>
      </c>
      <c r="M10" s="166">
        <f>SUM(M11:M13)</f>
        <v>54.134695596999983</v>
      </c>
      <c r="N10" s="166">
        <f>SUM(N11:N13)</f>
        <v>296.14136411800001</v>
      </c>
      <c r="O10" s="195">
        <f t="shared" si="0"/>
        <v>-0.30208285041127159</v>
      </c>
      <c r="P10" s="195">
        <f>IF(L10/N10&lt;0,"n.a.",IF(N10&gt;0,ROUND(L10,4)/ROUND(N10,4)-1,IF(N10&lt;0,"n.a.")))</f>
        <v>-0.63230537844421608</v>
      </c>
    </row>
    <row r="11" spans="1:18" ht="12" customHeight="1">
      <c r="A11" s="140"/>
      <c r="B11" s="149" t="s">
        <v>166</v>
      </c>
      <c r="C11" s="141"/>
      <c r="F11" s="7"/>
      <c r="G11" s="107"/>
      <c r="H11" s="107" t="s">
        <v>90</v>
      </c>
      <c r="I11" s="107"/>
      <c r="J11" s="162">
        <v>1.7940777780000001</v>
      </c>
      <c r="K11" s="493">
        <v>1.110149225</v>
      </c>
      <c r="L11" s="590">
        <v>0.62722707899999997</v>
      </c>
      <c r="M11" s="164">
        <v>0.256132782</v>
      </c>
      <c r="N11" s="164">
        <v>0.46884617700000025</v>
      </c>
      <c r="O11" s="194">
        <f>IF(J11/K11&lt;0,"n.a.",IF(K11&gt;0,ROUND(J11,4)/ROUND(K11,4)-1,IF(K11&lt;0,"n.a.")))</f>
        <v>0.61616070624268082</v>
      </c>
      <c r="P11" s="194">
        <f t="shared" si="1"/>
        <v>0.33788395904436852</v>
      </c>
      <c r="R11" s="74"/>
    </row>
    <row r="12" spans="1:18" ht="12" customHeight="1">
      <c r="A12" s="140"/>
      <c r="B12" s="149" t="s">
        <v>222</v>
      </c>
      <c r="C12" s="141"/>
      <c r="F12" s="7"/>
      <c r="G12" s="107"/>
      <c r="H12" s="107" t="s">
        <v>91</v>
      </c>
      <c r="I12" s="107"/>
      <c r="J12" s="162">
        <v>506.34536402800006</v>
      </c>
      <c r="K12" s="67">
        <v>725.16555084699996</v>
      </c>
      <c r="L12" s="154">
        <v>105.74335597100001</v>
      </c>
      <c r="M12" s="164">
        <v>50.182605837999979</v>
      </c>
      <c r="N12" s="164">
        <v>293.16824042000002</v>
      </c>
      <c r="O12" s="194">
        <f>IF(J12/K12&lt;0,"n.a.",IF(K12&gt;0,ROUND(J12,4)/ROUND(K12,4)-1,IF(K12&lt;0,"n.a.")))</f>
        <v>-0.30175204118893673</v>
      </c>
      <c r="P12" s="194">
        <f t="shared" si="1"/>
        <v>-0.63930808320957055</v>
      </c>
      <c r="R12" s="74"/>
    </row>
    <row r="13" spans="1:18" ht="12" customHeight="1">
      <c r="A13" s="140"/>
      <c r="B13" s="149"/>
      <c r="C13" s="141"/>
      <c r="F13" s="7"/>
      <c r="G13" s="107"/>
      <c r="H13" s="107" t="s">
        <v>92</v>
      </c>
      <c r="I13" s="107"/>
      <c r="J13" s="162">
        <v>11.228001072</v>
      </c>
      <c r="K13" s="67">
        <v>17.891988073999997</v>
      </c>
      <c r="L13" s="154">
        <v>2.5189672330000001</v>
      </c>
      <c r="M13" s="164">
        <v>3.6959569769999989</v>
      </c>
      <c r="N13" s="164">
        <v>2.5042775209999997</v>
      </c>
      <c r="O13" s="194">
        <f t="shared" si="0"/>
        <v>-0.37245696400625983</v>
      </c>
      <c r="P13" s="194">
        <f t="shared" si="1"/>
        <v>5.86990376552321E-3</v>
      </c>
      <c r="R13" s="74"/>
    </row>
    <row r="14" spans="1:18" ht="12" customHeight="1">
      <c r="A14" s="140"/>
      <c r="B14" s="140" t="s">
        <v>173</v>
      </c>
      <c r="C14" s="141"/>
      <c r="F14" s="7"/>
      <c r="G14" s="108" t="s">
        <v>93</v>
      </c>
      <c r="H14" s="108"/>
      <c r="I14" s="108"/>
      <c r="J14" s="159">
        <f>SUM(J15:J17)</f>
        <v>256.71671476599982</v>
      </c>
      <c r="K14" s="66">
        <f>SUM(K15:K17)</f>
        <v>337.74105998499988</v>
      </c>
      <c r="L14" s="165">
        <f>SUM(L15:L17)</f>
        <v>58.129833598000005</v>
      </c>
      <c r="M14" s="166">
        <f>SUM(M15:M17)</f>
        <v>73.451299407000008</v>
      </c>
      <c r="N14" s="166">
        <f>SUM(N15:N17)</f>
        <v>61.949011426999959</v>
      </c>
      <c r="O14" s="195">
        <f t="shared" si="0"/>
        <v>-0.23990091818851778</v>
      </c>
      <c r="P14" s="195">
        <f t="shared" si="1"/>
        <v>-6.1650712683013364E-2</v>
      </c>
      <c r="R14" s="74"/>
    </row>
    <row r="15" spans="1:18" ht="12" customHeight="1">
      <c r="A15" s="140"/>
      <c r="B15" s="142"/>
      <c r="C15" s="149" t="s">
        <v>40</v>
      </c>
      <c r="F15" s="7"/>
      <c r="G15" s="107"/>
      <c r="H15" s="107" t="s">
        <v>90</v>
      </c>
      <c r="I15" s="107"/>
      <c r="J15" s="162">
        <v>13.092034903999998</v>
      </c>
      <c r="K15" s="67">
        <v>14.276074154</v>
      </c>
      <c r="L15" s="154">
        <v>3.1303880409999998</v>
      </c>
      <c r="M15" s="164">
        <v>3.5369457810000005</v>
      </c>
      <c r="N15" s="164">
        <v>3.220101190999999</v>
      </c>
      <c r="O15" s="194">
        <f t="shared" si="0"/>
        <v>-8.2942820518208671E-2</v>
      </c>
      <c r="P15" s="194">
        <f t="shared" si="1"/>
        <v>-2.7856277755349268E-2</v>
      </c>
      <c r="R15" s="74"/>
    </row>
    <row r="16" spans="1:18" ht="12" customHeight="1">
      <c r="A16" s="140"/>
      <c r="B16" s="140"/>
      <c r="C16" s="149" t="s">
        <v>41</v>
      </c>
      <c r="F16" s="7"/>
      <c r="G16" s="107"/>
      <c r="H16" s="107" t="s">
        <v>91</v>
      </c>
      <c r="I16" s="107"/>
      <c r="J16" s="162">
        <v>233.89826626299984</v>
      </c>
      <c r="K16" s="67">
        <v>312.17103258699984</v>
      </c>
      <c r="L16" s="154">
        <v>52.795922429000001</v>
      </c>
      <c r="M16" s="164">
        <v>67.395119848000007</v>
      </c>
      <c r="N16" s="164">
        <v>56.478979294999959</v>
      </c>
      <c r="O16" s="194">
        <f t="shared" si="0"/>
        <v>-0.25073661550880766</v>
      </c>
      <c r="P16" s="194">
        <f t="shared" si="1"/>
        <v>-6.5211848651711146E-2</v>
      </c>
      <c r="R16" s="74"/>
    </row>
    <row r="17" spans="1:18" ht="12" customHeight="1">
      <c r="A17" s="140"/>
      <c r="B17" s="140"/>
      <c r="C17" s="149"/>
      <c r="F17" s="7"/>
      <c r="G17" s="107"/>
      <c r="H17" s="107" t="s">
        <v>94</v>
      </c>
      <c r="I17" s="107"/>
      <c r="J17" s="162">
        <v>9.7264135990000007</v>
      </c>
      <c r="K17" s="67">
        <v>11.293953244000001</v>
      </c>
      <c r="L17" s="154">
        <v>2.2035231280000001</v>
      </c>
      <c r="M17" s="164">
        <v>2.5192337780000007</v>
      </c>
      <c r="N17" s="164">
        <v>2.2499309409999992</v>
      </c>
      <c r="O17" s="194">
        <f t="shared" si="0"/>
        <v>-0.13879936249335934</v>
      </c>
      <c r="P17" s="194">
        <f t="shared" si="1"/>
        <v>-2.0623138806169061E-2</v>
      </c>
      <c r="R17" s="74"/>
    </row>
    <row r="18" spans="1:18" ht="12" customHeight="1">
      <c r="A18" s="140"/>
      <c r="B18" s="140" t="s">
        <v>176</v>
      </c>
      <c r="C18" s="149"/>
      <c r="F18" s="9" t="s">
        <v>15</v>
      </c>
      <c r="G18" s="105" t="s">
        <v>95</v>
      </c>
      <c r="H18" s="105"/>
      <c r="I18" s="105"/>
      <c r="J18" s="155">
        <f>SUM(J19:J20)</f>
        <v>0.31400906199999995</v>
      </c>
      <c r="K18" s="65">
        <f>SUM(K19:K20)</f>
        <v>0.50609610000000005</v>
      </c>
      <c r="L18" s="157">
        <f>SUM(L19:L20)</f>
        <v>6.702306299999998E-2</v>
      </c>
      <c r="M18" s="158">
        <f>SUM(M19:M20)</f>
        <v>9.9339497999999984E-2</v>
      </c>
      <c r="N18" s="158">
        <f>SUM(N19:N20)</f>
        <v>7.6204573999999997E-2</v>
      </c>
      <c r="O18" s="192">
        <f>IF(J18/K18&lt;0,"n.a.",IF(K18&gt;0,ROUND(J18,4)/ROUND(K18,4)-1,IF(K18&lt;0,"n.a.")))</f>
        <v>-0.37956925508792727</v>
      </c>
      <c r="P18" s="192">
        <f t="shared" si="1"/>
        <v>-0.12073490813648291</v>
      </c>
    </row>
    <row r="19" spans="1:18" ht="12" customHeight="1">
      <c r="A19" s="140"/>
      <c r="B19" s="140"/>
      <c r="C19" s="149" t="s">
        <v>33</v>
      </c>
      <c r="F19" s="7"/>
      <c r="G19" s="107" t="s">
        <v>96</v>
      </c>
      <c r="H19" s="107"/>
      <c r="I19" s="107"/>
      <c r="J19" s="162">
        <v>0.29408660199999997</v>
      </c>
      <c r="K19" s="67">
        <v>0.48261233100000006</v>
      </c>
      <c r="L19" s="154">
        <v>6.2223770999999983E-2</v>
      </c>
      <c r="M19" s="164">
        <v>9.3640526999999987E-2</v>
      </c>
      <c r="N19" s="164">
        <v>7.1294204E-2</v>
      </c>
      <c r="O19" s="194">
        <f t="shared" si="0"/>
        <v>-0.39059262329050981</v>
      </c>
      <c r="P19" s="194">
        <f t="shared" si="1"/>
        <v>-0.12762973352033669</v>
      </c>
    </row>
    <row r="20" spans="1:18" ht="12" customHeight="1">
      <c r="A20" s="140"/>
      <c r="B20" s="140"/>
      <c r="C20" s="149" t="s">
        <v>29</v>
      </c>
      <c r="F20" s="7"/>
      <c r="G20" s="109" t="s">
        <v>97</v>
      </c>
      <c r="H20" s="109"/>
      <c r="I20" s="109"/>
      <c r="J20" s="167">
        <v>1.9922459999999999E-2</v>
      </c>
      <c r="K20" s="68">
        <v>2.3483769000000002E-2</v>
      </c>
      <c r="L20" s="169">
        <v>4.7992919999999993E-3</v>
      </c>
      <c r="M20" s="170">
        <v>5.6989710000000006E-3</v>
      </c>
      <c r="N20" s="170">
        <v>4.9103699999999998E-3</v>
      </c>
      <c r="O20" s="196">
        <f t="shared" si="0"/>
        <v>-0.15319148936170213</v>
      </c>
      <c r="P20" s="196">
        <f t="shared" si="1"/>
        <v>-2.0408163265306145E-2</v>
      </c>
    </row>
    <row r="21" spans="1:18" ht="12" customHeight="1">
      <c r="A21" s="140"/>
      <c r="B21" s="140"/>
      <c r="C21" s="149" t="s">
        <v>30</v>
      </c>
      <c r="F21" s="18"/>
      <c r="G21" s="105" t="s">
        <v>98</v>
      </c>
      <c r="H21" s="105"/>
      <c r="I21" s="105"/>
      <c r="J21" s="155">
        <f>SUM(J22:J24)</f>
        <v>4032.8489236880014</v>
      </c>
      <c r="K21" s="156">
        <f>SUM(K22:K24)</f>
        <v>3993.4893437410014</v>
      </c>
      <c r="L21" s="157">
        <f>SUM(L22:L24)</f>
        <v>996.49083183000096</v>
      </c>
      <c r="M21" s="158">
        <f>SUM(M22:M24)</f>
        <v>900.34682481700145</v>
      </c>
      <c r="N21" s="158">
        <f>SUM(N22:N24)</f>
        <v>1183.4184062710008</v>
      </c>
      <c r="O21" s="192">
        <f>IF(J21/K21&lt;0,"n.a.",IF(K21&gt;0,ROUND(J21,4)/ROUND(K21,4)-1,IF(K21&lt;0,"n.a.")))</f>
        <v>9.8559422708355271E-3</v>
      </c>
      <c r="P21" s="192">
        <f t="shared" si="1"/>
        <v>-0.15795563090788511</v>
      </c>
    </row>
    <row r="22" spans="1:18" ht="12" customHeight="1">
      <c r="A22" s="140"/>
      <c r="B22" s="140"/>
      <c r="C22" s="149" t="s">
        <v>31</v>
      </c>
      <c r="F22" s="9" t="s">
        <v>16</v>
      </c>
      <c r="G22" s="188" t="s">
        <v>85</v>
      </c>
      <c r="H22" s="107"/>
      <c r="I22" s="107"/>
      <c r="J22" s="162">
        <f>SUM(J6,J19)</f>
        <v>3256.7448435840015</v>
      </c>
      <c r="K22" s="171">
        <f>SUM(K6,K19)</f>
        <v>2911.5571118410016</v>
      </c>
      <c r="L22" s="154">
        <f>SUM(L6,L19)</f>
        <v>829.46664865700097</v>
      </c>
      <c r="M22" s="164">
        <f>SUM(M6,M19)</f>
        <v>772.75513084200145</v>
      </c>
      <c r="N22" s="164">
        <f>SUM(N6,N19)</f>
        <v>825.32312035600069</v>
      </c>
      <c r="O22" s="194">
        <f t="shared" si="0"/>
        <v>0.11855776415994046</v>
      </c>
      <c r="P22" s="194">
        <f t="shared" si="1"/>
        <v>5.0204580484902728E-3</v>
      </c>
    </row>
    <row r="23" spans="1:18" ht="12" customHeight="1">
      <c r="A23" s="140"/>
      <c r="B23" s="140"/>
      <c r="C23" s="149"/>
      <c r="F23" s="7"/>
      <c r="G23" s="107" t="s">
        <v>99</v>
      </c>
      <c r="H23" s="107"/>
      <c r="I23" s="107"/>
      <c r="J23" s="162">
        <f>J10</f>
        <v>519.36744287800002</v>
      </c>
      <c r="K23" s="163">
        <f>K10</f>
        <v>744.16768814599993</v>
      </c>
      <c r="L23" s="154">
        <f>L10</f>
        <v>108.88955028300001</v>
      </c>
      <c r="M23" s="164">
        <f>M10</f>
        <v>54.134695596999983</v>
      </c>
      <c r="N23" s="164">
        <f>N10</f>
        <v>296.14136411800001</v>
      </c>
      <c r="O23" s="194">
        <f t="shared" si="0"/>
        <v>-0.30208285041127159</v>
      </c>
      <c r="P23" s="194">
        <f>IF(L23/N23&lt;0,"n.a.",IF(N23&gt;0,ROUND(L23,4)/ROUND(N23,4)-1,IF(N23&lt;0,"n.a.")))</f>
        <v>-0.63230537844421608</v>
      </c>
    </row>
    <row r="24" spans="1:18" ht="12" customHeight="1">
      <c r="A24" s="140"/>
      <c r="B24" s="140" t="s">
        <v>181</v>
      </c>
      <c r="C24" s="149"/>
      <c r="F24" s="7"/>
      <c r="G24" s="109" t="s">
        <v>93</v>
      </c>
      <c r="H24" s="109"/>
      <c r="I24" s="109"/>
      <c r="J24" s="167">
        <f>SUM(J14,J20)</f>
        <v>256.7366372259998</v>
      </c>
      <c r="K24" s="168">
        <f>SUM(K14,K20)</f>
        <v>337.76454375399987</v>
      </c>
      <c r="L24" s="169">
        <f>SUM(L14,L20)</f>
        <v>58.134632890000006</v>
      </c>
      <c r="M24" s="170">
        <f>SUM(M14,M20)</f>
        <v>73.456998378000009</v>
      </c>
      <c r="N24" s="170">
        <f>SUM(N14,N20)</f>
        <v>61.953921796999957</v>
      </c>
      <c r="O24" s="196">
        <f t="shared" si="0"/>
        <v>-0.239894660332865</v>
      </c>
      <c r="P24" s="196">
        <f t="shared" si="1"/>
        <v>-6.1647450765811351E-2</v>
      </c>
    </row>
    <row r="25" spans="1:18" ht="12" customHeight="1">
      <c r="A25" s="140"/>
      <c r="B25" s="140"/>
      <c r="C25" s="149" t="s">
        <v>32</v>
      </c>
      <c r="F25" s="18"/>
      <c r="G25" s="105" t="s">
        <v>100</v>
      </c>
      <c r="H25" s="105"/>
      <c r="I25" s="105"/>
      <c r="J25" s="155">
        <f>SUM(J26:J27)</f>
        <v>781.59871708499986</v>
      </c>
      <c r="K25" s="65">
        <f>SUM(K26:K27)</f>
        <v>756.06146189699984</v>
      </c>
      <c r="L25" s="172">
        <f>SUM(L26:L27)</f>
        <v>527.85822605299984</v>
      </c>
      <c r="M25" s="158">
        <f>SUM(M26:M27)</f>
        <v>390.42651938899996</v>
      </c>
      <c r="N25" s="158">
        <f>SUM(N26:N27)</f>
        <v>46.373999002000005</v>
      </c>
      <c r="O25" s="591">
        <f t="shared" si="0"/>
        <v>3.377661737834825E-2</v>
      </c>
      <c r="P25" s="192">
        <f t="shared" si="1"/>
        <v>10.382632509595894</v>
      </c>
    </row>
    <row r="26" spans="1:18" ht="12" customHeight="1">
      <c r="A26" s="140"/>
      <c r="B26" s="140"/>
      <c r="C26" s="149" t="s">
        <v>34</v>
      </c>
      <c r="F26" s="9" t="s">
        <v>17</v>
      </c>
      <c r="G26" s="107" t="s">
        <v>101</v>
      </c>
      <c r="H26" s="107"/>
      <c r="I26" s="107"/>
      <c r="J26" s="162">
        <v>0</v>
      </c>
      <c r="K26" s="67">
        <v>0</v>
      </c>
      <c r="L26" s="154">
        <v>0</v>
      </c>
      <c r="M26" s="164">
        <v>0</v>
      </c>
      <c r="N26" s="164">
        <v>0</v>
      </c>
      <c r="O26" s="194"/>
      <c r="P26" s="194"/>
    </row>
    <row r="27" spans="1:18" ht="12" customHeight="1">
      <c r="A27" s="140"/>
      <c r="B27" s="140"/>
      <c r="C27" s="149" t="s">
        <v>35</v>
      </c>
      <c r="F27" s="7"/>
      <c r="G27" s="109" t="s">
        <v>102</v>
      </c>
      <c r="H27" s="109"/>
      <c r="I27" s="109"/>
      <c r="J27" s="167">
        <v>781.59871708499986</v>
      </c>
      <c r="K27" s="68">
        <v>756.06146189699984</v>
      </c>
      <c r="L27" s="169">
        <v>527.85822605299984</v>
      </c>
      <c r="M27" s="170">
        <v>390.42651938899996</v>
      </c>
      <c r="N27" s="170">
        <v>46.373999002000005</v>
      </c>
      <c r="O27" s="196">
        <f t="shared" si="0"/>
        <v>3.377661737834825E-2</v>
      </c>
      <c r="P27" s="196">
        <f t="shared" si="1"/>
        <v>10.382632509595894</v>
      </c>
    </row>
    <row r="28" spans="1:18" ht="12" customHeight="1">
      <c r="A28" s="140"/>
      <c r="B28" s="140"/>
      <c r="C28" s="149"/>
      <c r="F28" s="18"/>
      <c r="J28" s="74"/>
      <c r="K28" s="74"/>
      <c r="L28" s="74"/>
      <c r="M28" s="74"/>
      <c r="N28" s="74"/>
      <c r="O28" s="74"/>
      <c r="P28" s="74"/>
    </row>
    <row r="29" spans="1:18" ht="12" customHeight="1">
      <c r="A29" s="140"/>
      <c r="B29" s="140"/>
      <c r="C29" s="149"/>
      <c r="F29" s="7"/>
      <c r="J29" s="74"/>
      <c r="K29" s="74"/>
      <c r="L29" s="74"/>
      <c r="N29" s="74"/>
    </row>
    <row r="30" spans="1:18" s="3" customFormat="1" ht="12" customHeight="1">
      <c r="A30" s="140"/>
      <c r="B30" s="140" t="s">
        <v>185</v>
      </c>
      <c r="C30" s="149"/>
      <c r="D30" s="1"/>
      <c r="E30" s="1"/>
      <c r="F30" s="7"/>
      <c r="G30" s="1"/>
      <c r="H30" s="1"/>
      <c r="I30" s="231"/>
      <c r="J30" s="74"/>
      <c r="K30" s="74"/>
      <c r="L30" s="191"/>
      <c r="M30" s="74"/>
      <c r="N30" s="74"/>
      <c r="O30" s="74"/>
      <c r="P30" s="74"/>
    </row>
    <row r="31" spans="1:18" ht="12" customHeight="1">
      <c r="A31" s="140"/>
      <c r="B31" s="140"/>
      <c r="C31" s="149" t="s">
        <v>147</v>
      </c>
      <c r="F31" s="4" t="s">
        <v>18</v>
      </c>
      <c r="I31" s="231"/>
      <c r="J31" s="74"/>
      <c r="K31" s="74"/>
      <c r="L31" s="191"/>
    </row>
    <row r="32" spans="1:18" ht="12" customHeight="1">
      <c r="A32" s="140"/>
      <c r="B32" s="140"/>
      <c r="C32" s="149" t="s">
        <v>36</v>
      </c>
      <c r="F32" s="2" t="s">
        <v>19</v>
      </c>
      <c r="I32" s="231"/>
      <c r="J32" s="74"/>
      <c r="K32" s="74"/>
      <c r="L32" s="191"/>
      <c r="M32" s="74"/>
      <c r="N32" s="74"/>
      <c r="O32" s="74"/>
      <c r="P32" s="74"/>
    </row>
    <row r="33" spans="1:15" ht="12" customHeight="1">
      <c r="A33" s="140"/>
      <c r="B33" s="140"/>
      <c r="C33" s="149"/>
      <c r="F33" s="57"/>
      <c r="L33" s="191"/>
    </row>
    <row r="34" spans="1:15" ht="12" customHeight="1">
      <c r="A34" s="140"/>
      <c r="B34" s="140" t="s">
        <v>188</v>
      </c>
      <c r="C34" s="149"/>
      <c r="F34" s="8" t="s">
        <v>13</v>
      </c>
      <c r="L34" s="191"/>
    </row>
    <row r="35" spans="1:15" ht="12" customHeight="1">
      <c r="A35" s="140"/>
      <c r="B35" s="140"/>
      <c r="C35" s="149" t="s">
        <v>37</v>
      </c>
      <c r="F35" s="9" t="s">
        <v>14</v>
      </c>
      <c r="J35" s="74"/>
      <c r="K35" s="74"/>
      <c r="L35" s="191"/>
      <c r="N35" s="74"/>
      <c r="O35" s="191"/>
    </row>
    <row r="36" spans="1:15" ht="12" customHeight="1">
      <c r="A36" s="140"/>
      <c r="B36" s="140"/>
      <c r="C36" s="149" t="s">
        <v>38</v>
      </c>
      <c r="F36" s="7"/>
      <c r="J36" s="74"/>
      <c r="K36" s="74"/>
    </row>
    <row r="37" spans="1:15" ht="12" customHeight="1">
      <c r="A37" s="25"/>
      <c r="F37" s="7"/>
    </row>
    <row r="38" spans="1:15" ht="12" customHeight="1">
      <c r="A38" s="25"/>
      <c r="F38" s="7"/>
    </row>
    <row r="39" spans="1:15" ht="12" customHeight="1">
      <c r="A39" s="25"/>
      <c r="F39" s="7"/>
    </row>
    <row r="40" spans="1:15" ht="12" customHeight="1">
      <c r="A40" s="25"/>
      <c r="F40" s="7"/>
    </row>
    <row r="41" spans="1:15" ht="12" customHeight="1">
      <c r="A41" s="25"/>
      <c r="F41" s="7"/>
    </row>
    <row r="42" spans="1:15" ht="12" customHeight="1">
      <c r="A42" s="25"/>
      <c r="F42" s="7"/>
    </row>
    <row r="43" spans="1:15" ht="12" customHeight="1">
      <c r="A43" s="25"/>
      <c r="F43" s="7"/>
    </row>
    <row r="44" spans="1:15" ht="12" customHeight="1">
      <c r="A44" s="25"/>
      <c r="F44" s="7"/>
    </row>
    <row r="45" spans="1:15" ht="12" customHeight="1">
      <c r="A45" s="25"/>
      <c r="F45" s="7"/>
    </row>
    <row r="46" spans="1:15" ht="12" customHeight="1">
      <c r="A46" s="25"/>
      <c r="F46" s="7"/>
    </row>
    <row r="47" spans="1:15" ht="12" customHeight="1">
      <c r="A47" s="25"/>
      <c r="F47" s="7"/>
    </row>
    <row r="48" spans="1:15" ht="12" customHeight="1">
      <c r="A48" s="25"/>
      <c r="F48" s="9" t="s">
        <v>15</v>
      </c>
    </row>
    <row r="49" spans="1:16" ht="12" customHeight="1">
      <c r="F49" s="7"/>
    </row>
    <row r="50" spans="1:16" ht="12" customHeight="1">
      <c r="F50" s="7"/>
    </row>
    <row r="51" spans="1:16" ht="12" customHeight="1">
      <c r="F51" s="18"/>
    </row>
    <row r="52" spans="1:16" ht="12" customHeight="1">
      <c r="F52" s="9" t="s">
        <v>16</v>
      </c>
    </row>
    <row r="53" spans="1:16" ht="12" customHeight="1">
      <c r="F53" s="7"/>
      <c r="J53" s="69"/>
      <c r="K53" s="69"/>
      <c r="L53" s="69"/>
      <c r="M53" s="69"/>
      <c r="N53" s="69"/>
      <c r="O53" s="69"/>
      <c r="P53" s="69"/>
    </row>
    <row r="54" spans="1:16" ht="12" customHeight="1">
      <c r="F54" s="7"/>
      <c r="J54" s="69"/>
      <c r="K54" s="69"/>
      <c r="L54" s="69"/>
      <c r="M54" s="69"/>
      <c r="N54" s="69"/>
      <c r="O54" s="69"/>
      <c r="P54" s="69"/>
    </row>
    <row r="55" spans="1:16" ht="12" customHeight="1">
      <c r="F55" s="18"/>
      <c r="J55" s="69"/>
      <c r="K55" s="69"/>
      <c r="L55" s="69"/>
      <c r="M55" s="69"/>
      <c r="N55" s="69"/>
      <c r="O55" s="69"/>
      <c r="P55" s="69"/>
    </row>
    <row r="56" spans="1:16" ht="12" customHeight="1">
      <c r="F56" s="9" t="s">
        <v>17</v>
      </c>
      <c r="J56" s="69"/>
      <c r="K56" s="69"/>
      <c r="L56" s="69"/>
      <c r="M56" s="69"/>
      <c r="N56" s="69"/>
      <c r="O56" s="69"/>
      <c r="P56" s="69"/>
    </row>
    <row r="57" spans="1:16" ht="12" customHeight="1">
      <c r="F57" s="7"/>
      <c r="J57" s="69"/>
      <c r="K57" s="69"/>
      <c r="L57" s="69"/>
      <c r="M57" s="69"/>
      <c r="N57" s="69"/>
      <c r="O57" s="69"/>
      <c r="P57" s="69"/>
    </row>
    <row r="58" spans="1:16" ht="12" customHeight="1">
      <c r="F58" s="18"/>
      <c r="J58" s="69"/>
      <c r="K58" s="69"/>
      <c r="L58" s="69"/>
      <c r="M58" s="69"/>
      <c r="N58" s="69"/>
      <c r="O58" s="69"/>
      <c r="P58" s="69"/>
    </row>
    <row r="59" spans="1:16" ht="12" customHeight="1">
      <c r="J59" s="69"/>
      <c r="K59" s="69"/>
      <c r="L59" s="69"/>
      <c r="M59" s="69"/>
      <c r="N59" s="69"/>
      <c r="O59" s="69"/>
      <c r="P59" s="69"/>
    </row>
    <row r="60" spans="1:16" ht="12" customHeight="1">
      <c r="F60" s="2" t="s">
        <v>20</v>
      </c>
      <c r="J60" s="69"/>
      <c r="K60" s="69"/>
      <c r="L60" s="69"/>
      <c r="M60" s="69"/>
      <c r="N60" s="69"/>
      <c r="O60" s="69"/>
      <c r="P60" s="69"/>
    </row>
    <row r="61" spans="1:16" ht="12" customHeight="1">
      <c r="F61" s="57"/>
      <c r="J61" s="69"/>
      <c r="K61" s="69"/>
      <c r="L61" s="69"/>
      <c r="M61" s="69"/>
      <c r="N61" s="69"/>
      <c r="O61" s="69"/>
      <c r="P61" s="69"/>
    </row>
    <row r="62" spans="1:16" ht="12" customHeight="1">
      <c r="F62" s="8" t="s">
        <v>13</v>
      </c>
      <c r="J62" s="69"/>
      <c r="K62" s="69"/>
      <c r="L62" s="69"/>
      <c r="M62" s="69"/>
      <c r="N62" s="69"/>
      <c r="O62" s="69"/>
      <c r="P62" s="69"/>
    </row>
    <row r="63" spans="1:16" ht="12" customHeight="1">
      <c r="F63" s="9" t="s">
        <v>14</v>
      </c>
      <c r="J63" s="69"/>
      <c r="K63" s="69"/>
      <c r="L63" s="69"/>
      <c r="M63" s="69"/>
      <c r="N63" s="69"/>
      <c r="O63" s="69"/>
      <c r="P63" s="69"/>
    </row>
    <row r="64" spans="1:16" ht="12" customHeight="1">
      <c r="A64" s="1"/>
      <c r="F64" s="7"/>
      <c r="J64" s="69"/>
      <c r="K64" s="69"/>
      <c r="L64" s="69"/>
      <c r="M64" s="69"/>
      <c r="N64" s="69"/>
      <c r="O64" s="69"/>
      <c r="P64" s="69"/>
    </row>
    <row r="65" spans="1:16" ht="12" customHeight="1">
      <c r="A65" s="1"/>
      <c r="F65" s="7"/>
      <c r="J65" s="69"/>
      <c r="K65" s="69"/>
      <c r="L65" s="69"/>
      <c r="M65" s="69"/>
      <c r="N65" s="69"/>
      <c r="O65" s="69"/>
      <c r="P65" s="69"/>
    </row>
    <row r="66" spans="1:16" ht="12" customHeight="1">
      <c r="A66" s="1"/>
      <c r="F66" s="7"/>
      <c r="J66" s="69"/>
      <c r="K66" s="69"/>
      <c r="L66" s="69"/>
      <c r="M66" s="69"/>
      <c r="N66" s="69"/>
      <c r="O66" s="69"/>
      <c r="P66" s="69"/>
    </row>
    <row r="67" spans="1:16" ht="12" customHeight="1">
      <c r="A67" s="1"/>
      <c r="F67" s="7"/>
      <c r="J67" s="69"/>
      <c r="K67" s="69"/>
      <c r="L67" s="69"/>
      <c r="M67" s="69"/>
      <c r="N67" s="69"/>
      <c r="O67" s="69"/>
      <c r="P67" s="69"/>
    </row>
    <row r="68" spans="1:16" ht="12" customHeight="1">
      <c r="A68" s="1"/>
      <c r="F68" s="7"/>
      <c r="J68" s="69"/>
      <c r="K68" s="69"/>
      <c r="L68" s="69"/>
      <c r="M68" s="69"/>
      <c r="N68" s="69"/>
      <c r="O68" s="69"/>
      <c r="P68" s="69"/>
    </row>
    <row r="69" spans="1:16" ht="12" customHeight="1">
      <c r="A69" s="1"/>
      <c r="F69" s="7"/>
      <c r="J69" s="69"/>
      <c r="K69" s="69"/>
      <c r="L69" s="69"/>
      <c r="M69" s="69"/>
      <c r="N69" s="69"/>
      <c r="O69" s="69"/>
      <c r="P69" s="69"/>
    </row>
    <row r="70" spans="1:16" ht="12" customHeight="1">
      <c r="A70" s="1"/>
      <c r="F70" s="7"/>
      <c r="J70" s="69"/>
      <c r="K70" s="69"/>
      <c r="L70" s="69"/>
      <c r="M70" s="69"/>
      <c r="N70" s="69"/>
      <c r="O70" s="69"/>
      <c r="P70" s="69"/>
    </row>
    <row r="71" spans="1:16" ht="12" customHeight="1">
      <c r="A71" s="1"/>
      <c r="F71" s="7"/>
      <c r="J71" s="69"/>
      <c r="K71" s="69"/>
      <c r="L71" s="69"/>
      <c r="M71" s="69"/>
      <c r="N71" s="69"/>
      <c r="O71" s="69"/>
      <c r="P71" s="69"/>
    </row>
    <row r="72" spans="1:16" ht="12" customHeight="1">
      <c r="A72" s="1"/>
      <c r="F72" s="7"/>
      <c r="J72" s="69"/>
      <c r="K72" s="69"/>
      <c r="L72" s="69"/>
      <c r="M72" s="69"/>
      <c r="N72" s="69"/>
      <c r="O72" s="69"/>
      <c r="P72" s="69"/>
    </row>
    <row r="73" spans="1:16" ht="12" customHeight="1">
      <c r="A73" s="1"/>
      <c r="F73" s="7"/>
      <c r="J73" s="69"/>
      <c r="K73" s="69"/>
      <c r="L73" s="69"/>
      <c r="M73" s="69"/>
      <c r="N73" s="69"/>
      <c r="O73" s="69"/>
      <c r="P73" s="69"/>
    </row>
    <row r="74" spans="1:16" ht="12" customHeight="1">
      <c r="A74" s="1"/>
      <c r="F74" s="7"/>
      <c r="J74" s="69"/>
      <c r="K74" s="69"/>
      <c r="L74" s="69"/>
      <c r="M74" s="69"/>
      <c r="N74" s="69"/>
      <c r="O74" s="69"/>
      <c r="P74" s="69"/>
    </row>
    <row r="75" spans="1:16" ht="12" customHeight="1">
      <c r="A75" s="1"/>
      <c r="F75" s="7"/>
      <c r="J75" s="69"/>
      <c r="K75" s="69"/>
      <c r="L75" s="69"/>
      <c r="M75" s="69"/>
      <c r="N75" s="69"/>
      <c r="O75" s="69"/>
      <c r="P75" s="69"/>
    </row>
    <row r="76" spans="1:16" ht="12" customHeight="1">
      <c r="A76" s="1"/>
      <c r="F76" s="9" t="s">
        <v>15</v>
      </c>
      <c r="J76" s="69"/>
      <c r="K76" s="69"/>
      <c r="L76" s="69"/>
      <c r="M76" s="69"/>
      <c r="N76" s="69"/>
      <c r="O76" s="69"/>
      <c r="P76" s="69"/>
    </row>
    <row r="77" spans="1:16" ht="12" customHeight="1">
      <c r="F77" s="7"/>
      <c r="J77" s="69"/>
      <c r="K77" s="69"/>
      <c r="L77" s="69"/>
      <c r="M77" s="69"/>
      <c r="N77" s="69"/>
      <c r="O77" s="69"/>
      <c r="P77" s="69"/>
    </row>
    <row r="78" spans="1:16" ht="12" customHeight="1">
      <c r="F78" s="7"/>
      <c r="J78" s="69"/>
      <c r="K78" s="69"/>
      <c r="L78" s="69"/>
      <c r="M78" s="69"/>
      <c r="N78" s="69"/>
      <c r="O78" s="69"/>
      <c r="P78" s="69"/>
    </row>
    <row r="79" spans="1:16" ht="12" customHeight="1">
      <c r="F79" s="18"/>
      <c r="J79" s="69"/>
      <c r="K79" s="69"/>
      <c r="L79" s="69"/>
      <c r="M79" s="69"/>
      <c r="N79" s="69"/>
      <c r="O79" s="69"/>
      <c r="P79" s="69"/>
    </row>
    <row r="80" spans="1:16" ht="12" customHeight="1">
      <c r="F80" s="9" t="s">
        <v>16</v>
      </c>
    </row>
    <row r="81" spans="6:6">
      <c r="F81" s="7"/>
    </row>
    <row r="82" spans="6:6">
      <c r="F82" s="7"/>
    </row>
    <row r="83" spans="6:6">
      <c r="F83" s="18"/>
    </row>
    <row r="84" spans="6:6">
      <c r="F84" s="9" t="s">
        <v>17</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8A0C79E6-663B-401E-A44D-89FE5A241735}"/>
    <hyperlink ref="B7" location="FS!A1" display="요약재무상태표 (Selected Balance sheet)" xr:uid="{13E4E592-A1C9-4B86-863C-AC1F280CC752}"/>
    <hyperlink ref="C15" location="Stability!A1" display="재무 안정성 (Financial Stability)" xr:uid="{30EEE6AA-608A-4A72-B94C-C81C7AFDA7C1}"/>
    <hyperlink ref="C16" location="Productivity!A1" display="생산성 / 경영효율 (Productivity / Operating Efficiency)" xr:uid="{C91D6F75-D6A5-4EA1-B35C-BED72AD288AB}"/>
    <hyperlink ref="C20" location="'Premium Income by P.T.(GA+SA)'!A1" display="상품별 수입보험료 (Premium Income)" xr:uid="{5EF3EAC9-400A-40C9-96C9-562B71CAF765}"/>
    <hyperlink ref="C21" location="'Initial P. by P.T.'!A1" display="상품별 초회보험료 (Initial Premium)" xr:uid="{E105171C-FC9B-43F8-990B-46B73EEA2B27}"/>
    <hyperlink ref="C22" location="'First-year P. by P.T.'!A1" display="상품별 초년도보험료 (First Year Premium)" xr:uid="{53B45437-E307-4BB7-8B88-78DE5662635E}"/>
    <hyperlink ref="C26" location="'Premium Income by D.C.(GA+SA)'!A1" display="채널별 수입보험료 (Premium Income)" xr:uid="{2888741E-CCEC-482D-A120-AE3DC2E41EE8}"/>
    <hyperlink ref="C27" location="'First-year P. by D.C'!A1" display="채널별 초년도보험료 (First Year Premium)" xr:uid="{DB3AECB4-CFAD-415C-9B28-C72C811587FE}"/>
    <hyperlink ref="C31" location="'&gt;Loan'!A1" display="대출 (Loan)/ 자산건전성 (Asset Quality of Loan)" xr:uid="{19547419-5076-4089-B35A-4257307E454F}"/>
    <hyperlink ref="C32" location="'&gt;Bond'!A1" display="채권 (Bond)" xr:uid="{714BA4D1-4876-4035-BE77-23BBB00E7360}"/>
    <hyperlink ref="C35" location="'BS  K-IFRS'!A1" display="재무상태표 (Balance Sheet - KIFRS)" xr:uid="{7C2BDAC8-5817-495B-93C2-8D9C53DAB8C7}"/>
    <hyperlink ref="C36" location="'IS  K-IFRS'!A1" display="손익계산서 (Income Statement - KIFRS)" xr:uid="{F200014E-1FDE-4781-B7CA-80600AD5BFE8}"/>
    <hyperlink ref="B8" location="FS!A1" display="요약손익계산서 (Selected Income Statement)" xr:uid="{A950A2B0-1A2B-4BFF-A6FE-A33D1E5AF6C1}"/>
    <hyperlink ref="B10" location="CSM!A1" display="RA, CSM, BEL Movement" xr:uid="{67568699-6426-445C-9DC0-315132299340}"/>
    <hyperlink ref="B11" location="CSM!A1" display="신계약 CSM (New Business CSM)" xr:uid="{BD3E140A-FF09-436A-BB56-12BBABB47272}"/>
    <hyperlink ref="B13" location="'Sources of Margin'!A1" display="이원별손익" xr:uid="{07B80FCD-51A0-4455-809C-6679AF9A1465}"/>
    <hyperlink ref="B12" location="CSM!A1" display="신계약 CSM 배수 (New Business CSM Margin)" xr:uid="{25E68BF5-CE28-48F0-B1C9-A2B4BCCD1B7B}"/>
    <hyperlink ref="C19" location="'APE by P.T'!A1" display="상품별 APE (Annualized Premium Equivalent (APE))" xr:uid="{E052A4F0-1A8D-4FAD-8544-060F2BC3A12C}"/>
    <hyperlink ref="C25" location="'APE by D.C'!A1" display="채널별 APE (Annualized Premium Equivalent (APE))" xr:uid="{6FBBA7F1-7582-4C5B-B90E-5A049594D1BD}"/>
  </hyperlinks>
  <pageMargins left="0.19685039370078741" right="0.19685039370078741"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103"/>
  <sheetViews>
    <sheetView showGridLines="0" zoomScale="85" zoomScaleNormal="85" zoomScaleSheetLayoutView="85" workbookViewId="0"/>
  </sheetViews>
  <sheetFormatPr defaultColWidth="9.140625" defaultRowHeight="12" customHeight="1"/>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6" s="3" customFormat="1" ht="22.5">
      <c r="A1" s="6"/>
      <c r="F1" s="4" t="s">
        <v>10</v>
      </c>
      <c r="G1" s="81" t="s">
        <v>104</v>
      </c>
      <c r="H1" s="82"/>
      <c r="I1" s="82"/>
    </row>
    <row r="2" spans="1:16" ht="12" customHeight="1">
      <c r="A2" s="140"/>
      <c r="B2" s="141"/>
      <c r="C2" s="141"/>
      <c r="F2" s="2" t="s">
        <v>5</v>
      </c>
      <c r="G2" s="99" t="s">
        <v>48</v>
      </c>
      <c r="H2" s="100"/>
      <c r="I2" s="100"/>
    </row>
    <row r="3" spans="1:16" ht="12" customHeight="1">
      <c r="A3" s="140" t="s">
        <v>27</v>
      </c>
      <c r="B3" s="141"/>
      <c r="C3" s="141"/>
      <c r="F3" s="57"/>
      <c r="G3" s="101"/>
      <c r="H3" s="101"/>
      <c r="I3" s="102"/>
      <c r="J3" s="854" t="s">
        <v>82</v>
      </c>
      <c r="K3" s="855"/>
      <c r="L3" s="856" t="s">
        <v>83</v>
      </c>
      <c r="M3" s="854"/>
      <c r="N3" s="855"/>
      <c r="O3" s="101"/>
      <c r="P3" s="101"/>
    </row>
    <row r="4" spans="1:16" ht="12" customHeight="1">
      <c r="A4" s="140"/>
      <c r="B4" s="141"/>
      <c r="C4" s="141"/>
      <c r="F4" s="8" t="s">
        <v>8</v>
      </c>
      <c r="G4" s="84" t="s">
        <v>81</v>
      </c>
      <c r="H4" s="103"/>
      <c r="I4" s="104"/>
      <c r="J4" s="776">
        <v>46022</v>
      </c>
      <c r="K4" s="187">
        <v>45657</v>
      </c>
      <c r="L4" s="776">
        <v>46022</v>
      </c>
      <c r="M4" s="259">
        <v>45657</v>
      </c>
      <c r="N4" s="266">
        <v>45930</v>
      </c>
      <c r="O4" s="262" t="s">
        <v>23</v>
      </c>
      <c r="P4" s="110" t="s">
        <v>24</v>
      </c>
    </row>
    <row r="5" spans="1:16" ht="12" customHeight="1">
      <c r="A5" s="150"/>
      <c r="B5" s="140" t="s">
        <v>155</v>
      </c>
      <c r="C5" s="140"/>
      <c r="F5" s="9" t="s">
        <v>0</v>
      </c>
      <c r="G5" s="105" t="s">
        <v>84</v>
      </c>
      <c r="H5" s="105"/>
      <c r="I5" s="105"/>
      <c r="J5" s="155">
        <f>SUM(J6,J10,J14)</f>
        <v>3986.3941436620012</v>
      </c>
      <c r="K5" s="65">
        <f>SUM(K6,K10,K14)</f>
        <v>3936.8156819730016</v>
      </c>
      <c r="L5" s="157">
        <f>SUM(L6,L10,L14)</f>
        <v>985.57010164000098</v>
      </c>
      <c r="M5" s="158">
        <f>SUM(M6,M10,M14)</f>
        <v>887.50974900500137</v>
      </c>
      <c r="N5" s="158">
        <f>SUM(N6,N10,N14)</f>
        <v>1172.2092410050006</v>
      </c>
      <c r="O5" s="10">
        <f>IF(J5/K5&lt;0,"n.a.",IF(K5&gt;0,ROUND(J5,4)/ROUND(K5,4)-1,IF(K5&lt;0,"n.a.")))</f>
        <v>1.25935283178229E-2</v>
      </c>
      <c r="P5" s="10">
        <f>IF(L5/N5&lt;0,"n.a.",IF(N5&gt;0,ROUND(L5,4)/ROUND(N5,4)-1,IF(N5&lt;0,"n.a.")))</f>
        <v>-0.15921995834873159</v>
      </c>
    </row>
    <row r="6" spans="1:16" ht="12" customHeight="1">
      <c r="A6" s="150"/>
      <c r="B6" s="149"/>
      <c r="C6" s="141"/>
      <c r="F6" s="7"/>
      <c r="G6" s="106" t="s">
        <v>85</v>
      </c>
      <c r="H6" s="106"/>
      <c r="I6" s="106"/>
      <c r="J6" s="159">
        <f>SUM(J7:J9)</f>
        <v>3229.5397687730015</v>
      </c>
      <c r="K6" s="66">
        <f>SUM(K7:K9)</f>
        <v>2881.6703830910019</v>
      </c>
      <c r="L6" s="160">
        <f>SUM(L7:L9)</f>
        <v>822.88739936100092</v>
      </c>
      <c r="M6" s="161">
        <f>SUM(M7:M9)</f>
        <v>765.61072107800135</v>
      </c>
      <c r="N6" s="161">
        <f>SUM(N7:N9)</f>
        <v>818.46727099100076</v>
      </c>
      <c r="O6" s="12">
        <f t="shared" ref="O6:O24" si="0">IF(J6/K6&lt;0,"n.a.",IF(K6&gt;0,ROUND(J6,4)/ROUND(K6,4)-1,IF(K6&lt;0,"n.a.")))</f>
        <v>0.12071796968869175</v>
      </c>
      <c r="P6" s="13">
        <f t="shared" ref="P6:P24" si="1">IF(L6/N6&lt;0,"n.a.",IF(N6&gt;0,ROUND(L6,4)/ROUND(N6,4)-1,IF(N6&lt;0,"n.a.")))</f>
        <v>5.4004601039039368E-3</v>
      </c>
    </row>
    <row r="7" spans="1:16" ht="12" customHeight="1">
      <c r="A7" s="150"/>
      <c r="B7" s="149" t="s">
        <v>212</v>
      </c>
      <c r="C7" s="141"/>
      <c r="F7" s="7"/>
      <c r="G7" s="107"/>
      <c r="H7" s="107" t="s">
        <v>86</v>
      </c>
      <c r="I7" s="107"/>
      <c r="J7" s="162">
        <v>1517.4332044790001</v>
      </c>
      <c r="K7" s="67">
        <v>1393.1023417220003</v>
      </c>
      <c r="L7" s="154">
        <v>382.23755925100011</v>
      </c>
      <c r="M7" s="164">
        <v>371.62456025400002</v>
      </c>
      <c r="N7" s="164">
        <v>379.47476409600034</v>
      </c>
      <c r="O7" s="14">
        <f t="shared" si="0"/>
        <v>8.9247501780737704E-2</v>
      </c>
      <c r="P7" s="15">
        <f t="shared" si="1"/>
        <v>7.2805888559661636E-3</v>
      </c>
    </row>
    <row r="8" spans="1:16" ht="12" customHeight="1">
      <c r="A8" s="150"/>
      <c r="B8" s="149" t="s">
        <v>213</v>
      </c>
      <c r="C8" s="141"/>
      <c r="F8" s="7"/>
      <c r="G8" s="107"/>
      <c r="H8" s="107" t="s">
        <v>87</v>
      </c>
      <c r="I8" s="107"/>
      <c r="J8" s="162">
        <v>55.101878722999984</v>
      </c>
      <c r="K8" s="67">
        <v>58.770835548000022</v>
      </c>
      <c r="L8" s="154">
        <v>13.364439201999998</v>
      </c>
      <c r="M8" s="164">
        <v>14.421231711999999</v>
      </c>
      <c r="N8" s="164">
        <v>13.644376796999994</v>
      </c>
      <c r="O8" s="14">
        <f t="shared" si="0"/>
        <v>-6.2427259795680867E-2</v>
      </c>
      <c r="P8" s="15">
        <f t="shared" si="1"/>
        <v>-2.0521239482864773E-2</v>
      </c>
    </row>
    <row r="9" spans="1:16" ht="12" customHeight="1">
      <c r="A9" s="150"/>
      <c r="B9" s="149"/>
      <c r="C9" s="141"/>
      <c r="F9" s="7"/>
      <c r="G9" s="107"/>
      <c r="H9" s="107" t="s">
        <v>88</v>
      </c>
      <c r="I9" s="107"/>
      <c r="J9" s="162">
        <v>1657.0046855710013</v>
      </c>
      <c r="K9" s="67">
        <v>1429.7972058210014</v>
      </c>
      <c r="L9" s="154">
        <v>427.28540090800078</v>
      </c>
      <c r="M9" s="164">
        <v>379.56492911200132</v>
      </c>
      <c r="N9" s="164">
        <v>425.34813009800041</v>
      </c>
      <c r="O9" s="14">
        <f t="shared" si="0"/>
        <v>0.15890889980760914</v>
      </c>
      <c r="P9" s="15">
        <f t="shared" si="1"/>
        <v>4.5546224374812816E-3</v>
      </c>
    </row>
    <row r="10" spans="1:16" ht="12" customHeight="1">
      <c r="A10" s="140"/>
      <c r="B10" s="149" t="s">
        <v>171</v>
      </c>
      <c r="C10" s="141"/>
      <c r="F10" s="7"/>
      <c r="G10" s="108" t="s">
        <v>89</v>
      </c>
      <c r="H10" s="108"/>
      <c r="I10" s="108"/>
      <c r="J10" s="159">
        <f>SUM(J11:J13)</f>
        <v>508.84078503500001</v>
      </c>
      <c r="K10" s="66">
        <f>SUM(K11:K13)</f>
        <v>727.55742302699991</v>
      </c>
      <c r="L10" s="165">
        <f>SUM(L11:L13)</f>
        <v>106.51293162</v>
      </c>
      <c r="M10" s="166">
        <f>SUM(M11:M13)</f>
        <v>50.697066542999984</v>
      </c>
      <c r="N10" s="166">
        <f>SUM(N11:N13)</f>
        <v>293.79423027400003</v>
      </c>
      <c r="O10" s="16">
        <f t="shared" si="0"/>
        <v>-0.30061765573410426</v>
      </c>
      <c r="P10" s="17">
        <f t="shared" si="1"/>
        <v>-0.63745744470108667</v>
      </c>
    </row>
    <row r="11" spans="1:16" ht="12" customHeight="1">
      <c r="A11" s="140"/>
      <c r="B11" s="149" t="s">
        <v>166</v>
      </c>
      <c r="C11" s="141"/>
      <c r="F11" s="7"/>
      <c r="G11" s="107"/>
      <c r="H11" s="107" t="s">
        <v>90</v>
      </c>
      <c r="I11" s="107"/>
      <c r="J11" s="162">
        <v>1.7940777780000001</v>
      </c>
      <c r="K11" s="493">
        <v>1.110149225</v>
      </c>
      <c r="L11" s="590">
        <v>0.62722707899999997</v>
      </c>
      <c r="M11" s="164">
        <v>0.256132782</v>
      </c>
      <c r="N11" s="164">
        <v>0.46884617700000025</v>
      </c>
      <c r="O11" s="14">
        <f t="shared" si="0"/>
        <v>0.61616070624268082</v>
      </c>
      <c r="P11" s="15">
        <f t="shared" si="1"/>
        <v>0.33788395904436852</v>
      </c>
    </row>
    <row r="12" spans="1:16" ht="12" customHeight="1">
      <c r="A12" s="140"/>
      <c r="B12" s="149" t="s">
        <v>222</v>
      </c>
      <c r="C12" s="141"/>
      <c r="F12" s="7"/>
      <c r="G12" s="107"/>
      <c r="H12" s="107" t="s">
        <v>91</v>
      </c>
      <c r="I12" s="107"/>
      <c r="J12" s="162">
        <v>506.34536402800006</v>
      </c>
      <c r="K12" s="67">
        <v>725.16555084699996</v>
      </c>
      <c r="L12" s="154">
        <v>105.74335597100001</v>
      </c>
      <c r="M12" s="164">
        <v>50.182605837999979</v>
      </c>
      <c r="N12" s="164">
        <v>293.16824042000002</v>
      </c>
      <c r="O12" s="14">
        <f t="shared" si="0"/>
        <v>-0.30175204118893673</v>
      </c>
      <c r="P12" s="15">
        <f t="shared" si="1"/>
        <v>-0.63930808320957055</v>
      </c>
    </row>
    <row r="13" spans="1:16" ht="12" customHeight="1">
      <c r="A13" s="140"/>
      <c r="B13" s="149"/>
      <c r="C13" s="141"/>
      <c r="F13" s="7"/>
      <c r="G13" s="107"/>
      <c r="H13" s="107" t="s">
        <v>92</v>
      </c>
      <c r="I13" s="107"/>
      <c r="J13" s="162">
        <v>0.70134322900000012</v>
      </c>
      <c r="K13" s="67">
        <v>1.2817229549999998</v>
      </c>
      <c r="L13" s="154">
        <v>0.14234857000000023</v>
      </c>
      <c r="M13" s="164">
        <v>0.25832792300000007</v>
      </c>
      <c r="N13" s="164">
        <v>0.15714367700000012</v>
      </c>
      <c r="O13" s="14">
        <f t="shared" si="0"/>
        <v>-0.4528360770851213</v>
      </c>
      <c r="P13" s="15">
        <f t="shared" si="1"/>
        <v>-9.4207511139401512E-2</v>
      </c>
    </row>
    <row r="14" spans="1:16" ht="12" customHeight="1">
      <c r="A14" s="140"/>
      <c r="B14" s="140" t="s">
        <v>173</v>
      </c>
      <c r="C14" s="141"/>
      <c r="F14" s="7"/>
      <c r="G14" s="108" t="s">
        <v>93</v>
      </c>
      <c r="H14" s="108"/>
      <c r="I14" s="108"/>
      <c r="J14" s="159">
        <f>SUM(J15:J17)</f>
        <v>248.01358985399983</v>
      </c>
      <c r="K14" s="66">
        <f>SUM(K15:K17)</f>
        <v>327.58787585499988</v>
      </c>
      <c r="L14" s="165">
        <f>SUM(L15:L17)</f>
        <v>56.169770659000001</v>
      </c>
      <c r="M14" s="166">
        <f>SUM(M15:M17)</f>
        <v>71.201961384000015</v>
      </c>
      <c r="N14" s="166">
        <f>SUM(N15:N17)</f>
        <v>59.947739739999953</v>
      </c>
      <c r="O14" s="16">
        <f t="shared" si="0"/>
        <v>-0.24290976559268518</v>
      </c>
      <c r="P14" s="17">
        <f t="shared" si="1"/>
        <v>-6.30199323743863E-2</v>
      </c>
    </row>
    <row r="15" spans="1:16" ht="12" customHeight="1">
      <c r="A15" s="140"/>
      <c r="B15" s="142"/>
      <c r="C15" s="149" t="s">
        <v>40</v>
      </c>
      <c r="F15" s="7"/>
      <c r="G15" s="107"/>
      <c r="H15" s="107" t="s">
        <v>90</v>
      </c>
      <c r="I15" s="107"/>
      <c r="J15" s="162">
        <v>13.092034903999998</v>
      </c>
      <c r="K15" s="67">
        <v>14.276074154</v>
      </c>
      <c r="L15" s="154">
        <v>3.1303880409999998</v>
      </c>
      <c r="M15" s="164">
        <v>3.5369457810000005</v>
      </c>
      <c r="N15" s="164">
        <v>3.220101190999999</v>
      </c>
      <c r="O15" s="194">
        <f t="shared" si="0"/>
        <v>-8.2942820518208671E-2</v>
      </c>
      <c r="P15" s="198">
        <f t="shared" si="1"/>
        <v>-2.7856277755349268E-2</v>
      </c>
    </row>
    <row r="16" spans="1:16" ht="12" customHeight="1">
      <c r="A16" s="140"/>
      <c r="B16" s="140"/>
      <c r="C16" s="149" t="s">
        <v>41</v>
      </c>
      <c r="F16" s="7"/>
      <c r="G16" s="107"/>
      <c r="H16" s="107" t="s">
        <v>91</v>
      </c>
      <c r="I16" s="107"/>
      <c r="J16" s="162">
        <v>233.89826626299984</v>
      </c>
      <c r="K16" s="67">
        <v>312.17103258699984</v>
      </c>
      <c r="L16" s="154">
        <v>52.795922429000001</v>
      </c>
      <c r="M16" s="164">
        <v>67.395119848000007</v>
      </c>
      <c r="N16" s="164">
        <v>56.478979294999959</v>
      </c>
      <c r="O16" s="14">
        <f t="shared" si="0"/>
        <v>-0.25073661550880766</v>
      </c>
      <c r="P16" s="15">
        <f t="shared" si="1"/>
        <v>-6.5211848651711146E-2</v>
      </c>
    </row>
    <row r="17" spans="1:18" ht="12" customHeight="1">
      <c r="A17" s="140"/>
      <c r="B17" s="140"/>
      <c r="C17" s="149"/>
      <c r="F17" s="7"/>
      <c r="G17" s="107"/>
      <c r="H17" s="107" t="s">
        <v>94</v>
      </c>
      <c r="I17" s="107"/>
      <c r="J17" s="162">
        <v>1.023288687</v>
      </c>
      <c r="K17" s="67">
        <v>1.140769114</v>
      </c>
      <c r="L17" s="154">
        <v>0.24346018899999991</v>
      </c>
      <c r="M17" s="164">
        <v>0.26989575500000068</v>
      </c>
      <c r="N17" s="164">
        <v>0.24865925399999947</v>
      </c>
      <c r="O17" s="14">
        <f t="shared" si="0"/>
        <v>-0.10299789621318367</v>
      </c>
      <c r="P17" s="15">
        <f t="shared" si="1"/>
        <v>-2.0908725371934112E-2</v>
      </c>
    </row>
    <row r="18" spans="1:18" ht="12" customHeight="1">
      <c r="A18" s="140"/>
      <c r="B18" s="140" t="s">
        <v>176</v>
      </c>
      <c r="C18" s="149"/>
      <c r="F18" s="9" t="s">
        <v>1</v>
      </c>
      <c r="G18" s="105" t="s">
        <v>95</v>
      </c>
      <c r="H18" s="105"/>
      <c r="I18" s="105"/>
      <c r="J18" s="155">
        <f>SUM(J19:J20)</f>
        <v>0.31400906199999995</v>
      </c>
      <c r="K18" s="65">
        <f>SUM(K19:K20)</f>
        <v>0.50609610000000005</v>
      </c>
      <c r="L18" s="157">
        <f>SUM(L19:L20)</f>
        <v>6.702306299999998E-2</v>
      </c>
      <c r="M18" s="158">
        <f>SUM(M19:M20)</f>
        <v>9.9339497999999984E-2</v>
      </c>
      <c r="N18" s="158">
        <f>SUM(N19:N20)</f>
        <v>7.6204573999999997E-2</v>
      </c>
      <c r="O18" s="10">
        <f t="shared" si="0"/>
        <v>-0.37956925508792727</v>
      </c>
      <c r="P18" s="11">
        <f t="shared" si="1"/>
        <v>-0.12073490813648291</v>
      </c>
    </row>
    <row r="19" spans="1:18" ht="12" customHeight="1">
      <c r="A19" s="140"/>
      <c r="B19" s="140"/>
      <c r="C19" s="149" t="s">
        <v>33</v>
      </c>
      <c r="F19" s="7"/>
      <c r="G19" s="107" t="s">
        <v>96</v>
      </c>
      <c r="H19" s="107"/>
      <c r="I19" s="107"/>
      <c r="J19" s="162">
        <v>0.29408660199999997</v>
      </c>
      <c r="K19" s="67">
        <v>0.48261233100000006</v>
      </c>
      <c r="L19" s="154">
        <v>6.2223770999999983E-2</v>
      </c>
      <c r="M19" s="164">
        <v>9.3640526999999987E-2</v>
      </c>
      <c r="N19" s="164">
        <v>7.1294204E-2</v>
      </c>
      <c r="O19" s="14">
        <f t="shared" si="0"/>
        <v>-0.39059262329050981</v>
      </c>
      <c r="P19" s="15">
        <f t="shared" si="1"/>
        <v>-0.12762973352033669</v>
      </c>
    </row>
    <row r="20" spans="1:18" ht="12" customHeight="1">
      <c r="A20" s="140"/>
      <c r="B20" s="140"/>
      <c r="C20" s="149" t="s">
        <v>29</v>
      </c>
      <c r="F20" s="7"/>
      <c r="G20" s="109" t="s">
        <v>97</v>
      </c>
      <c r="H20" s="109"/>
      <c r="I20" s="109"/>
      <c r="J20" s="167">
        <v>1.9922459999999999E-2</v>
      </c>
      <c r="K20" s="68">
        <v>2.3483769000000002E-2</v>
      </c>
      <c r="L20" s="169">
        <v>4.7992919999999993E-3</v>
      </c>
      <c r="M20" s="170">
        <v>5.6989710000000006E-3</v>
      </c>
      <c r="N20" s="170">
        <v>4.9103699999999998E-3</v>
      </c>
      <c r="O20" s="19">
        <f t="shared" si="0"/>
        <v>-0.15319148936170213</v>
      </c>
      <c r="P20" s="20">
        <f t="shared" si="1"/>
        <v>-2.0408163265306145E-2</v>
      </c>
    </row>
    <row r="21" spans="1:18" ht="12" customHeight="1">
      <c r="A21" s="140"/>
      <c r="B21" s="140"/>
      <c r="C21" s="149" t="s">
        <v>30</v>
      </c>
      <c r="F21" s="18"/>
      <c r="G21" s="105" t="s">
        <v>98</v>
      </c>
      <c r="H21" s="105"/>
      <c r="I21" s="105"/>
      <c r="J21" s="155">
        <f>SUM(J22:J24)</f>
        <v>3986.7081527240011</v>
      </c>
      <c r="K21" s="156">
        <f>SUM(K22:K24)</f>
        <v>3937.3217780730015</v>
      </c>
      <c r="L21" s="157">
        <f>SUM(L22:L24)</f>
        <v>985.63712470300095</v>
      </c>
      <c r="M21" s="158">
        <f>SUM(M22:M24)</f>
        <v>887.60908850300143</v>
      </c>
      <c r="N21" s="158">
        <f>SUM(N22:N24)</f>
        <v>1172.2854455790007</v>
      </c>
      <c r="O21" s="10">
        <f t="shared" si="0"/>
        <v>1.2543145444702919E-2</v>
      </c>
      <c r="P21" s="11">
        <f t="shared" si="1"/>
        <v>-0.15921745677289845</v>
      </c>
    </row>
    <row r="22" spans="1:18" ht="12" customHeight="1">
      <c r="A22" s="140"/>
      <c r="B22" s="140"/>
      <c r="C22" s="149" t="s">
        <v>31</v>
      </c>
      <c r="F22" s="9" t="s">
        <v>4</v>
      </c>
      <c r="G22" s="188" t="s">
        <v>85</v>
      </c>
      <c r="H22" s="107"/>
      <c r="I22" s="107"/>
      <c r="J22" s="162">
        <f>SUM(J6,J19)</f>
        <v>3229.8338553750013</v>
      </c>
      <c r="K22" s="171">
        <f>SUM(K6,K19)</f>
        <v>2882.1529954220018</v>
      </c>
      <c r="L22" s="154">
        <f>SUM(L6,L19)</f>
        <v>822.94962313200097</v>
      </c>
      <c r="M22" s="164">
        <f>SUM(M6,M19)</f>
        <v>765.7043616050014</v>
      </c>
      <c r="N22" s="164">
        <f>SUM(N6,N19)</f>
        <v>818.53856519500073</v>
      </c>
      <c r="O22" s="14">
        <f t="shared" si="0"/>
        <v>0.1206323536606142</v>
      </c>
      <c r="P22" s="15">
        <f t="shared" si="1"/>
        <v>5.3888723146349182E-3</v>
      </c>
    </row>
    <row r="23" spans="1:18" ht="12" customHeight="1">
      <c r="A23" s="140"/>
      <c r="B23" s="140"/>
      <c r="C23" s="149"/>
      <c r="F23" s="7"/>
      <c r="G23" s="107" t="s">
        <v>99</v>
      </c>
      <c r="H23" s="107"/>
      <c r="I23" s="107"/>
      <c r="J23" s="162">
        <f>J10</f>
        <v>508.84078503500001</v>
      </c>
      <c r="K23" s="163">
        <f>K10</f>
        <v>727.55742302699991</v>
      </c>
      <c r="L23" s="154">
        <f>L10</f>
        <v>106.51293162</v>
      </c>
      <c r="M23" s="164">
        <f>M10</f>
        <v>50.697066542999984</v>
      </c>
      <c r="N23" s="164">
        <f>N10</f>
        <v>293.79423027400003</v>
      </c>
      <c r="O23" s="14">
        <f t="shared" si="0"/>
        <v>-0.30061765573410426</v>
      </c>
      <c r="P23" s="15">
        <f t="shared" si="1"/>
        <v>-0.63745744470108667</v>
      </c>
    </row>
    <row r="24" spans="1:18" ht="12" customHeight="1">
      <c r="A24" s="140"/>
      <c r="B24" s="140" t="s">
        <v>181</v>
      </c>
      <c r="C24" s="149"/>
      <c r="F24" s="7"/>
      <c r="G24" s="109" t="s">
        <v>93</v>
      </c>
      <c r="H24" s="109"/>
      <c r="I24" s="109"/>
      <c r="J24" s="167">
        <f>SUM(J14,J20)</f>
        <v>248.03351231399984</v>
      </c>
      <c r="K24" s="168">
        <f>SUM(K14,K20)</f>
        <v>327.61135962399987</v>
      </c>
      <c r="L24" s="169">
        <f>SUM(L14,L20)</f>
        <v>56.174569951000002</v>
      </c>
      <c r="M24" s="170">
        <f>SUM(M14,M20)</f>
        <v>71.207660355000016</v>
      </c>
      <c r="N24" s="170">
        <f>SUM(N14,N20)</f>
        <v>59.952650109999951</v>
      </c>
      <c r="O24" s="19">
        <f t="shared" si="0"/>
        <v>-0.24290332998180164</v>
      </c>
      <c r="P24" s="20">
        <f t="shared" si="1"/>
        <v>-6.3018012533213708E-2</v>
      </c>
    </row>
    <row r="25" spans="1:18" ht="12" customHeight="1">
      <c r="A25" s="140"/>
      <c r="B25" s="140"/>
      <c r="C25" s="149" t="s">
        <v>32</v>
      </c>
      <c r="F25" s="18"/>
      <c r="G25" s="105" t="s">
        <v>100</v>
      </c>
      <c r="H25" s="105"/>
      <c r="I25" s="105"/>
      <c r="J25" s="155">
        <f>SUM(J26:J27)</f>
        <v>0.22578025200000001</v>
      </c>
      <c r="K25" s="65">
        <f>SUM(K26:K27)</f>
        <v>0.23147880400000004</v>
      </c>
      <c r="L25" s="172">
        <f>SUM(L26:L27)</f>
        <v>7.7066612000000007E-2</v>
      </c>
      <c r="M25" s="158">
        <f>SUM(M26:M27)</f>
        <v>7.7899653000000013E-2</v>
      </c>
      <c r="N25" s="158">
        <f>SUM(N26:N27)</f>
        <v>2.3519151999999998E-2</v>
      </c>
      <c r="O25" s="11">
        <f>IF(K25/J25&lt;0,"n.a.",IF(J25&gt;0,ROUND(K25,4)/ROUND(J25,4)-1,IF(J25&lt;0,"n.a.")))</f>
        <v>2.524357838795388E-2</v>
      </c>
      <c r="P25" s="11">
        <f>IF(L25/N25&lt;0,"n.a.",IF(N25&gt;0,ROUND(L25,4)/ROUND(N25,4)-1,IF(N25&lt;0,"n.a.")))</f>
        <v>2.2808510638297874</v>
      </c>
    </row>
    <row r="26" spans="1:18" ht="12" customHeight="1">
      <c r="A26" s="140"/>
      <c r="B26" s="140"/>
      <c r="C26" s="149" t="s">
        <v>34</v>
      </c>
      <c r="F26" s="9" t="s">
        <v>2</v>
      </c>
      <c r="G26" s="107" t="s">
        <v>101</v>
      </c>
      <c r="H26" s="107"/>
      <c r="I26" s="107"/>
      <c r="J26" s="162">
        <v>0</v>
      </c>
      <c r="K26" s="67">
        <v>0</v>
      </c>
      <c r="L26" s="154">
        <v>0</v>
      </c>
      <c r="M26" s="164">
        <v>0</v>
      </c>
      <c r="N26" s="164">
        <v>0</v>
      </c>
      <c r="O26" s="14"/>
      <c r="P26" s="15"/>
    </row>
    <row r="27" spans="1:18" ht="12" customHeight="1">
      <c r="A27" s="140"/>
      <c r="B27" s="140"/>
      <c r="C27" s="149" t="s">
        <v>35</v>
      </c>
      <c r="F27" s="7"/>
      <c r="G27" s="109" t="s">
        <v>102</v>
      </c>
      <c r="H27" s="109"/>
      <c r="I27" s="109"/>
      <c r="J27" s="167">
        <v>0.22578025200000001</v>
      </c>
      <c r="K27" s="68">
        <v>0.23147880400000004</v>
      </c>
      <c r="L27" s="169">
        <v>7.7066612000000007E-2</v>
      </c>
      <c r="M27" s="170">
        <v>7.7899653000000013E-2</v>
      </c>
      <c r="N27" s="170">
        <v>2.3519151999999998E-2</v>
      </c>
      <c r="O27" s="19">
        <f>IF(J27/K27&lt;0,"n.a.",IF(K27&gt;0,ROUND(J27,4)/ROUND(K27,4)-1,IF(K27&lt;0,"n.a.")))</f>
        <v>-2.4622030237581027E-2</v>
      </c>
      <c r="P27" s="20">
        <f>IF(L27/N27&lt;0,"n.a.",IF(N27&gt;0,ROUND(L27,4)/ROUND(N27,4)-1,IF(N27&lt;0,"n.a.")))</f>
        <v>2.2808510638297874</v>
      </c>
    </row>
    <row r="28" spans="1:18" ht="12" customHeight="1">
      <c r="A28" s="140"/>
      <c r="B28" s="140"/>
      <c r="C28" s="149"/>
      <c r="F28" s="18"/>
      <c r="G28" s="100"/>
      <c r="H28" s="100"/>
      <c r="I28" s="100"/>
      <c r="J28" s="74"/>
      <c r="K28" s="74"/>
      <c r="L28" s="74"/>
      <c r="M28" s="74"/>
      <c r="N28" s="74"/>
      <c r="Q28" s="74"/>
      <c r="R28" s="74"/>
    </row>
    <row r="29" spans="1:18" ht="12" customHeight="1">
      <c r="A29" s="140"/>
      <c r="B29" s="140"/>
      <c r="C29" s="149"/>
      <c r="F29" s="7"/>
      <c r="G29" s="99" t="s">
        <v>74</v>
      </c>
      <c r="H29" s="100"/>
      <c r="I29" s="100"/>
      <c r="Q29" s="74"/>
      <c r="R29" s="74"/>
    </row>
    <row r="30" spans="1:18" s="3" customFormat="1" ht="12" customHeight="1">
      <c r="A30" s="140"/>
      <c r="B30" s="140" t="s">
        <v>185</v>
      </c>
      <c r="C30" s="149"/>
      <c r="D30" s="1"/>
      <c r="E30" s="1"/>
      <c r="F30" s="7"/>
      <c r="G30" s="101"/>
      <c r="H30" s="101"/>
      <c r="I30" s="102"/>
      <c r="J30" s="854" t="s">
        <v>82</v>
      </c>
      <c r="K30" s="855"/>
      <c r="L30" s="856" t="s">
        <v>83</v>
      </c>
      <c r="M30" s="854"/>
      <c r="N30" s="855"/>
      <c r="O30" s="101"/>
      <c r="P30" s="101"/>
    </row>
    <row r="31" spans="1:18" ht="12" customHeight="1">
      <c r="A31" s="140"/>
      <c r="B31" s="140"/>
      <c r="C31" s="149" t="s">
        <v>147</v>
      </c>
      <c r="F31" s="4" t="s">
        <v>7</v>
      </c>
      <c r="G31" s="84" t="s">
        <v>81</v>
      </c>
      <c r="H31" s="103"/>
      <c r="I31" s="104"/>
      <c r="J31" s="776">
        <v>46022</v>
      </c>
      <c r="K31" s="187">
        <v>45657</v>
      </c>
      <c r="L31" s="776">
        <v>46022</v>
      </c>
      <c r="M31" s="259">
        <v>45657</v>
      </c>
      <c r="N31" s="266">
        <v>45930</v>
      </c>
      <c r="O31" s="262" t="s">
        <v>23</v>
      </c>
      <c r="P31" s="110" t="s">
        <v>24</v>
      </c>
    </row>
    <row r="32" spans="1:18" ht="12" customHeight="1">
      <c r="A32" s="140"/>
      <c r="B32" s="140"/>
      <c r="C32" s="149" t="s">
        <v>36</v>
      </c>
      <c r="F32" s="2" t="s">
        <v>6</v>
      </c>
      <c r="G32" s="105" t="s">
        <v>84</v>
      </c>
      <c r="H32" s="105"/>
      <c r="I32" s="105"/>
      <c r="J32" s="155">
        <f>SUM(J33,J37,J41)</f>
        <v>46.140770964000005</v>
      </c>
      <c r="K32" s="65">
        <f>SUM(K33,K37,K41)</f>
        <v>56.167565667999995</v>
      </c>
      <c r="L32" s="157">
        <f>SUM(L33,L37,L41)</f>
        <v>10.853707127000002</v>
      </c>
      <c r="M32" s="158">
        <f>SUM(M33,M37,M41)</f>
        <v>12.737736313999998</v>
      </c>
      <c r="N32" s="158">
        <f>SUM(N33,N37,N41)</f>
        <v>11.132960691999999</v>
      </c>
      <c r="O32" s="10">
        <f>IF(J32/K32&lt;0,"n.a.",IF(K32&gt;0,ROUND(J32,4)/ROUND(K32,4)-1,IF(K32&lt;0,"n.a.")))</f>
        <v>-0.17851572792855674</v>
      </c>
      <c r="P32" s="10">
        <f>IF(L32/N32&lt;0,"n.a.",IF(N32&gt;0,ROUND(L32,4)/ROUND(N32,4)-1,IF(N32&lt;0,"n.a.")))</f>
        <v>-2.508757747237933E-2</v>
      </c>
    </row>
    <row r="33" spans="1:16" ht="12" customHeight="1">
      <c r="A33" s="140"/>
      <c r="B33" s="140"/>
      <c r="C33" s="149"/>
      <c r="F33" s="57"/>
      <c r="G33" s="106" t="s">
        <v>85</v>
      </c>
      <c r="H33" s="106"/>
      <c r="I33" s="106"/>
      <c r="J33" s="159">
        <f>SUM(J34:J36)</f>
        <v>26.910988209000003</v>
      </c>
      <c r="K33" s="66">
        <f>SUM(K34:K36)</f>
        <v>29.404116418999998</v>
      </c>
      <c r="L33" s="160">
        <f>SUM(L34:L36)</f>
        <v>6.5170255250000011</v>
      </c>
      <c r="M33" s="161">
        <f>SUM(M34:M36)</f>
        <v>7.050769236999999</v>
      </c>
      <c r="N33" s="161">
        <f>SUM(N34:N36)</f>
        <v>6.7845551610000001</v>
      </c>
      <c r="O33" s="12">
        <f t="shared" ref="O33:O54" si="2">IF(J33/K33&lt;0,"n.a.",IF(K33&gt;0,ROUND(J33,4)/ROUND(K33,4)-1,IF(K33&lt;0,"n.a.")))</f>
        <v>-8.4787495621358899E-2</v>
      </c>
      <c r="P33" s="13">
        <f t="shared" ref="P33:P52" si="3">IF(L33/N33&lt;0,"n.a.",IF(N33&gt;0,ROUND(L33,4)/ROUND(N33,4)-1,IF(N33&lt;0,"n.a.")))</f>
        <v>-3.9442266308993834E-2</v>
      </c>
    </row>
    <row r="34" spans="1:16" ht="12" customHeight="1">
      <c r="A34" s="140"/>
      <c r="B34" s="140" t="s">
        <v>188</v>
      </c>
      <c r="C34" s="149"/>
      <c r="F34" s="8" t="s">
        <v>8</v>
      </c>
      <c r="G34" s="107"/>
      <c r="H34" s="107" t="s">
        <v>86</v>
      </c>
      <c r="I34" s="107"/>
      <c r="J34" s="162">
        <v>0</v>
      </c>
      <c r="K34" s="67">
        <v>0</v>
      </c>
      <c r="L34" s="154">
        <v>0</v>
      </c>
      <c r="M34" s="164">
        <v>0</v>
      </c>
      <c r="N34" s="164">
        <v>0</v>
      </c>
      <c r="O34" s="14"/>
      <c r="P34" s="15"/>
    </row>
    <row r="35" spans="1:16" ht="12" customHeight="1">
      <c r="A35" s="140"/>
      <c r="B35" s="140"/>
      <c r="C35" s="149" t="s">
        <v>37</v>
      </c>
      <c r="F35" s="9" t="s">
        <v>0</v>
      </c>
      <c r="G35" s="107"/>
      <c r="H35" s="107" t="s">
        <v>87</v>
      </c>
      <c r="I35" s="107"/>
      <c r="J35" s="162">
        <v>26.910988209000003</v>
      </c>
      <c r="K35" s="67">
        <v>29.404116418999998</v>
      </c>
      <c r="L35" s="154">
        <v>6.5170255250000011</v>
      </c>
      <c r="M35" s="164">
        <v>7.050769236999999</v>
      </c>
      <c r="N35" s="164">
        <v>6.7845551610000001</v>
      </c>
      <c r="O35" s="14">
        <f t="shared" si="2"/>
        <v>-8.4787495621358899E-2</v>
      </c>
      <c r="P35" s="15">
        <f t="shared" si="3"/>
        <v>-3.9442266308993834E-2</v>
      </c>
    </row>
    <row r="36" spans="1:16" ht="12" customHeight="1">
      <c r="A36" s="140"/>
      <c r="B36" s="140"/>
      <c r="C36" s="149" t="s">
        <v>38</v>
      </c>
      <c r="F36" s="7"/>
      <c r="G36" s="107"/>
      <c r="H36" s="107" t="s">
        <v>88</v>
      </c>
      <c r="I36" s="107"/>
      <c r="J36" s="162">
        <v>0</v>
      </c>
      <c r="K36" s="67">
        <v>0</v>
      </c>
      <c r="L36" s="154">
        <v>0</v>
      </c>
      <c r="M36" s="164">
        <v>0</v>
      </c>
      <c r="N36" s="164">
        <v>0</v>
      </c>
      <c r="O36" s="14"/>
      <c r="P36" s="15"/>
    </row>
    <row r="37" spans="1:16" ht="12" customHeight="1">
      <c r="A37" s="25"/>
      <c r="F37" s="7"/>
      <c r="G37" s="108" t="s">
        <v>89</v>
      </c>
      <c r="H37" s="108"/>
      <c r="I37" s="108"/>
      <c r="J37" s="159">
        <f>SUM(J38:J40)</f>
        <v>10.526657842999999</v>
      </c>
      <c r="K37" s="66">
        <f>SUM(K38:K40)</f>
        <v>16.610265118999997</v>
      </c>
      <c r="L37" s="165">
        <f>SUM(L38:L40)</f>
        <v>2.3766186629999999</v>
      </c>
      <c r="M37" s="166">
        <f>SUM(M38:M40)</f>
        <v>3.437629053999999</v>
      </c>
      <c r="N37" s="166">
        <f>SUM(N38:N40)</f>
        <v>2.3471338439999996</v>
      </c>
      <c r="O37" s="16">
        <f t="shared" si="2"/>
        <v>-0.36625467330511785</v>
      </c>
      <c r="P37" s="17">
        <f t="shared" si="3"/>
        <v>1.2568701802223803E-2</v>
      </c>
    </row>
    <row r="38" spans="1:16" ht="12" customHeight="1">
      <c r="A38" s="25"/>
      <c r="F38" s="7"/>
      <c r="G38" s="107"/>
      <c r="H38" s="107" t="s">
        <v>90</v>
      </c>
      <c r="I38" s="107"/>
      <c r="J38" s="162">
        <v>0</v>
      </c>
      <c r="K38" s="493">
        <v>0</v>
      </c>
      <c r="L38" s="590">
        <v>0</v>
      </c>
      <c r="M38" s="164">
        <v>0</v>
      </c>
      <c r="N38" s="164">
        <v>0</v>
      </c>
      <c r="O38" s="14"/>
      <c r="P38" s="15"/>
    </row>
    <row r="39" spans="1:16" ht="12" customHeight="1">
      <c r="A39" s="25"/>
      <c r="F39" s="7"/>
      <c r="G39" s="107"/>
      <c r="H39" s="107" t="s">
        <v>91</v>
      </c>
      <c r="I39" s="107"/>
      <c r="J39" s="162">
        <v>0</v>
      </c>
      <c r="K39" s="67">
        <v>0</v>
      </c>
      <c r="L39" s="154">
        <v>0</v>
      </c>
      <c r="M39" s="164">
        <v>0</v>
      </c>
      <c r="N39" s="164">
        <v>0</v>
      </c>
      <c r="O39" s="14"/>
      <c r="P39" s="15"/>
    </row>
    <row r="40" spans="1:16" ht="12" customHeight="1">
      <c r="A40" s="25"/>
      <c r="F40" s="7"/>
      <c r="G40" s="107"/>
      <c r="H40" s="107" t="s">
        <v>92</v>
      </c>
      <c r="I40" s="107"/>
      <c r="J40" s="162">
        <v>10.526657842999999</v>
      </c>
      <c r="K40" s="67">
        <v>16.610265118999997</v>
      </c>
      <c r="L40" s="154">
        <v>2.3766186629999999</v>
      </c>
      <c r="M40" s="164">
        <v>3.437629053999999</v>
      </c>
      <c r="N40" s="164">
        <v>2.3471338439999996</v>
      </c>
      <c r="O40" s="14">
        <f t="shared" si="2"/>
        <v>-0.36625467330511785</v>
      </c>
      <c r="P40" s="15">
        <f t="shared" si="3"/>
        <v>1.2568701802223803E-2</v>
      </c>
    </row>
    <row r="41" spans="1:16" ht="12" customHeight="1">
      <c r="A41" s="25"/>
      <c r="F41" s="7"/>
      <c r="G41" s="108" t="s">
        <v>93</v>
      </c>
      <c r="H41" s="108"/>
      <c r="I41" s="108"/>
      <c r="J41" s="159">
        <f>SUM(J42:J44)</f>
        <v>8.7031249119999998</v>
      </c>
      <c r="K41" s="66">
        <f>SUM(K42:K44)</f>
        <v>10.153184130000001</v>
      </c>
      <c r="L41" s="165">
        <f>SUM(L42:L44)</f>
        <v>1.9600629389999999</v>
      </c>
      <c r="M41" s="166">
        <f>SUM(M42:M44)</f>
        <v>2.249338023</v>
      </c>
      <c r="N41" s="166">
        <f>SUM(N42:N44)</f>
        <v>2.0012716869999996</v>
      </c>
      <c r="O41" s="16">
        <f t="shared" si="2"/>
        <v>-0.14282196745853537</v>
      </c>
      <c r="P41" s="17">
        <f t="shared" si="3"/>
        <v>-2.0586618697846504E-2</v>
      </c>
    </row>
    <row r="42" spans="1:16" ht="12" customHeight="1">
      <c r="A42" s="25"/>
      <c r="F42" s="7"/>
      <c r="G42" s="107"/>
      <c r="H42" s="107" t="s">
        <v>90</v>
      </c>
      <c r="I42" s="107"/>
      <c r="J42" s="162">
        <v>0</v>
      </c>
      <c r="K42" s="67">
        <v>0</v>
      </c>
      <c r="L42" s="154">
        <v>0</v>
      </c>
      <c r="M42" s="164">
        <v>0</v>
      </c>
      <c r="N42" s="164">
        <v>0</v>
      </c>
      <c r="O42" s="14"/>
      <c r="P42" s="15"/>
    </row>
    <row r="43" spans="1:16" ht="12" customHeight="1">
      <c r="A43" s="25"/>
      <c r="F43" s="7"/>
      <c r="G43" s="107"/>
      <c r="H43" s="107" t="s">
        <v>91</v>
      </c>
      <c r="I43" s="107"/>
      <c r="J43" s="162">
        <v>0</v>
      </c>
      <c r="K43" s="67">
        <v>0</v>
      </c>
      <c r="L43" s="154">
        <v>0</v>
      </c>
      <c r="M43" s="164">
        <v>0</v>
      </c>
      <c r="N43" s="164">
        <v>0</v>
      </c>
      <c r="O43" s="14"/>
      <c r="P43" s="15"/>
    </row>
    <row r="44" spans="1:16" ht="12" customHeight="1">
      <c r="A44" s="25"/>
      <c r="F44" s="7"/>
      <c r="G44" s="107"/>
      <c r="H44" s="107" t="s">
        <v>94</v>
      </c>
      <c r="I44" s="107"/>
      <c r="J44" s="162">
        <v>8.7031249119999998</v>
      </c>
      <c r="K44" s="67">
        <v>10.153184130000001</v>
      </c>
      <c r="L44" s="154">
        <v>1.9600629389999999</v>
      </c>
      <c r="M44" s="164">
        <v>2.249338023</v>
      </c>
      <c r="N44" s="164">
        <v>2.0012716869999996</v>
      </c>
      <c r="O44" s="14">
        <f t="shared" si="2"/>
        <v>-0.14282196745853537</v>
      </c>
      <c r="P44" s="15">
        <f t="shared" si="3"/>
        <v>-2.0586618697846504E-2</v>
      </c>
    </row>
    <row r="45" spans="1:16" ht="12" customHeight="1">
      <c r="A45" s="25"/>
      <c r="F45" s="7"/>
      <c r="G45" s="105" t="s">
        <v>95</v>
      </c>
      <c r="H45" s="105"/>
      <c r="I45" s="105"/>
      <c r="J45" s="155">
        <f>SUM(J46:J47)</f>
        <v>0</v>
      </c>
      <c r="K45" s="65">
        <f>SUM(K46:K47)</f>
        <v>0</v>
      </c>
      <c r="L45" s="157">
        <f>SUM(L46:L47)</f>
        <v>0</v>
      </c>
      <c r="M45" s="158">
        <f>SUM(M46:M47)</f>
        <v>0</v>
      </c>
      <c r="N45" s="158">
        <f>SUM(N46:N47)</f>
        <v>0</v>
      </c>
      <c r="O45" s="10"/>
      <c r="P45" s="11"/>
    </row>
    <row r="46" spans="1:16" ht="12" customHeight="1">
      <c r="A46" s="25"/>
      <c r="F46" s="7"/>
      <c r="G46" s="107" t="s">
        <v>96</v>
      </c>
      <c r="H46" s="107"/>
      <c r="I46" s="107"/>
      <c r="J46" s="162">
        <v>0</v>
      </c>
      <c r="K46" s="67">
        <v>0</v>
      </c>
      <c r="L46" s="154">
        <v>0</v>
      </c>
      <c r="M46" s="164">
        <v>0</v>
      </c>
      <c r="N46" s="164">
        <v>0</v>
      </c>
      <c r="O46" s="14"/>
      <c r="P46" s="15"/>
    </row>
    <row r="47" spans="1:16" ht="12" customHeight="1">
      <c r="A47" s="25"/>
      <c r="F47" s="7"/>
      <c r="G47" s="109" t="s">
        <v>97</v>
      </c>
      <c r="H47" s="109"/>
      <c r="I47" s="109"/>
      <c r="J47" s="167">
        <v>0</v>
      </c>
      <c r="K47" s="68">
        <v>0</v>
      </c>
      <c r="L47" s="169">
        <v>0</v>
      </c>
      <c r="M47" s="170">
        <v>0</v>
      </c>
      <c r="N47" s="170">
        <v>0</v>
      </c>
      <c r="O47" s="19"/>
      <c r="P47" s="20"/>
    </row>
    <row r="48" spans="1:16" ht="12" customHeight="1">
      <c r="A48" s="25"/>
      <c r="F48" s="9" t="s">
        <v>1</v>
      </c>
      <c r="G48" s="105" t="s">
        <v>98</v>
      </c>
      <c r="H48" s="105"/>
      <c r="I48" s="105"/>
      <c r="J48" s="155">
        <f>SUM(J49:J51)</f>
        <v>46.140770964000005</v>
      </c>
      <c r="K48" s="156">
        <f>SUM(K49:K51)</f>
        <v>56.167565667999995</v>
      </c>
      <c r="L48" s="157">
        <f>SUM(L49:L51)</f>
        <v>10.853707127000002</v>
      </c>
      <c r="M48" s="158">
        <f>SUM(M49:M51)</f>
        <v>12.737736313999998</v>
      </c>
      <c r="N48" s="158">
        <f>SUM(N49:N51)</f>
        <v>11.132960691999999</v>
      </c>
      <c r="O48" s="10">
        <f t="shared" si="2"/>
        <v>-0.17851572792855674</v>
      </c>
      <c r="P48" s="11">
        <f t="shared" si="3"/>
        <v>-2.508757747237933E-2</v>
      </c>
    </row>
    <row r="49" spans="1:17" ht="12" customHeight="1">
      <c r="F49" s="7"/>
      <c r="G49" s="188" t="s">
        <v>85</v>
      </c>
      <c r="H49" s="107"/>
      <c r="I49" s="107"/>
      <c r="J49" s="162">
        <f>SUM(J33,J46)</f>
        <v>26.910988209000003</v>
      </c>
      <c r="K49" s="171">
        <f>SUM(K33,K46)</f>
        <v>29.404116418999998</v>
      </c>
      <c r="L49" s="154">
        <f>SUM(L33,L46)</f>
        <v>6.5170255250000011</v>
      </c>
      <c r="M49" s="164">
        <f>SUM(M33,M46)</f>
        <v>7.050769236999999</v>
      </c>
      <c r="N49" s="164">
        <f>SUM(N33,N46)</f>
        <v>6.7845551610000001</v>
      </c>
      <c r="O49" s="14">
        <f t="shared" si="2"/>
        <v>-8.4787495621358899E-2</v>
      </c>
      <c r="P49" s="15">
        <f t="shared" si="3"/>
        <v>-3.9442266308993834E-2</v>
      </c>
    </row>
    <row r="50" spans="1:17" ht="12" customHeight="1">
      <c r="F50" s="7"/>
      <c r="G50" s="107" t="s">
        <v>99</v>
      </c>
      <c r="H50" s="107"/>
      <c r="I50" s="107"/>
      <c r="J50" s="162">
        <f>J37</f>
        <v>10.526657842999999</v>
      </c>
      <c r="K50" s="163">
        <f>K37</f>
        <v>16.610265118999997</v>
      </c>
      <c r="L50" s="154">
        <f>L37</f>
        <v>2.3766186629999999</v>
      </c>
      <c r="M50" s="164">
        <f>M37</f>
        <v>3.437629053999999</v>
      </c>
      <c r="N50" s="164">
        <f>N37</f>
        <v>2.3471338439999996</v>
      </c>
      <c r="O50" s="14">
        <f t="shared" si="2"/>
        <v>-0.36625467330511785</v>
      </c>
      <c r="P50" s="15">
        <f t="shared" si="3"/>
        <v>1.2568701802223803E-2</v>
      </c>
    </row>
    <row r="51" spans="1:17" ht="12" customHeight="1">
      <c r="F51" s="18"/>
      <c r="G51" s="109" t="s">
        <v>93</v>
      </c>
      <c r="H51" s="109"/>
      <c r="I51" s="109"/>
      <c r="J51" s="167">
        <f>SUM(J41,J47)</f>
        <v>8.7031249119999998</v>
      </c>
      <c r="K51" s="168">
        <f>SUM(K41,K47)</f>
        <v>10.153184130000001</v>
      </c>
      <c r="L51" s="169">
        <f>SUM(L41,L47)</f>
        <v>1.9600629389999999</v>
      </c>
      <c r="M51" s="170">
        <f>SUM(M41,M47)</f>
        <v>2.249338023</v>
      </c>
      <c r="N51" s="170">
        <f>SUM(N41,N47)</f>
        <v>2.0012716869999996</v>
      </c>
      <c r="O51" s="19">
        <f t="shared" si="2"/>
        <v>-0.14282196745853537</v>
      </c>
      <c r="P51" s="20">
        <f t="shared" si="3"/>
        <v>-2.0586618697846504E-2</v>
      </c>
    </row>
    <row r="52" spans="1:17" ht="12" customHeight="1">
      <c r="F52" s="9" t="s">
        <v>4</v>
      </c>
      <c r="G52" s="105" t="s">
        <v>141</v>
      </c>
      <c r="H52" s="105"/>
      <c r="I52" s="105"/>
      <c r="J52" s="155">
        <f>SUM(J53:J54)</f>
        <v>781.37293683299981</v>
      </c>
      <c r="K52" s="65">
        <f>SUM(K53:K54)</f>
        <v>755.8299830929999</v>
      </c>
      <c r="L52" s="172">
        <f>SUM(L53:L54)</f>
        <v>527.78115944099989</v>
      </c>
      <c r="M52" s="158">
        <f>SUM(M53:M54)</f>
        <v>390.34861973599999</v>
      </c>
      <c r="N52" s="158">
        <f>SUM(N53:N54)</f>
        <v>46.350479850000006</v>
      </c>
      <c r="O52" s="11">
        <f>IF(K52/J52&lt;0,"n.a.",IF(J52&gt;0,ROUND(K52,4)/ROUND(J52,4)-1,IF(J52&lt;0,"n.a.")))</f>
        <v>-3.2689769506979216E-2</v>
      </c>
      <c r="P52" s="11">
        <f t="shared" si="3"/>
        <v>10.386742322089299</v>
      </c>
    </row>
    <row r="53" spans="1:17" ht="12" customHeight="1">
      <c r="F53" s="7"/>
      <c r="G53" s="107" t="s">
        <v>101</v>
      </c>
      <c r="H53" s="107"/>
      <c r="I53" s="107"/>
      <c r="J53" s="162">
        <v>0</v>
      </c>
      <c r="K53" s="67">
        <v>0</v>
      </c>
      <c r="L53" s="154">
        <v>0</v>
      </c>
      <c r="M53" s="164">
        <v>0</v>
      </c>
      <c r="N53" s="164">
        <v>0</v>
      </c>
      <c r="O53" s="14"/>
      <c r="P53" s="15"/>
    </row>
    <row r="54" spans="1:17" ht="12" customHeight="1">
      <c r="F54" s="7"/>
      <c r="G54" s="109" t="s">
        <v>102</v>
      </c>
      <c r="H54" s="109"/>
      <c r="I54" s="109"/>
      <c r="J54" s="167">
        <v>781.37293683299981</v>
      </c>
      <c r="K54" s="68">
        <v>755.8299830929999</v>
      </c>
      <c r="L54" s="169">
        <v>527.78115944099989</v>
      </c>
      <c r="M54" s="170">
        <v>390.34861973599999</v>
      </c>
      <c r="N54" s="170">
        <v>46.350479850000006</v>
      </c>
      <c r="O54" s="19">
        <f t="shared" si="2"/>
        <v>3.3794504055144614E-2</v>
      </c>
      <c r="P54" s="20">
        <f>IF(L54/N54&lt;0,"n.a.",IF(N54&gt;0,ROUND(L54,4)/ROUND(N54,4)-1,IF(N54&lt;0,"n.a.")))</f>
        <v>10.386742322089299</v>
      </c>
    </row>
    <row r="55" spans="1:17" ht="12" customHeight="1">
      <c r="F55" s="18"/>
      <c r="J55" s="74"/>
      <c r="K55" s="74"/>
      <c r="L55" s="74"/>
      <c r="M55" s="74"/>
      <c r="N55" s="74"/>
    </row>
    <row r="56" spans="1:17" ht="12" customHeight="1">
      <c r="F56" s="9" t="s">
        <v>2</v>
      </c>
      <c r="J56" s="74"/>
      <c r="K56" s="74"/>
      <c r="L56" s="74"/>
      <c r="M56" s="74"/>
      <c r="N56" s="74"/>
      <c r="Q56" s="1" ph="1"/>
    </row>
    <row r="57" spans="1:17" ht="12" customHeight="1">
      <c r="J57" s="74"/>
      <c r="K57" s="74"/>
      <c r="L57" s="74"/>
      <c r="M57" s="55"/>
      <c r="N57" s="55"/>
    </row>
    <row r="58" spans="1:17" ht="12" customHeight="1">
      <c r="I58" s="663"/>
      <c r="J58" s="74"/>
      <c r="K58" s="74"/>
      <c r="L58" s="74"/>
      <c r="M58" s="74"/>
      <c r="N58" s="74"/>
    </row>
    <row r="59" spans="1:17" ht="12" customHeight="1">
      <c r="J59" s="74"/>
      <c r="K59" s="74"/>
      <c r="L59" s="74"/>
      <c r="M59" s="74"/>
      <c r="N59" s="74"/>
    </row>
    <row r="60" spans="1:17" ht="12" customHeight="1">
      <c r="J60" s="74"/>
      <c r="K60" s="74"/>
      <c r="L60" s="74"/>
      <c r="M60" s="74"/>
      <c r="N60" s="74"/>
    </row>
    <row r="61" spans="1:17" ht="12" customHeight="1">
      <c r="I61" s="663"/>
      <c r="J61" s="74"/>
      <c r="K61" s="74"/>
      <c r="L61" s="74"/>
      <c r="M61" s="74"/>
      <c r="N61" s="74"/>
    </row>
    <row r="62" spans="1:17" ht="12" customHeight="1">
      <c r="J62" s="74"/>
      <c r="K62" s="74"/>
      <c r="L62" s="74"/>
      <c r="M62" s="74"/>
      <c r="N62" s="74"/>
    </row>
    <row r="63" spans="1:17" ht="12" customHeight="1">
      <c r="J63" s="74"/>
      <c r="K63" s="74"/>
      <c r="L63" s="74"/>
      <c r="M63" s="74"/>
      <c r="N63" s="74"/>
    </row>
    <row r="64" spans="1:17" ht="12" customHeight="1">
      <c r="A64" s="1"/>
      <c r="J64" s="74"/>
      <c r="K64" s="74"/>
      <c r="L64" s="74"/>
      <c r="M64" s="74"/>
      <c r="N64" s="74"/>
    </row>
    <row r="65" spans="1:14" ht="12" customHeight="1">
      <c r="A65" s="1"/>
      <c r="I65" s="663"/>
      <c r="J65" s="74"/>
      <c r="K65" s="74"/>
      <c r="L65" s="74"/>
      <c r="M65" s="74"/>
      <c r="N65" s="74"/>
    </row>
    <row r="66" spans="1:14" ht="12" customHeight="1">
      <c r="A66" s="1"/>
      <c r="J66" s="74"/>
      <c r="K66" s="74"/>
      <c r="L66" s="74"/>
      <c r="M66" s="74"/>
      <c r="N66" s="74"/>
    </row>
    <row r="67" spans="1:14" ht="12" customHeight="1">
      <c r="A67" s="1"/>
      <c r="J67" s="74"/>
      <c r="K67" s="74"/>
      <c r="L67" s="74"/>
      <c r="M67" s="74"/>
      <c r="N67" s="74"/>
    </row>
    <row r="68" spans="1:14" ht="12" customHeight="1">
      <c r="A68" s="1"/>
      <c r="J68" s="74"/>
      <c r="K68" s="74"/>
      <c r="L68" s="74"/>
      <c r="M68" s="74"/>
      <c r="N68" s="74"/>
    </row>
    <row r="69" spans="1:14" ht="12" customHeight="1">
      <c r="A69" s="1"/>
      <c r="J69" s="74"/>
      <c r="K69" s="74"/>
      <c r="L69" s="74"/>
      <c r="M69" s="74"/>
      <c r="N69" s="74"/>
    </row>
    <row r="70" spans="1:14" ht="12" customHeight="1">
      <c r="A70" s="1"/>
      <c r="J70" s="74"/>
      <c r="K70" s="74"/>
      <c r="L70" s="74"/>
      <c r="M70" s="74"/>
      <c r="N70" s="74"/>
    </row>
    <row r="71" spans="1:14" ht="12" customHeight="1">
      <c r="A71" s="1"/>
      <c r="J71" s="74"/>
      <c r="K71" s="74"/>
      <c r="L71" s="74"/>
      <c r="M71" s="74"/>
      <c r="N71" s="74"/>
    </row>
    <row r="72" spans="1:14" ht="12" customHeight="1">
      <c r="A72" s="1"/>
      <c r="J72" s="74"/>
      <c r="K72" s="74"/>
      <c r="L72" s="74"/>
      <c r="M72" s="74"/>
      <c r="N72" s="74"/>
    </row>
    <row r="73" spans="1:14" ht="12" customHeight="1">
      <c r="A73" s="1"/>
      <c r="J73" s="74"/>
      <c r="K73" s="74"/>
      <c r="L73" s="74"/>
      <c r="M73" s="74"/>
      <c r="N73" s="74"/>
    </row>
    <row r="74" spans="1:14" ht="12" customHeight="1">
      <c r="A74" s="1"/>
      <c r="J74" s="74"/>
      <c r="K74" s="74"/>
      <c r="L74" s="74"/>
      <c r="M74" s="74"/>
      <c r="N74" s="74"/>
    </row>
    <row r="75" spans="1:14" ht="12" customHeight="1">
      <c r="A75" s="1"/>
      <c r="J75" s="74"/>
      <c r="K75" s="74"/>
    </row>
    <row r="76" spans="1:14" ht="12" customHeight="1">
      <c r="A76" s="1"/>
      <c r="J76" s="74"/>
      <c r="K76" s="74"/>
    </row>
    <row r="77" spans="1:14" ht="12" customHeight="1">
      <c r="J77" s="74"/>
      <c r="K77" s="74"/>
    </row>
    <row r="78" spans="1:14" ht="12" customHeight="1">
      <c r="J78" s="74"/>
      <c r="K78" s="74"/>
    </row>
    <row r="81" spans="10:14" ht="12" customHeight="1">
      <c r="J81" s="1" ph="1"/>
      <c r="K81" s="1" ph="1"/>
      <c r="L81" s="1" ph="1"/>
      <c r="M81" s="1" ph="1"/>
      <c r="N81" s="1" ph="1"/>
    </row>
    <row r="82" spans="10:14" ht="12" customHeight="1">
      <c r="J82" s="1" ph="1"/>
      <c r="K82" s="1" ph="1"/>
      <c r="L82" s="1" ph="1"/>
      <c r="M82" s="1" ph="1"/>
      <c r="N82" s="1" ph="1"/>
    </row>
    <row r="83" spans="10:14" ht="12" customHeight="1">
      <c r="J83" s="1" ph="1"/>
      <c r="K83" s="1" ph="1"/>
      <c r="L83" s="1" ph="1"/>
      <c r="M83" s="1" ph="1"/>
      <c r="N83" s="1" ph="1"/>
    </row>
    <row r="84" spans="10:14" ht="12" customHeight="1">
      <c r="J84" s="1" ph="1"/>
      <c r="K84" s="1" ph="1"/>
      <c r="L84" s="1" ph="1"/>
      <c r="M84" s="1" ph="1"/>
      <c r="N84" s="1" ph="1"/>
    </row>
    <row r="85" spans="10:14" ht="12" customHeight="1">
      <c r="J85" s="1" ph="1"/>
      <c r="K85" s="1" ph="1"/>
      <c r="L85" s="1" ph="1"/>
      <c r="M85" s="1" ph="1"/>
      <c r="N85" s="1" ph="1"/>
    </row>
    <row r="86" spans="10:14" ht="12" customHeight="1">
      <c r="J86" s="1" ph="1"/>
      <c r="K86" s="1" ph="1"/>
      <c r="L86" s="1" ph="1"/>
      <c r="M86" s="1" ph="1"/>
      <c r="N86" s="1" ph="1"/>
    </row>
    <row r="87" spans="10:14" ht="12" customHeight="1">
      <c r="J87" s="1" ph="1"/>
      <c r="K87" s="1" ph="1"/>
      <c r="L87" s="1" ph="1"/>
      <c r="M87" s="1" ph="1"/>
      <c r="N87" s="1" ph="1"/>
    </row>
    <row r="88" spans="10:14" ht="12" customHeight="1">
      <c r="J88" s="1" ph="1"/>
      <c r="K88" s="1" ph="1"/>
      <c r="L88" s="1" ph="1"/>
      <c r="M88" s="1" ph="1"/>
      <c r="N88" s="1" ph="1"/>
    </row>
    <row r="89" spans="10:14" ht="12" customHeight="1">
      <c r="J89" s="1" ph="1"/>
      <c r="K89" s="1" ph="1"/>
      <c r="L89" s="1" ph="1"/>
      <c r="M89" s="1" ph="1"/>
      <c r="N89" s="1" ph="1"/>
    </row>
    <row r="90" spans="10:14" ht="12" customHeight="1">
      <c r="J90" s="1" ph="1"/>
      <c r="K90" s="1" ph="1"/>
      <c r="L90" s="1" ph="1"/>
      <c r="M90" s="1" ph="1"/>
      <c r="N90" s="1" ph="1"/>
    </row>
    <row r="91" spans="10:14" ht="12" customHeight="1">
      <c r="J91" s="1" ph="1"/>
      <c r="K91" s="1" ph="1"/>
      <c r="L91" s="1" ph="1"/>
      <c r="M91" s="1" ph="1"/>
      <c r="N91" s="1" ph="1"/>
    </row>
    <row r="92" spans="10:14" ht="12" customHeight="1">
      <c r="J92" s="1" ph="1"/>
      <c r="K92" s="1" ph="1"/>
      <c r="L92" s="1" ph="1"/>
      <c r="M92" s="1" ph="1"/>
      <c r="N92" s="1" ph="1"/>
    </row>
    <row r="93" spans="10:14" ht="12" customHeight="1">
      <c r="J93" s="1" ph="1"/>
      <c r="K93" s="1" ph="1"/>
      <c r="L93" s="1" ph="1"/>
      <c r="M93" s="1" ph="1"/>
      <c r="N93" s="1" ph="1"/>
    </row>
    <row r="94" spans="10:14" ht="12" customHeight="1">
      <c r="J94" s="1" ph="1"/>
      <c r="K94" s="1" ph="1"/>
      <c r="L94" s="1" ph="1"/>
      <c r="M94" s="1" ph="1"/>
      <c r="N94" s="1" ph="1"/>
    </row>
    <row r="95" spans="10:14" ht="12" customHeight="1">
      <c r="J95" s="1" ph="1"/>
      <c r="K95" s="1" ph="1"/>
      <c r="L95" s="1" ph="1"/>
      <c r="M95" s="1" ph="1"/>
      <c r="N95" s="1" ph="1"/>
    </row>
    <row r="96" spans="10:14" ht="12" customHeight="1">
      <c r="J96" s="1" ph="1"/>
      <c r="K96" s="1" ph="1"/>
      <c r="L96" s="1" ph="1"/>
      <c r="M96" s="1" ph="1"/>
      <c r="N96" s="1" ph="1"/>
    </row>
    <row r="97" spans="10:14" ht="12" customHeight="1">
      <c r="J97" s="1" ph="1"/>
      <c r="K97" s="1" ph="1"/>
      <c r="L97" s="1" ph="1"/>
      <c r="M97" s="1" ph="1"/>
      <c r="N97" s="1" ph="1"/>
    </row>
    <row r="98" spans="10:14" ht="12" customHeight="1">
      <c r="J98" s="1" ph="1"/>
      <c r="K98" s="1" ph="1"/>
      <c r="L98" s="1" ph="1"/>
      <c r="M98" s="1" ph="1"/>
      <c r="N98" s="1" ph="1"/>
    </row>
    <row r="99" spans="10:14" ht="12" customHeight="1">
      <c r="J99" s="1" ph="1"/>
      <c r="K99" s="1" ph="1"/>
      <c r="L99" s="1" ph="1"/>
      <c r="M99" s="1" ph="1"/>
      <c r="N99" s="1" ph="1"/>
    </row>
    <row r="100" spans="10:14" ht="12" customHeight="1">
      <c r="J100" s="1" ph="1"/>
      <c r="K100" s="1" ph="1"/>
      <c r="L100" s="1" ph="1"/>
      <c r="M100" s="1" ph="1"/>
      <c r="N100" s="1" ph="1"/>
    </row>
    <row r="101" spans="10:14" ht="12" customHeight="1">
      <c r="J101" s="1" ph="1"/>
      <c r="K101" s="1" ph="1"/>
      <c r="L101" s="1" ph="1"/>
      <c r="M101" s="1" ph="1"/>
      <c r="N101" s="1" ph="1"/>
    </row>
    <row r="102" spans="10:14" ht="12" customHeight="1">
      <c r="J102" s="1" ph="1"/>
      <c r="K102" s="1" ph="1"/>
      <c r="L102" s="1" ph="1"/>
      <c r="M102" s="1" ph="1"/>
      <c r="N102" s="1" ph="1"/>
    </row>
    <row r="103" spans="10:14" ht="12" customHeight="1">
      <c r="J103" s="1" ph="1"/>
      <c r="K103" s="1" ph="1"/>
      <c r="L103" s="1" ph="1"/>
      <c r="M103" s="1" ph="1"/>
      <c r="N103" s="1" ph="1"/>
    </row>
  </sheetData>
  <mergeCells count="4">
    <mergeCell ref="J3:K3"/>
    <mergeCell ref="L3:N3"/>
    <mergeCell ref="J30:K30"/>
    <mergeCell ref="L30:N30"/>
  </mergeCells>
  <phoneticPr fontId="7" type="noConversion"/>
  <hyperlinks>
    <hyperlink ref="B5" location="FH!A1" display="재무현황" xr:uid="{6DADE274-2C72-46BA-9C8C-9475F32BA59C}"/>
    <hyperlink ref="B7" location="FS!A1" display="요약재무상태표 (Selected Balance sheet)" xr:uid="{19EAC19D-F3DE-4750-B946-0861C4F4E725}"/>
    <hyperlink ref="C15" location="Stability!A1" display="재무 안정성 (Financial Stability)" xr:uid="{5F623F06-E6B7-486A-AA88-687518DAEEF2}"/>
    <hyperlink ref="C16" location="Productivity!A1" display="생산성 / 경영효율 (Productivity / Operating Efficiency)" xr:uid="{2DBDBF07-96E8-4B5C-846E-1F890E43EE49}"/>
    <hyperlink ref="C20" location="'Premium Income by P.T.(GA+SA)'!A1" display="상품별 수입보험료 (Premium Income)" xr:uid="{11ABC5A4-CE47-4714-B82D-68918435DD50}"/>
    <hyperlink ref="C21" location="'Initial P. by P.T.'!A1" display="상품별 초회보험료 (Initial Premium)" xr:uid="{0367E7A9-6C4F-4597-8757-2DB11B909D37}"/>
    <hyperlink ref="C22" location="'First-year P. by P.T.'!A1" display="상품별 초년도보험료 (First Year Premium)" xr:uid="{1977D4FF-7B69-4777-A6EE-A728F1B64E26}"/>
    <hyperlink ref="C26" location="'Premium Income by D.C.(GA+SA)'!A1" display="채널별 수입보험료 (Premium Income)" xr:uid="{EEC3A1A9-6694-4731-A6D3-541DA6B4A1F8}"/>
    <hyperlink ref="C27" location="'First-year P. by D.C'!A1" display="채널별 초년도보험료 (First Year Premium)" xr:uid="{B337A613-6519-44AA-8F7F-1ED94E4F7AC4}"/>
    <hyperlink ref="C31" location="'&gt;Loan'!A1" display="대출 (Loan)/ 자산건전성 (Asset Quality of Loan)" xr:uid="{06D0FF1E-F6AD-47FF-B098-795FDFF3F23A}"/>
    <hyperlink ref="C32" location="'&gt;Bond'!A1" display="채권 (Bond)" xr:uid="{322113B9-DE00-4511-A0C7-DD51A884C5B6}"/>
    <hyperlink ref="C35" location="'BS  K-IFRS'!A1" display="재무상태표 (Balance Sheet - KIFRS)" xr:uid="{84688A77-63D1-4C77-9651-DF7A46143767}"/>
    <hyperlink ref="C36" location="'IS  K-IFRS'!A1" display="손익계산서 (Income Statement - KIFRS)" xr:uid="{265788C3-ECCA-48DB-91FD-60DE0BA2DAEC}"/>
    <hyperlink ref="B8" location="FS!A1" display="요약손익계산서 (Selected Income Statement)" xr:uid="{C39473A4-FA9D-4C69-9822-65C3A2539A8B}"/>
    <hyperlink ref="B10" location="CSM!A1" display="RA, CSM, BEL Movement" xr:uid="{74BAEC8E-93A6-405A-95D8-D728B8114A8F}"/>
    <hyperlink ref="B11" location="CSM!A1" display="신계약 CSM (New Business CSM)" xr:uid="{B2FFFFAF-8D26-44B6-B16B-BEEAFB3EF522}"/>
    <hyperlink ref="B13" location="'Sources of Margin'!A1" display="이원별손익" xr:uid="{4F6856AB-817E-46AA-A074-C37F810E5114}"/>
    <hyperlink ref="B12" location="CSM!A1" display="신계약 CSM 배수 (New Business CSM Margin)" xr:uid="{84BD5E88-4C9E-4862-A8A1-0C09CB4C8878}"/>
    <hyperlink ref="C19" location="'APE by P.T'!A1" display="상품별 APE (Annualized Premium Equivalent (APE))" xr:uid="{24950652-B9F1-4670-AABD-C47FD8DA952D}"/>
    <hyperlink ref="C25" location="'APE by D.C'!A1" display="채널별 APE (Annualized Premium Equivalent (APE))" xr:uid="{ED9D0BF6-148B-4262-A2B2-1312322E2003}"/>
  </hyperlinks>
  <pageMargins left="0.19685039370078741" right="0.19685039370078741" top="0.74803149606299213" bottom="0.74803149606299213" header="0.31496062992125984" footer="0.31496062992125984"/>
  <pageSetup paperSize="9" scale="6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10</v>
      </c>
      <c r="G1" s="81" t="s">
        <v>105</v>
      </c>
      <c r="H1" s="82"/>
      <c r="I1" s="82"/>
    </row>
    <row r="2" spans="1:18" ht="12" customHeight="1">
      <c r="A2" s="140"/>
      <c r="B2" s="141"/>
      <c r="C2" s="141"/>
      <c r="F2" s="2" t="s">
        <v>5</v>
      </c>
      <c r="G2" s="99" t="s">
        <v>106</v>
      </c>
      <c r="H2" s="100"/>
      <c r="I2" s="100"/>
    </row>
    <row r="3" spans="1:18" ht="12" customHeight="1">
      <c r="A3" s="140" t="s">
        <v>27</v>
      </c>
      <c r="B3" s="141"/>
      <c r="C3" s="141"/>
      <c r="F3" s="57"/>
      <c r="G3" s="101"/>
      <c r="H3" s="101"/>
      <c r="I3" s="102"/>
      <c r="J3" s="854" t="s">
        <v>82</v>
      </c>
      <c r="K3" s="855"/>
      <c r="L3" s="856" t="s">
        <v>83</v>
      </c>
      <c r="M3" s="854"/>
      <c r="N3" s="855"/>
      <c r="O3" s="101"/>
      <c r="P3" s="101"/>
    </row>
    <row r="4" spans="1:18" ht="12" customHeight="1">
      <c r="A4" s="140"/>
      <c r="B4" s="141"/>
      <c r="C4" s="141"/>
      <c r="F4" s="8" t="s">
        <v>8</v>
      </c>
      <c r="G4" s="84" t="s">
        <v>81</v>
      </c>
      <c r="H4" s="103"/>
      <c r="I4" s="104"/>
      <c r="J4" s="776">
        <v>46022</v>
      </c>
      <c r="K4" s="187">
        <v>45657</v>
      </c>
      <c r="L4" s="776">
        <v>46022</v>
      </c>
      <c r="M4" s="259">
        <v>45657</v>
      </c>
      <c r="N4" s="266">
        <v>45930</v>
      </c>
      <c r="O4" s="262" t="s">
        <v>23</v>
      </c>
      <c r="P4" s="110" t="s">
        <v>24</v>
      </c>
    </row>
    <row r="5" spans="1:18" ht="12" customHeight="1">
      <c r="A5" s="150"/>
      <c r="B5" s="140" t="s">
        <v>155</v>
      </c>
      <c r="C5" s="140"/>
      <c r="F5" s="9" t="s">
        <v>0</v>
      </c>
      <c r="G5" s="105" t="s">
        <v>84</v>
      </c>
      <c r="H5" s="105"/>
      <c r="I5" s="105"/>
      <c r="J5" s="155">
        <f>SUM(J6,J10,J14)</f>
        <v>436.46836835100004</v>
      </c>
      <c r="K5" s="65">
        <f>SUM(K6,K10,K14)</f>
        <v>596.49639774799994</v>
      </c>
      <c r="L5" s="157">
        <f>SUM(L6,L10,L14)</f>
        <v>88.105428440000026</v>
      </c>
      <c r="M5" s="158">
        <f>SUM(M6,M10,M14)</f>
        <v>26.461652862000005</v>
      </c>
      <c r="N5" s="158">
        <f>SUM(N6,N10,N14)</f>
        <v>279.52001501700005</v>
      </c>
      <c r="O5" s="192">
        <f>IF(J5/K5&lt;0,"n.a.",IF(K5&gt;0,ROUND(J5,4)/ROUND(K5,4)-1,IF(K5&lt;0,"n.a.")))</f>
        <v>-0.26827990914949362</v>
      </c>
      <c r="P5" s="192">
        <f>IF(L5/N5&lt;0,"n.a.",IF(N5&gt;0,ROUND(L5,4)/ROUND(N5,4)-1,IF(N5&lt;0,"n.a.")))</f>
        <v>-0.68479751001717226</v>
      </c>
      <c r="Q5" s="207"/>
      <c r="R5" s="203"/>
    </row>
    <row r="6" spans="1:18" ht="12" customHeight="1">
      <c r="A6" s="150"/>
      <c r="B6" s="149"/>
      <c r="C6" s="141"/>
      <c r="F6" s="7"/>
      <c r="G6" s="106" t="s">
        <v>85</v>
      </c>
      <c r="H6" s="106"/>
      <c r="I6" s="106"/>
      <c r="J6" s="159">
        <f>SUM(J7:J9)</f>
        <v>72.040742050999995</v>
      </c>
      <c r="K6" s="66">
        <f>SUM(K7:K9)</f>
        <v>90.913608596999993</v>
      </c>
      <c r="L6" s="160">
        <f>SUM(L7:L9)</f>
        <v>13.791674760000003</v>
      </c>
      <c r="M6" s="161">
        <f>SUM(M7:M9)</f>
        <v>23.597963329000002</v>
      </c>
      <c r="N6" s="161">
        <f>SUM(N7:N9)</f>
        <v>19.169209323000008</v>
      </c>
      <c r="O6" s="193">
        <f t="shared" ref="O6:O27" si="0">IF(J6/K6&lt;0,"n.a.",IF(K6&gt;0,ROUND(J6,4)/ROUND(K6,4)-1,IF(K6&lt;0,"n.a.")))</f>
        <v>-0.20759160345646854</v>
      </c>
      <c r="P6" s="197">
        <f t="shared" ref="P6:P27" si="1">IF(L6/N6&lt;0,"n.a.",IF(N6&gt;0,ROUND(L6,4)/ROUND(N6,4)-1,IF(N6&lt;0,"n.a.")))</f>
        <v>-0.28052813888946848</v>
      </c>
      <c r="Q6" s="207"/>
      <c r="R6" s="209"/>
    </row>
    <row r="7" spans="1:18" ht="12" customHeight="1">
      <c r="A7" s="150"/>
      <c r="B7" s="149" t="s">
        <v>212</v>
      </c>
      <c r="C7" s="141"/>
      <c r="F7" s="7"/>
      <c r="G7" s="107"/>
      <c r="H7" s="107" t="s">
        <v>86</v>
      </c>
      <c r="I7" s="107"/>
      <c r="J7" s="162">
        <v>18.292397842000003</v>
      </c>
      <c r="K7" s="67">
        <v>40.317363742999994</v>
      </c>
      <c r="L7" s="154">
        <v>4.8103348630000013</v>
      </c>
      <c r="M7" s="164">
        <v>9.5293056289999978</v>
      </c>
      <c r="N7" s="164">
        <v>4.1637062040000004</v>
      </c>
      <c r="O7" s="194">
        <f>IF(J7/K7&lt;0,"n.a.",IF(K7&gt;0,ROUND(J7,4)/ROUND(K7,4)-1,IF(K7&lt;0,"n.a.")))</f>
        <v>-0.54629018736327239</v>
      </c>
      <c r="P7" s="198">
        <f>IF(L7/N7&lt;0,"n.a.",IF(N7&gt;0,ROUND(L7,4)/ROUND(N7,4)-1,IF(N7&lt;0,"n.a.")))</f>
        <v>0.1552945697336503</v>
      </c>
      <c r="Q7" s="207"/>
      <c r="R7" s="210"/>
    </row>
    <row r="8" spans="1:18" ht="12" customHeight="1">
      <c r="A8" s="150"/>
      <c r="B8" s="149" t="s">
        <v>213</v>
      </c>
      <c r="C8" s="141"/>
      <c r="F8" s="7"/>
      <c r="G8" s="107"/>
      <c r="H8" s="107" t="s">
        <v>87</v>
      </c>
      <c r="I8" s="107"/>
      <c r="J8" s="162">
        <v>-2.0598260000000003E-3</v>
      </c>
      <c r="K8" s="67">
        <v>-9.2265200000000004E-4</v>
      </c>
      <c r="L8" s="154">
        <v>-1.0870750000000001E-3</v>
      </c>
      <c r="M8" s="164">
        <v>-1.9546400000000004E-4</v>
      </c>
      <c r="N8" s="164">
        <v>-5.5784E-5</v>
      </c>
      <c r="O8" s="194"/>
      <c r="P8" s="198"/>
      <c r="Q8" s="207"/>
      <c r="R8" s="210"/>
    </row>
    <row r="9" spans="1:18" ht="12" customHeight="1">
      <c r="A9" s="150"/>
      <c r="B9" s="149"/>
      <c r="C9" s="141"/>
      <c r="F9" s="7"/>
      <c r="G9" s="107"/>
      <c r="H9" s="107" t="s">
        <v>88</v>
      </c>
      <c r="I9" s="107"/>
      <c r="J9" s="162">
        <v>53.750404034999995</v>
      </c>
      <c r="K9" s="67">
        <v>50.597167505999998</v>
      </c>
      <c r="L9" s="154">
        <v>8.9824269720000007</v>
      </c>
      <c r="M9" s="164">
        <v>14.068853164000004</v>
      </c>
      <c r="N9" s="164">
        <v>15.005558903000006</v>
      </c>
      <c r="O9" s="194">
        <f t="shared" si="0"/>
        <v>6.2319654052002793E-2</v>
      </c>
      <c r="P9" s="198">
        <f t="shared" si="1"/>
        <v>-0.40139681185690668</v>
      </c>
      <c r="Q9" s="207"/>
      <c r="R9" s="210"/>
    </row>
    <row r="10" spans="1:18" ht="12" customHeight="1">
      <c r="A10" s="140"/>
      <c r="B10" s="149" t="s">
        <v>171</v>
      </c>
      <c r="C10" s="141"/>
      <c r="F10" s="7"/>
      <c r="G10" s="108" t="s">
        <v>89</v>
      </c>
      <c r="H10" s="108"/>
      <c r="I10" s="108"/>
      <c r="J10" s="159">
        <f>SUM(J11:J13)</f>
        <v>363.89520974200002</v>
      </c>
      <c r="K10" s="66">
        <f>SUM(K11:K13)</f>
        <v>505.33515159400002</v>
      </c>
      <c r="L10" s="165">
        <f>SUM(L11:L13)</f>
        <v>74.265103022000019</v>
      </c>
      <c r="M10" s="166">
        <f>SUM(M11:M13)</f>
        <v>2.8337432919999999</v>
      </c>
      <c r="N10" s="166">
        <f>SUM(N11:N13)</f>
        <v>260.09803600500004</v>
      </c>
      <c r="O10" s="195">
        <f t="shared" si="0"/>
        <v>-0.27989342519579086</v>
      </c>
      <c r="P10" s="199">
        <f t="shared" si="1"/>
        <v>-0.71447262185791516</v>
      </c>
      <c r="Q10" s="207"/>
      <c r="R10" s="209"/>
    </row>
    <row r="11" spans="1:18" ht="12" customHeight="1">
      <c r="A11" s="140"/>
      <c r="B11" s="149" t="s">
        <v>166</v>
      </c>
      <c r="C11" s="141"/>
      <c r="F11" s="7"/>
      <c r="G11" s="107"/>
      <c r="H11" s="107" t="s">
        <v>90</v>
      </c>
      <c r="I11" s="107"/>
      <c r="J11" s="162">
        <v>1.2597047130000001</v>
      </c>
      <c r="K11" s="493">
        <v>0.49661509499999995</v>
      </c>
      <c r="L11" s="590">
        <v>0.486362342</v>
      </c>
      <c r="M11" s="164">
        <v>8.2615385999999999E-2</v>
      </c>
      <c r="N11" s="164">
        <v>0.31427886600000005</v>
      </c>
      <c r="O11" s="194">
        <f t="shared" si="0"/>
        <v>1.5366492146596862</v>
      </c>
      <c r="P11" s="198">
        <f t="shared" si="1"/>
        <v>0.54756601972637586</v>
      </c>
      <c r="Q11" s="207"/>
      <c r="R11" s="210"/>
    </row>
    <row r="12" spans="1:18" ht="12" customHeight="1">
      <c r="A12" s="140"/>
      <c r="B12" s="149" t="s">
        <v>222</v>
      </c>
      <c r="C12" s="141"/>
      <c r="F12" s="7"/>
      <c r="G12" s="107"/>
      <c r="H12" s="107" t="s">
        <v>91</v>
      </c>
      <c r="I12" s="107"/>
      <c r="J12" s="162">
        <v>362.635505029</v>
      </c>
      <c r="K12" s="67">
        <v>504.83853649900004</v>
      </c>
      <c r="L12" s="154">
        <v>73.778740680000013</v>
      </c>
      <c r="M12" s="164">
        <v>2.7511279059999998</v>
      </c>
      <c r="N12" s="164">
        <v>259.78375713900004</v>
      </c>
      <c r="O12" s="194">
        <f t="shared" si="0"/>
        <v>-0.28168018088953206</v>
      </c>
      <c r="P12" s="198">
        <f t="shared" si="1"/>
        <v>-0.71599961198504292</v>
      </c>
      <c r="Q12" s="207"/>
      <c r="R12" s="210"/>
    </row>
    <row r="13" spans="1:18" ht="12" customHeight="1">
      <c r="A13" s="140"/>
      <c r="B13" s="149"/>
      <c r="C13" s="141"/>
      <c r="F13" s="7"/>
      <c r="G13" s="107"/>
      <c r="H13" s="107" t="s">
        <v>92</v>
      </c>
      <c r="I13" s="107"/>
      <c r="J13" s="162">
        <v>0</v>
      </c>
      <c r="K13" s="67">
        <v>0</v>
      </c>
      <c r="L13" s="154">
        <v>0</v>
      </c>
      <c r="M13" s="164">
        <v>0</v>
      </c>
      <c r="N13" s="164">
        <v>0</v>
      </c>
      <c r="O13" s="194"/>
      <c r="P13" s="198"/>
      <c r="Q13" s="207"/>
      <c r="R13" s="210"/>
    </row>
    <row r="14" spans="1:18" ht="12" customHeight="1">
      <c r="A14" s="140"/>
      <c r="B14" s="140" t="s">
        <v>173</v>
      </c>
      <c r="C14" s="141"/>
      <c r="F14" s="7"/>
      <c r="G14" s="108" t="s">
        <v>93</v>
      </c>
      <c r="H14" s="108"/>
      <c r="I14" s="108"/>
      <c r="J14" s="159">
        <f>SUM(J15:J17)</f>
        <v>0.53241655799999998</v>
      </c>
      <c r="K14" s="66">
        <f>SUM(K15:K17)</f>
        <v>0.24763755700000004</v>
      </c>
      <c r="L14" s="165">
        <f>SUM(L15:L17)</f>
        <v>4.8650657999999992E-2</v>
      </c>
      <c r="M14" s="166">
        <f>SUM(M15:M17)</f>
        <v>2.9946240999999998E-2</v>
      </c>
      <c r="N14" s="166">
        <f>SUM(N15:N17)</f>
        <v>0.25276968900000002</v>
      </c>
      <c r="O14" s="195">
        <f t="shared" si="0"/>
        <v>1.150242326332795</v>
      </c>
      <c r="P14" s="199">
        <f t="shared" si="1"/>
        <v>-0.80735759493670889</v>
      </c>
      <c r="Q14" s="207"/>
      <c r="R14" s="209"/>
    </row>
    <row r="15" spans="1:18" ht="12" customHeight="1">
      <c r="A15" s="140"/>
      <c r="B15" s="142"/>
      <c r="C15" s="149" t="s">
        <v>40</v>
      </c>
      <c r="F15" s="7"/>
      <c r="G15" s="107"/>
      <c r="H15" s="107" t="s">
        <v>90</v>
      </c>
      <c r="I15" s="107"/>
      <c r="J15" s="162">
        <v>0</v>
      </c>
      <c r="K15" s="67">
        <v>8.4276650000000036E-2</v>
      </c>
      <c r="L15" s="154">
        <v>0</v>
      </c>
      <c r="M15" s="164">
        <v>0</v>
      </c>
      <c r="N15" s="164">
        <v>0</v>
      </c>
      <c r="O15" s="194"/>
      <c r="P15" s="198"/>
      <c r="Q15" s="207"/>
      <c r="R15" s="210"/>
    </row>
    <row r="16" spans="1:18" ht="12" customHeight="1">
      <c r="A16" s="140"/>
      <c r="B16" s="140"/>
      <c r="C16" s="149" t="s">
        <v>41</v>
      </c>
      <c r="F16" s="7"/>
      <c r="G16" s="107"/>
      <c r="H16" s="107" t="s">
        <v>91</v>
      </c>
      <c r="I16" s="107"/>
      <c r="J16" s="162">
        <v>0.53241655799999998</v>
      </c>
      <c r="K16" s="67">
        <v>0.163360907</v>
      </c>
      <c r="L16" s="154">
        <v>4.8650657999999992E-2</v>
      </c>
      <c r="M16" s="164">
        <v>2.9946240999999998E-2</v>
      </c>
      <c r="N16" s="164">
        <v>0.25276968900000002</v>
      </c>
      <c r="O16" s="194">
        <f>IF(J16/K16&lt;0,"n.a.",IF(K16&gt;0,ROUND(J16,4)/ROUND(K16,4)-1,IF(K16&lt;0,"n.a.")))</f>
        <v>2.2582619339045289</v>
      </c>
      <c r="P16" s="198">
        <f>IF(L16/N16&lt;0,"n.a.",IF(N16&gt;0,ROUND(L16,4)/ROUND(N16,4)-1,IF(N16&lt;0,"n.a.")))</f>
        <v>-0.80735759493670889</v>
      </c>
      <c r="Q16" s="207"/>
      <c r="R16" s="210"/>
    </row>
    <row r="17" spans="1:18" ht="12" customHeight="1">
      <c r="A17" s="140"/>
      <c r="B17" s="140"/>
      <c r="C17" s="149"/>
      <c r="F17" s="7"/>
      <c r="G17" s="107"/>
      <c r="H17" s="107" t="s">
        <v>94</v>
      </c>
      <c r="I17" s="107"/>
      <c r="J17" s="162">
        <v>0</v>
      </c>
      <c r="K17" s="67">
        <v>0</v>
      </c>
      <c r="L17" s="154">
        <v>0</v>
      </c>
      <c r="M17" s="164">
        <v>0</v>
      </c>
      <c r="N17" s="164">
        <v>0</v>
      </c>
      <c r="O17" s="194"/>
      <c r="P17" s="198"/>
      <c r="Q17" s="207"/>
      <c r="R17" s="210"/>
    </row>
    <row r="18" spans="1:18" ht="12" customHeight="1">
      <c r="A18" s="140"/>
      <c r="B18" s="140" t="s">
        <v>176</v>
      </c>
      <c r="C18" s="149"/>
      <c r="F18" s="9" t="s">
        <v>1</v>
      </c>
      <c r="G18" s="105" t="s">
        <v>95</v>
      </c>
      <c r="H18" s="105"/>
      <c r="I18" s="105"/>
      <c r="J18" s="155">
        <f>SUM(J19:J20)</f>
        <v>0</v>
      </c>
      <c r="K18" s="65">
        <f>SUM(K19:K20)</f>
        <v>0</v>
      </c>
      <c r="L18" s="157">
        <f>SUM(L19:L20)</f>
        <v>0</v>
      </c>
      <c r="M18" s="158">
        <f>SUM(M19:M20)</f>
        <v>0</v>
      </c>
      <c r="N18" s="158">
        <f>SUM(N19:N20)</f>
        <v>0</v>
      </c>
      <c r="O18" s="192"/>
      <c r="P18" s="200"/>
      <c r="Q18" s="207"/>
      <c r="R18" s="211"/>
    </row>
    <row r="19" spans="1:18" ht="12" customHeight="1">
      <c r="A19" s="140"/>
      <c r="B19" s="140"/>
      <c r="C19" s="149" t="s">
        <v>33</v>
      </c>
      <c r="F19" s="7"/>
      <c r="G19" s="107" t="s">
        <v>96</v>
      </c>
      <c r="H19" s="107"/>
      <c r="I19" s="107"/>
      <c r="J19" s="162">
        <v>0</v>
      </c>
      <c r="K19" s="67">
        <v>0</v>
      </c>
      <c r="L19" s="154">
        <v>0</v>
      </c>
      <c r="M19" s="164">
        <v>0</v>
      </c>
      <c r="N19" s="164">
        <v>0</v>
      </c>
      <c r="O19" s="194"/>
      <c r="P19" s="198"/>
      <c r="Q19" s="207"/>
      <c r="R19" s="210"/>
    </row>
    <row r="20" spans="1:18" ht="12" customHeight="1">
      <c r="A20" s="140"/>
      <c r="B20" s="140"/>
      <c r="C20" s="149" t="s">
        <v>29</v>
      </c>
      <c r="F20" s="7"/>
      <c r="G20" s="109" t="s">
        <v>97</v>
      </c>
      <c r="H20" s="109"/>
      <c r="I20" s="109"/>
      <c r="J20" s="167">
        <v>0</v>
      </c>
      <c r="K20" s="68">
        <v>0</v>
      </c>
      <c r="L20" s="169">
        <v>0</v>
      </c>
      <c r="M20" s="170">
        <v>0</v>
      </c>
      <c r="N20" s="170">
        <v>0</v>
      </c>
      <c r="O20" s="196"/>
      <c r="P20" s="201"/>
      <c r="Q20" s="207"/>
      <c r="R20" s="210"/>
    </row>
    <row r="21" spans="1:18" ht="12" customHeight="1">
      <c r="A21" s="140"/>
      <c r="B21" s="140"/>
      <c r="C21" s="149" t="s">
        <v>30</v>
      </c>
      <c r="F21" s="18"/>
      <c r="G21" s="105" t="s">
        <v>98</v>
      </c>
      <c r="H21" s="105"/>
      <c r="I21" s="105"/>
      <c r="J21" s="155">
        <f>SUM(J22:J24)</f>
        <v>436.46836835100004</v>
      </c>
      <c r="K21" s="156">
        <f>SUM(K22:K24)</f>
        <v>596.49639774799994</v>
      </c>
      <c r="L21" s="157">
        <f>SUM(L22:L24)</f>
        <v>88.105428440000026</v>
      </c>
      <c r="M21" s="158">
        <f>SUM(M22:M24)</f>
        <v>26.461652862000005</v>
      </c>
      <c r="N21" s="158">
        <f>SUM(N22:N24)</f>
        <v>279.52001501700005</v>
      </c>
      <c r="O21" s="192">
        <f t="shared" si="0"/>
        <v>-0.26827990914949362</v>
      </c>
      <c r="P21" s="200">
        <f t="shared" si="1"/>
        <v>-0.68479751001717226</v>
      </c>
      <c r="Q21" s="207"/>
      <c r="R21" s="211"/>
    </row>
    <row r="22" spans="1:18" ht="12" customHeight="1">
      <c r="A22" s="140"/>
      <c r="B22" s="140"/>
      <c r="C22" s="149" t="s">
        <v>31</v>
      </c>
      <c r="F22" s="9" t="s">
        <v>4</v>
      </c>
      <c r="G22" s="188" t="s">
        <v>85</v>
      </c>
      <c r="H22" s="107"/>
      <c r="I22" s="107"/>
      <c r="J22" s="162">
        <f>SUM(J6,J19)</f>
        <v>72.040742050999995</v>
      </c>
      <c r="K22" s="171">
        <f>SUM(K6,K19)</f>
        <v>90.913608596999993</v>
      </c>
      <c r="L22" s="154">
        <f>SUM(L6,L19)</f>
        <v>13.791674760000003</v>
      </c>
      <c r="M22" s="164">
        <f>SUM(M6,M19)</f>
        <v>23.597963329000002</v>
      </c>
      <c r="N22" s="164">
        <f>SUM(N6,N19)</f>
        <v>19.169209323000008</v>
      </c>
      <c r="O22" s="194">
        <f t="shared" si="0"/>
        <v>-0.20759160345646854</v>
      </c>
      <c r="P22" s="198">
        <f t="shared" si="1"/>
        <v>-0.28052813888946848</v>
      </c>
      <c r="Q22" s="207"/>
      <c r="R22" s="210"/>
    </row>
    <row r="23" spans="1:18" ht="12" customHeight="1">
      <c r="A23" s="140"/>
      <c r="B23" s="140"/>
      <c r="C23" s="149"/>
      <c r="F23" s="7"/>
      <c r="G23" s="107" t="s">
        <v>99</v>
      </c>
      <c r="H23" s="107"/>
      <c r="I23" s="107"/>
      <c r="J23" s="162">
        <f>J10</f>
        <v>363.89520974200002</v>
      </c>
      <c r="K23" s="163">
        <f>K10</f>
        <v>505.33515159400002</v>
      </c>
      <c r="L23" s="154">
        <f>L10</f>
        <v>74.265103022000019</v>
      </c>
      <c r="M23" s="164">
        <f>M10</f>
        <v>2.8337432919999999</v>
      </c>
      <c r="N23" s="164">
        <f>N10</f>
        <v>260.09803600500004</v>
      </c>
      <c r="O23" s="194">
        <f t="shared" si="0"/>
        <v>-0.27989342519579086</v>
      </c>
      <c r="P23" s="198">
        <f t="shared" si="1"/>
        <v>-0.71447262185791516</v>
      </c>
      <c r="Q23" s="207"/>
      <c r="R23" s="210"/>
    </row>
    <row r="24" spans="1:18" ht="12" customHeight="1">
      <c r="A24" s="140"/>
      <c r="B24" s="140" t="s">
        <v>181</v>
      </c>
      <c r="C24" s="149"/>
      <c r="F24" s="7"/>
      <c r="G24" s="109" t="s">
        <v>93</v>
      </c>
      <c r="H24" s="109"/>
      <c r="I24" s="109"/>
      <c r="J24" s="167">
        <f>SUM(J14,J20)</f>
        <v>0.53241655799999998</v>
      </c>
      <c r="K24" s="168">
        <f>SUM(K14,K20)</f>
        <v>0.24763755700000004</v>
      </c>
      <c r="L24" s="169">
        <f>SUM(L14,L20)</f>
        <v>4.8650657999999992E-2</v>
      </c>
      <c r="M24" s="170">
        <f>SUM(M14,M20)</f>
        <v>2.9946240999999998E-2</v>
      </c>
      <c r="N24" s="170">
        <f>SUM(N14,N20)</f>
        <v>0.25276968900000002</v>
      </c>
      <c r="O24" s="196">
        <f t="shared" si="0"/>
        <v>1.150242326332795</v>
      </c>
      <c r="P24" s="201">
        <f t="shared" si="1"/>
        <v>-0.80735759493670889</v>
      </c>
      <c r="Q24" s="207"/>
      <c r="R24" s="210"/>
    </row>
    <row r="25" spans="1:18" ht="12" customHeight="1">
      <c r="A25" s="140"/>
      <c r="B25" s="140"/>
      <c r="C25" s="149" t="s">
        <v>32</v>
      </c>
      <c r="F25" s="18"/>
      <c r="G25" s="105" t="s">
        <v>100</v>
      </c>
      <c r="H25" s="105"/>
      <c r="I25" s="105"/>
      <c r="J25" s="155">
        <f>SUM(J26:J27)</f>
        <v>31.342759879999999</v>
      </c>
      <c r="K25" s="65">
        <f>SUM(K26:K27)</f>
        <v>65.965537197000003</v>
      </c>
      <c r="L25" s="172">
        <f>SUM(L26:L27)</f>
        <v>29.900954190999997</v>
      </c>
      <c r="M25" s="158">
        <f>SUM(M26:M27)</f>
        <v>31.633627235999999</v>
      </c>
      <c r="N25" s="158">
        <f>SUM(N26:N27)</f>
        <v>0.51482130399999992</v>
      </c>
      <c r="O25" s="591">
        <f t="shared" si="0"/>
        <v>-0.52486072265047645</v>
      </c>
      <c r="P25" s="200">
        <f t="shared" si="1"/>
        <v>57.082750582750577</v>
      </c>
      <c r="Q25" s="207"/>
      <c r="R25" s="211"/>
    </row>
    <row r="26" spans="1:18" ht="12" customHeight="1">
      <c r="A26" s="140"/>
      <c r="B26" s="140"/>
      <c r="C26" s="149" t="s">
        <v>34</v>
      </c>
      <c r="F26" s="9" t="s">
        <v>2</v>
      </c>
      <c r="G26" s="107" t="s">
        <v>101</v>
      </c>
      <c r="H26" s="107"/>
      <c r="I26" s="107"/>
      <c r="J26" s="162">
        <v>0</v>
      </c>
      <c r="K26" s="67">
        <v>0</v>
      </c>
      <c r="L26" s="154">
        <v>0</v>
      </c>
      <c r="M26" s="164">
        <v>0</v>
      </c>
      <c r="N26" s="164">
        <v>0</v>
      </c>
      <c r="O26" s="194"/>
      <c r="P26" s="198"/>
      <c r="Q26" s="207"/>
      <c r="R26" s="210"/>
    </row>
    <row r="27" spans="1:18" ht="12" customHeight="1">
      <c r="A27" s="140"/>
      <c r="B27" s="140"/>
      <c r="C27" s="149" t="s">
        <v>35</v>
      </c>
      <c r="F27" s="7"/>
      <c r="G27" s="109" t="s">
        <v>102</v>
      </c>
      <c r="H27" s="109"/>
      <c r="I27" s="109"/>
      <c r="J27" s="167">
        <v>31.342759879999999</v>
      </c>
      <c r="K27" s="68">
        <v>65.965537197000003</v>
      </c>
      <c r="L27" s="169">
        <v>29.900954190999997</v>
      </c>
      <c r="M27" s="170">
        <v>31.633627235999999</v>
      </c>
      <c r="N27" s="170">
        <v>0.51482130399999992</v>
      </c>
      <c r="O27" s="196">
        <f t="shared" si="0"/>
        <v>-0.52486072265047645</v>
      </c>
      <c r="P27" s="201">
        <f t="shared" si="1"/>
        <v>57.082750582750577</v>
      </c>
      <c r="Q27" s="207"/>
      <c r="R27" s="210"/>
    </row>
    <row r="28" spans="1:18" ht="12" customHeight="1">
      <c r="A28" s="140"/>
      <c r="B28" s="140"/>
      <c r="C28" s="149"/>
      <c r="F28" s="18"/>
      <c r="G28" s="7"/>
      <c r="H28" s="7"/>
      <c r="I28" s="7"/>
      <c r="J28" s="21"/>
      <c r="K28" s="21"/>
      <c r="L28" s="21"/>
      <c r="M28" s="21"/>
      <c r="N28" s="21"/>
      <c r="O28" s="22"/>
      <c r="P28" s="23"/>
    </row>
    <row r="29" spans="1:18" ht="12" customHeight="1">
      <c r="A29" s="140"/>
      <c r="B29" s="140"/>
      <c r="C29" s="149"/>
      <c r="F29" s="7"/>
      <c r="G29" s="7"/>
      <c r="H29" s="7"/>
      <c r="I29" s="7"/>
      <c r="J29" s="21"/>
      <c r="K29" s="21"/>
      <c r="L29" s="21"/>
      <c r="M29" s="21"/>
      <c r="N29" s="21"/>
      <c r="O29" s="22"/>
      <c r="P29" s="23"/>
    </row>
    <row r="30" spans="1:18" s="3" customFormat="1" ht="12" customHeight="1">
      <c r="A30" s="140"/>
      <c r="B30" s="140" t="s">
        <v>185</v>
      </c>
      <c r="C30" s="149"/>
      <c r="D30" s="1"/>
      <c r="E30" s="1"/>
      <c r="F30" s="7"/>
      <c r="G30" s="1"/>
      <c r="H30" s="1"/>
      <c r="I30" s="1"/>
      <c r="J30" s="74"/>
      <c r="K30" s="74"/>
      <c r="L30" s="74"/>
      <c r="M30" s="74"/>
      <c r="N30" s="74"/>
      <c r="O30" s="1"/>
      <c r="P30" s="1"/>
    </row>
    <row r="31" spans="1:18" ht="12" customHeight="1">
      <c r="A31" s="140"/>
      <c r="B31" s="140"/>
      <c r="C31" s="149" t="s">
        <v>147</v>
      </c>
      <c r="F31" s="4" t="s">
        <v>7</v>
      </c>
      <c r="J31" s="69"/>
      <c r="K31" s="69"/>
      <c r="L31" s="69"/>
      <c r="M31" s="69"/>
      <c r="N31" s="69"/>
    </row>
    <row r="32" spans="1:18" ht="12" customHeight="1">
      <c r="A32" s="140"/>
      <c r="B32" s="140"/>
      <c r="C32" s="149" t="s">
        <v>36</v>
      </c>
      <c r="F32" s="2" t="s">
        <v>6</v>
      </c>
    </row>
    <row r="33" spans="1:6" ht="12" customHeight="1">
      <c r="A33" s="140"/>
      <c r="B33" s="140"/>
      <c r="C33" s="149"/>
      <c r="F33" s="57"/>
    </row>
    <row r="34" spans="1:6" ht="12" customHeight="1">
      <c r="A34" s="140"/>
      <c r="B34" s="140" t="s">
        <v>188</v>
      </c>
      <c r="C34" s="149"/>
      <c r="F34" s="8" t="s">
        <v>8</v>
      </c>
    </row>
    <row r="35" spans="1:6" ht="12" customHeight="1">
      <c r="A35" s="140"/>
      <c r="B35" s="140"/>
      <c r="C35" s="149" t="s">
        <v>37</v>
      </c>
      <c r="F35" s="9" t="s">
        <v>0</v>
      </c>
    </row>
    <row r="36" spans="1:6" ht="12" customHeight="1">
      <c r="A36" s="140"/>
      <c r="B36" s="140"/>
      <c r="C36" s="149" t="s">
        <v>38</v>
      </c>
      <c r="F36" s="7"/>
    </row>
    <row r="37" spans="1:6" ht="12" customHeight="1">
      <c r="A37" s="25"/>
      <c r="F37" s="7"/>
    </row>
    <row r="38" spans="1:6" ht="12" customHeight="1">
      <c r="A38" s="25"/>
      <c r="F38" s="7"/>
    </row>
    <row r="39" spans="1:6" ht="14.25">
      <c r="A39" s="25"/>
      <c r="F39" s="7"/>
    </row>
    <row r="40" spans="1:6" ht="14.25">
      <c r="A40" s="25"/>
      <c r="F40" s="7"/>
    </row>
    <row r="41" spans="1:6" ht="14.25">
      <c r="A41" s="25"/>
      <c r="F41" s="7"/>
    </row>
    <row r="42" spans="1:6" ht="14.25">
      <c r="A42" s="25"/>
      <c r="F42" s="7"/>
    </row>
    <row r="43" spans="1:6" ht="14.25">
      <c r="A43" s="25"/>
      <c r="F43" s="7"/>
    </row>
    <row r="44" spans="1:6" ht="14.25">
      <c r="A44" s="25"/>
      <c r="F44" s="7"/>
    </row>
    <row r="45" spans="1:6" ht="14.25">
      <c r="A45" s="25"/>
      <c r="F45" s="7"/>
    </row>
    <row r="46" spans="1:6" ht="14.25">
      <c r="A46" s="25"/>
      <c r="F46" s="7"/>
    </row>
    <row r="47" spans="1:6" ht="14.25">
      <c r="A47" s="25"/>
      <c r="F47" s="7"/>
    </row>
    <row r="48" spans="1:6" ht="14.25">
      <c r="A48" s="25"/>
      <c r="F48" s="9" t="s">
        <v>1</v>
      </c>
    </row>
    <row r="49" spans="1:16">
      <c r="F49" s="7"/>
    </row>
    <row r="50" spans="1:16">
      <c r="F50" s="7"/>
    </row>
    <row r="51" spans="1:16">
      <c r="F51" s="18"/>
    </row>
    <row r="52" spans="1:16">
      <c r="F52" s="9" t="s">
        <v>4</v>
      </c>
    </row>
    <row r="53" spans="1:16">
      <c r="F53" s="7"/>
      <c r="J53" s="74"/>
      <c r="K53" s="74"/>
      <c r="L53" s="74"/>
      <c r="M53" s="74"/>
      <c r="N53" s="74"/>
      <c r="O53" s="74"/>
      <c r="P53" s="74"/>
    </row>
    <row r="54" spans="1:16">
      <c r="F54" s="7"/>
      <c r="J54" s="74"/>
      <c r="K54" s="74"/>
      <c r="L54" s="74"/>
      <c r="M54" s="74"/>
      <c r="N54" s="74"/>
      <c r="O54" s="74"/>
      <c r="P54" s="74"/>
    </row>
    <row r="55" spans="1:16">
      <c r="F55" s="18"/>
      <c r="J55" s="74"/>
      <c r="K55" s="74"/>
      <c r="L55" s="74"/>
      <c r="M55" s="74"/>
      <c r="N55" s="74"/>
      <c r="O55" s="74"/>
      <c r="P55" s="74"/>
    </row>
    <row r="56" spans="1:16">
      <c r="F56" s="9" t="s">
        <v>2</v>
      </c>
      <c r="J56" s="74"/>
      <c r="K56" s="74"/>
      <c r="L56" s="74"/>
      <c r="M56" s="74"/>
      <c r="N56" s="74"/>
      <c r="O56" s="74"/>
      <c r="P56" s="74"/>
    </row>
    <row r="57" spans="1:16">
      <c r="F57" s="7"/>
      <c r="J57" s="74"/>
      <c r="K57" s="74"/>
      <c r="L57" s="74"/>
      <c r="M57" s="74"/>
      <c r="N57" s="74"/>
      <c r="O57" s="74"/>
      <c r="P57" s="74"/>
    </row>
    <row r="58" spans="1:16">
      <c r="F58" s="18"/>
      <c r="J58" s="74"/>
      <c r="K58" s="74"/>
      <c r="L58" s="74"/>
      <c r="M58" s="74"/>
      <c r="N58" s="74"/>
      <c r="O58" s="74"/>
      <c r="P58" s="74"/>
    </row>
    <row r="59" spans="1:16">
      <c r="J59" s="74"/>
      <c r="K59" s="74"/>
      <c r="L59" s="74"/>
      <c r="M59" s="74"/>
      <c r="N59" s="74"/>
      <c r="O59" s="74"/>
      <c r="P59" s="74"/>
    </row>
    <row r="60" spans="1:16">
      <c r="F60" s="2" t="s">
        <v>9</v>
      </c>
      <c r="J60" s="74"/>
      <c r="K60" s="74"/>
      <c r="L60" s="74"/>
      <c r="M60" s="74"/>
      <c r="N60" s="74"/>
      <c r="O60" s="74"/>
      <c r="P60" s="74"/>
    </row>
    <row r="61" spans="1:16">
      <c r="F61" s="57"/>
      <c r="J61" s="74"/>
      <c r="K61" s="74"/>
      <c r="L61" s="74"/>
      <c r="M61" s="74"/>
      <c r="N61" s="74"/>
      <c r="O61" s="74"/>
      <c r="P61" s="74"/>
    </row>
    <row r="62" spans="1:16">
      <c r="F62" s="8" t="s">
        <v>8</v>
      </c>
      <c r="J62" s="74"/>
      <c r="K62" s="74"/>
      <c r="L62" s="74"/>
      <c r="M62" s="74"/>
      <c r="N62" s="74"/>
      <c r="O62" s="74"/>
      <c r="P62" s="74"/>
    </row>
    <row r="63" spans="1:16">
      <c r="F63" s="9" t="s">
        <v>0</v>
      </c>
      <c r="J63" s="74"/>
      <c r="K63" s="74"/>
      <c r="L63" s="74"/>
      <c r="M63" s="74"/>
      <c r="N63" s="74"/>
      <c r="O63" s="74"/>
      <c r="P63" s="74"/>
    </row>
    <row r="64" spans="1:16" ht="12">
      <c r="A64" s="1"/>
      <c r="F64" s="7"/>
      <c r="J64" s="74"/>
      <c r="K64" s="74"/>
      <c r="L64" s="74"/>
      <c r="M64" s="74"/>
      <c r="N64" s="74"/>
      <c r="O64" s="74"/>
      <c r="P64" s="74"/>
    </row>
    <row r="65" spans="1:16" ht="12">
      <c r="A65" s="1"/>
      <c r="F65" s="7"/>
      <c r="J65" s="74"/>
      <c r="K65" s="74"/>
      <c r="L65" s="74"/>
      <c r="M65" s="74"/>
      <c r="N65" s="74"/>
      <c r="O65" s="74"/>
      <c r="P65" s="74"/>
    </row>
    <row r="66" spans="1:16" ht="12">
      <c r="A66" s="1"/>
      <c r="F66" s="7"/>
      <c r="J66" s="74"/>
      <c r="K66" s="74"/>
      <c r="L66" s="74"/>
      <c r="M66" s="74"/>
      <c r="N66" s="74"/>
      <c r="O66" s="74"/>
      <c r="P66" s="74"/>
    </row>
    <row r="67" spans="1:16" ht="12">
      <c r="A67" s="1"/>
      <c r="F67" s="7"/>
      <c r="J67" s="74"/>
      <c r="K67" s="74"/>
      <c r="L67" s="74"/>
      <c r="M67" s="74"/>
      <c r="N67" s="74"/>
      <c r="O67" s="74"/>
      <c r="P67" s="74"/>
    </row>
    <row r="68" spans="1:16" ht="12">
      <c r="A68" s="1"/>
      <c r="F68" s="7"/>
      <c r="J68" s="74"/>
      <c r="K68" s="74"/>
      <c r="L68" s="74"/>
      <c r="M68" s="74"/>
      <c r="N68" s="74"/>
      <c r="O68" s="74"/>
      <c r="P68" s="74"/>
    </row>
    <row r="69" spans="1:16" ht="12">
      <c r="A69" s="1"/>
      <c r="F69" s="7"/>
      <c r="J69" s="74"/>
      <c r="K69" s="74"/>
      <c r="L69" s="74"/>
      <c r="M69" s="74"/>
      <c r="N69" s="74"/>
      <c r="O69" s="74"/>
      <c r="P69" s="74"/>
    </row>
    <row r="70" spans="1:16" ht="12">
      <c r="A70" s="1"/>
      <c r="F70" s="7"/>
      <c r="J70" s="74"/>
      <c r="K70" s="74"/>
      <c r="L70" s="74"/>
      <c r="M70" s="74"/>
      <c r="N70" s="74"/>
      <c r="O70" s="74"/>
      <c r="P70" s="74"/>
    </row>
    <row r="71" spans="1:16" ht="12">
      <c r="A71" s="1"/>
      <c r="F71" s="7"/>
      <c r="J71" s="74"/>
      <c r="K71" s="74"/>
      <c r="L71" s="74"/>
      <c r="M71" s="74"/>
      <c r="N71" s="74"/>
      <c r="O71" s="74"/>
      <c r="P71" s="74"/>
    </row>
    <row r="72" spans="1:16" ht="12">
      <c r="A72" s="1"/>
      <c r="F72" s="7"/>
      <c r="J72" s="74"/>
      <c r="K72" s="74"/>
      <c r="L72" s="74"/>
      <c r="M72" s="74"/>
      <c r="N72" s="74"/>
      <c r="O72" s="74"/>
      <c r="P72" s="74"/>
    </row>
    <row r="73" spans="1:16" ht="12">
      <c r="A73" s="1"/>
      <c r="F73" s="7"/>
      <c r="J73" s="74"/>
      <c r="K73" s="74"/>
      <c r="L73" s="74"/>
      <c r="M73" s="74"/>
      <c r="N73" s="74"/>
      <c r="O73" s="74"/>
      <c r="P73" s="74"/>
    </row>
    <row r="74" spans="1:16" ht="12">
      <c r="A74" s="1"/>
      <c r="F74" s="7"/>
      <c r="J74" s="74"/>
      <c r="K74" s="74"/>
      <c r="L74" s="74"/>
      <c r="M74" s="74"/>
      <c r="N74" s="74"/>
      <c r="O74" s="74"/>
      <c r="P74" s="74"/>
    </row>
    <row r="75" spans="1:16" ht="12">
      <c r="A75" s="1"/>
      <c r="F75" s="7"/>
      <c r="J75" s="74"/>
      <c r="K75" s="74"/>
      <c r="L75" s="74"/>
      <c r="M75" s="74"/>
      <c r="N75" s="74"/>
      <c r="O75" s="74"/>
      <c r="P75" s="74"/>
    </row>
    <row r="76" spans="1:16" ht="12">
      <c r="A76" s="1"/>
      <c r="F76" s="9" t="s">
        <v>1</v>
      </c>
    </row>
    <row r="77" spans="1:16">
      <c r="F77" s="7"/>
    </row>
    <row r="78" spans="1:16">
      <c r="F78" s="7"/>
    </row>
    <row r="79" spans="1:16">
      <c r="F79" s="18"/>
    </row>
    <row r="80" spans="1:16">
      <c r="F80" s="9" t="s">
        <v>4</v>
      </c>
    </row>
    <row r="81" spans="6:6">
      <c r="F81" s="7"/>
    </row>
    <row r="82" spans="6:6">
      <c r="F82" s="7"/>
    </row>
    <row r="83" spans="6:6">
      <c r="F83" s="18"/>
    </row>
    <row r="84" spans="6:6">
      <c r="F84" s="9" t="s">
        <v>2</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BE76B6E2-51E9-4BAB-B079-30454A6E59EC}"/>
    <hyperlink ref="B7" location="FS!A1" display="요약재무상태표 (Selected Balance sheet)" xr:uid="{57095B73-B58B-49EC-A044-69FF5C63EFE4}"/>
    <hyperlink ref="C15" location="Stability!A1" display="재무 안정성 (Financial Stability)" xr:uid="{4E6D784B-BCD1-4E34-BA9B-632F84D92F24}"/>
    <hyperlink ref="C16" location="Productivity!A1" display="생산성 / 경영효율 (Productivity / Operating Efficiency)" xr:uid="{CF2D8E0C-33C6-4B25-BA55-15A6767AFB81}"/>
    <hyperlink ref="C20" location="'Premium Income by P.T.(GA+SA)'!A1" display="상품별 수입보험료 (Premium Income)" xr:uid="{035385D0-6A57-431A-ADA7-FC229F6ED5D0}"/>
    <hyperlink ref="C21" location="'Initial P. by P.T.'!A1" display="상품별 초회보험료 (Initial Premium)" xr:uid="{A9B902FE-FF50-49D8-BD6A-B1BFB5890193}"/>
    <hyperlink ref="C22" location="'First-year P. by P.T.'!A1" display="상품별 초년도보험료 (First Year Premium)" xr:uid="{1E813D3F-F02E-4A6B-9994-7DF23505D1D3}"/>
    <hyperlink ref="C26" location="'Premium Income by D.C.(GA+SA)'!A1" display="채널별 수입보험료 (Premium Income)" xr:uid="{4151C5B2-D265-47FF-B15B-F5AB813D3164}"/>
    <hyperlink ref="C27" location="'First-year P. by D.C'!A1" display="채널별 초년도보험료 (First Year Premium)" xr:uid="{D3A4C5D0-736B-450A-84F7-A176FBD1E76F}"/>
    <hyperlink ref="C31" location="'&gt;Loan'!A1" display="대출 (Loan)/ 자산건전성 (Asset Quality of Loan)" xr:uid="{C1812787-2A71-4CEE-98BA-7AFB0E80FF25}"/>
    <hyperlink ref="C32" location="'&gt;Bond'!A1" display="채권 (Bond)" xr:uid="{08B56571-F743-4063-AAB2-D2FB9C5769E0}"/>
    <hyperlink ref="C35" location="'BS  K-IFRS'!A1" display="재무상태표 (Balance Sheet - KIFRS)" xr:uid="{FB0A0549-BEC5-4D0C-BB42-F2092E64CC65}"/>
    <hyperlink ref="C36" location="'IS  K-IFRS'!A1" display="손익계산서 (Income Statement - KIFRS)" xr:uid="{F5BD20BE-0ECC-4A31-9FF4-7FCB158901DF}"/>
    <hyperlink ref="B8" location="FS!A1" display="요약손익계산서 (Selected Income Statement)" xr:uid="{D6ED25F5-D78D-42B4-8013-69391609515B}"/>
    <hyperlink ref="B10" location="CSM!A1" display="RA, CSM, BEL Movement" xr:uid="{5F6A99EB-B97C-424A-8976-3BC42AED1703}"/>
    <hyperlink ref="B11" location="CSM!A1" display="신계약 CSM (New Business CSM)" xr:uid="{94CA8F8C-B726-48A8-8364-208A799E9D42}"/>
    <hyperlink ref="B13" location="'Sources of Margin'!A1" display="이원별손익" xr:uid="{40397F0C-E7B9-49A7-9BF2-2A3BC36F4D8F}"/>
    <hyperlink ref="B12" location="CSM!A1" display="신계약 CSM 배수 (New Business CSM Margin)" xr:uid="{F0D126D2-5354-42C7-ACFB-BBEE82DFBB1B}"/>
    <hyperlink ref="C19" location="'APE by P.T'!A1" display="상품별 APE (Annualized Premium Equivalent (APE))" xr:uid="{DCAFAFEF-D46B-4490-BB81-82F21745B275}"/>
    <hyperlink ref="C25" location="'APE by D.C'!A1" display="채널별 APE (Annualized Premium Equivalent (APE))" xr:uid="{995E899D-DAA7-4EBC-91DD-122B5F3C3B1E}"/>
  </hyperlinks>
  <pageMargins left="0.19685039370078741" right="0.19685039370078741" top="0.74803149606299213" bottom="0.74803149606299213" header="0.31496062992125984" footer="0.3149606299212598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10</v>
      </c>
      <c r="G1" s="92" t="s">
        <v>107</v>
      </c>
      <c r="H1" s="93"/>
      <c r="I1" s="93"/>
    </row>
    <row r="2" spans="1:18" ht="12" customHeight="1">
      <c r="A2" s="140"/>
      <c r="B2" s="141"/>
      <c r="C2" s="141"/>
      <c r="F2" s="2" t="s">
        <v>5</v>
      </c>
      <c r="G2" s="99" t="s">
        <v>106</v>
      </c>
      <c r="H2" s="112"/>
      <c r="I2" s="112"/>
    </row>
    <row r="3" spans="1:18" ht="12" customHeight="1">
      <c r="A3" s="140" t="s">
        <v>27</v>
      </c>
      <c r="B3" s="141"/>
      <c r="C3" s="141"/>
      <c r="F3" s="57"/>
      <c r="G3" s="113"/>
      <c r="H3" s="113"/>
      <c r="I3" s="114"/>
      <c r="J3" s="854" t="s">
        <v>82</v>
      </c>
      <c r="K3" s="855"/>
      <c r="L3" s="856" t="s">
        <v>83</v>
      </c>
      <c r="M3" s="854"/>
      <c r="N3" s="855"/>
      <c r="O3" s="113"/>
      <c r="P3" s="113"/>
    </row>
    <row r="4" spans="1:18" ht="12" customHeight="1">
      <c r="A4" s="140"/>
      <c r="B4" s="141"/>
      <c r="C4" s="141"/>
      <c r="F4" s="8" t="s">
        <v>8</v>
      </c>
      <c r="G4" s="84" t="s">
        <v>81</v>
      </c>
      <c r="H4" s="115"/>
      <c r="I4" s="116"/>
      <c r="J4" s="776">
        <v>46022</v>
      </c>
      <c r="K4" s="187">
        <v>45657</v>
      </c>
      <c r="L4" s="776">
        <v>46022</v>
      </c>
      <c r="M4" s="259">
        <v>45657</v>
      </c>
      <c r="N4" s="266">
        <v>45930</v>
      </c>
      <c r="O4" s="262" t="s">
        <v>23</v>
      </c>
      <c r="P4" s="110" t="s">
        <v>24</v>
      </c>
    </row>
    <row r="5" spans="1:18" ht="12" customHeight="1">
      <c r="A5" s="150"/>
      <c r="B5" s="140" t="s">
        <v>155</v>
      </c>
      <c r="C5" s="140"/>
      <c r="F5" s="9" t="s">
        <v>0</v>
      </c>
      <c r="G5" s="105" t="s">
        <v>84</v>
      </c>
      <c r="H5" s="105"/>
      <c r="I5" s="105"/>
      <c r="J5" s="155">
        <f>SUM(J6,J10,J14)</f>
        <v>1078.6247899259997</v>
      </c>
      <c r="K5" s="65">
        <f>SUM(K6,K10,K14)</f>
        <v>1244.0781422990001</v>
      </c>
      <c r="L5" s="157">
        <f>SUM(L6,L10,L14)</f>
        <v>223.96676945299996</v>
      </c>
      <c r="M5" s="158">
        <f>SUM(M6,M10,M14)</f>
        <v>205.36961075699992</v>
      </c>
      <c r="N5" s="158">
        <f>SUM(N6,N10,N14)</f>
        <v>436.22361236299997</v>
      </c>
      <c r="O5" s="192">
        <f>IF(J5/K5&lt;0,"n.a.",IF(K5&gt;0,ROUND(J5,4)/ROUND(K5,4)-1,IF(K5&lt;0,"n.a.")))</f>
        <v>-0.13299269555504589</v>
      </c>
      <c r="P5" s="192">
        <f>IF(L5/N5&lt;0,"n.a.",IF(N5&gt;0,ROUND(L5,4)/ROUND(N5,4)-1,IF(N5&lt;0,"n.a.")))</f>
        <v>-0.48657798431813404</v>
      </c>
      <c r="Q5" s="202"/>
      <c r="R5" s="203"/>
    </row>
    <row r="6" spans="1:18" ht="12" customHeight="1">
      <c r="A6" s="150"/>
      <c r="B6" s="149"/>
      <c r="C6" s="141"/>
      <c r="F6" s="7"/>
      <c r="G6" s="106" t="s">
        <v>85</v>
      </c>
      <c r="H6" s="106"/>
      <c r="I6" s="106"/>
      <c r="J6" s="159">
        <f>SUM(J7:J9)</f>
        <v>710.56375260799973</v>
      </c>
      <c r="K6" s="66">
        <f>SUM(K7:K9)</f>
        <v>708.63485395199996</v>
      </c>
      <c r="L6" s="160">
        <f>SUM(L7:L9)</f>
        <v>148.89560192999994</v>
      </c>
      <c r="M6" s="161">
        <f>SUM(M7:M9)</f>
        <v>200.32383388199992</v>
      </c>
      <c r="N6" s="161">
        <f>SUM(N7:N9)</f>
        <v>175.11474966399999</v>
      </c>
      <c r="O6" s="193">
        <f t="shared" ref="O6:O27" si="0">IF(J6/K6&lt;0,"n.a.",IF(K6&gt;0,ROUND(J6,4)/ROUND(K6,4)-1,IF(K6&lt;0,"n.a.")))</f>
        <v>2.7219940762162054E-3</v>
      </c>
      <c r="P6" s="197">
        <f t="shared" ref="P6:P27" si="1">IF(L6/N6&lt;0,"n.a.",IF(N6&gt;0,ROUND(L6,4)/ROUND(N6,4)-1,IF(N6&lt;0,"n.a.")))</f>
        <v>-0.1497252943356554</v>
      </c>
      <c r="Q6" s="204"/>
      <c r="R6" s="205"/>
    </row>
    <row r="7" spans="1:18" ht="12" customHeight="1">
      <c r="A7" s="150"/>
      <c r="B7" s="149" t="s">
        <v>212</v>
      </c>
      <c r="C7" s="141"/>
      <c r="F7" s="7"/>
      <c r="G7" s="107"/>
      <c r="H7" s="107" t="s">
        <v>86</v>
      </c>
      <c r="I7" s="107"/>
      <c r="J7" s="162">
        <v>305.56066916899999</v>
      </c>
      <c r="K7" s="67">
        <v>408.70620357700005</v>
      </c>
      <c r="L7" s="154">
        <v>54.971178985000002</v>
      </c>
      <c r="M7" s="164">
        <v>110.22263749899999</v>
      </c>
      <c r="N7" s="164">
        <v>69.841344069999991</v>
      </c>
      <c r="O7" s="194">
        <f t="shared" si="0"/>
        <v>-0.2523707739202391</v>
      </c>
      <c r="P7" s="198">
        <f t="shared" si="1"/>
        <v>-0.21291270351496894</v>
      </c>
      <c r="Q7" s="164"/>
      <c r="R7" s="206"/>
    </row>
    <row r="8" spans="1:18" ht="12" customHeight="1">
      <c r="A8" s="150"/>
      <c r="B8" s="149" t="s">
        <v>213</v>
      </c>
      <c r="C8" s="141"/>
      <c r="F8" s="7"/>
      <c r="G8" s="107"/>
      <c r="H8" s="107" t="s">
        <v>87</v>
      </c>
      <c r="I8" s="107"/>
      <c r="J8" s="162">
        <v>1.565077499999977E-2</v>
      </c>
      <c r="K8" s="67">
        <v>2.8324642000005239E-2</v>
      </c>
      <c r="L8" s="154">
        <v>-3.1977630000006641E-3</v>
      </c>
      <c r="M8" s="164">
        <v>7.5015689999985546E-3</v>
      </c>
      <c r="N8" s="164">
        <v>9.1777290000010399E-3</v>
      </c>
      <c r="O8" s="194">
        <f>IF(J8/K8&lt;0,"n.a.",IF(K8&gt;0,ROUND(J8,4)/ROUND(K8,4)-1,IF(K8&lt;0,"n.a.")))</f>
        <v>-0.44522968197879864</v>
      </c>
      <c r="P8" s="198" t="str">
        <f t="shared" si="1"/>
        <v>n.a.</v>
      </c>
      <c r="Q8" s="164"/>
      <c r="R8" s="206"/>
    </row>
    <row r="9" spans="1:18" ht="12" customHeight="1">
      <c r="A9" s="150"/>
      <c r="B9" s="149"/>
      <c r="C9" s="141"/>
      <c r="F9" s="7"/>
      <c r="G9" s="107"/>
      <c r="H9" s="107" t="s">
        <v>88</v>
      </c>
      <c r="I9" s="107"/>
      <c r="J9" s="162">
        <v>404.98743266399975</v>
      </c>
      <c r="K9" s="67">
        <v>299.90032573299993</v>
      </c>
      <c r="L9" s="154">
        <v>93.927620707999949</v>
      </c>
      <c r="M9" s="164">
        <v>90.093694813999946</v>
      </c>
      <c r="N9" s="164">
        <v>105.264227865</v>
      </c>
      <c r="O9" s="194">
        <f t="shared" si="0"/>
        <v>0.3504067851882775</v>
      </c>
      <c r="P9" s="198">
        <f t="shared" si="1"/>
        <v>-0.10769663380332539</v>
      </c>
      <c r="Q9" s="164"/>
      <c r="R9" s="206"/>
    </row>
    <row r="10" spans="1:18" ht="12" customHeight="1">
      <c r="A10" s="140"/>
      <c r="B10" s="149" t="s">
        <v>171</v>
      </c>
      <c r="C10" s="141"/>
      <c r="F10" s="7"/>
      <c r="G10" s="108" t="s">
        <v>89</v>
      </c>
      <c r="H10" s="108"/>
      <c r="I10" s="108"/>
      <c r="J10" s="159">
        <f>SUM(J11:J13)</f>
        <v>366.83456189700001</v>
      </c>
      <c r="K10" s="66">
        <f>SUM(K11:K13)</f>
        <v>526.01087845400002</v>
      </c>
      <c r="L10" s="165">
        <f>SUM(L11:L13)</f>
        <v>74.918696767</v>
      </c>
      <c r="M10" s="166">
        <f>SUM(M11:M13)</f>
        <v>3.9079151739999998</v>
      </c>
      <c r="N10" s="166">
        <f>SUM(N11:N13)</f>
        <v>260.74390601900001</v>
      </c>
      <c r="O10" s="195">
        <f t="shared" si="0"/>
        <v>-0.30261026910278854</v>
      </c>
      <c r="P10" s="199">
        <f t="shared" si="1"/>
        <v>-0.71267323991088571</v>
      </c>
      <c r="Q10" s="204"/>
      <c r="R10" s="205"/>
    </row>
    <row r="11" spans="1:18" ht="12" customHeight="1">
      <c r="A11" s="140"/>
      <c r="B11" s="149" t="s">
        <v>166</v>
      </c>
      <c r="C11" s="141"/>
      <c r="F11" s="7"/>
      <c r="G11" s="107"/>
      <c r="H11" s="107" t="s">
        <v>90</v>
      </c>
      <c r="I11" s="107"/>
      <c r="J11" s="162">
        <v>1.2640655110000003</v>
      </c>
      <c r="K11" s="493">
        <v>0.5066682589999999</v>
      </c>
      <c r="L11" s="590">
        <v>0.48681879200000006</v>
      </c>
      <c r="M11" s="164">
        <v>8.3997116999999996E-2</v>
      </c>
      <c r="N11" s="164">
        <v>0.31661785700000006</v>
      </c>
      <c r="O11" s="194">
        <f t="shared" si="0"/>
        <v>1.4947700809157292</v>
      </c>
      <c r="P11" s="198">
        <f t="shared" si="1"/>
        <v>0.53758686039166137</v>
      </c>
      <c r="Q11" s="164"/>
      <c r="R11" s="206"/>
    </row>
    <row r="12" spans="1:18" ht="12" customHeight="1">
      <c r="A12" s="140"/>
      <c r="B12" s="149" t="s">
        <v>222</v>
      </c>
      <c r="C12" s="141"/>
      <c r="F12" s="7"/>
      <c r="G12" s="107"/>
      <c r="H12" s="107" t="s">
        <v>91</v>
      </c>
      <c r="I12" s="107"/>
      <c r="J12" s="162">
        <v>365.570496386</v>
      </c>
      <c r="K12" s="67">
        <v>525.27751019499999</v>
      </c>
      <c r="L12" s="154">
        <v>74.431877975000006</v>
      </c>
      <c r="M12" s="164">
        <v>3.8212680569999997</v>
      </c>
      <c r="N12" s="164">
        <v>260.42728816200002</v>
      </c>
      <c r="O12" s="194">
        <f t="shared" si="0"/>
        <v>-0.30404310102755217</v>
      </c>
      <c r="P12" s="198">
        <f t="shared" si="1"/>
        <v>-0.71419317406431659</v>
      </c>
      <c r="Q12" s="164"/>
      <c r="R12" s="206"/>
    </row>
    <row r="13" spans="1:18" ht="12" customHeight="1">
      <c r="A13" s="140"/>
      <c r="B13" s="149"/>
      <c r="C13" s="141"/>
      <c r="F13" s="7"/>
      <c r="G13" s="107"/>
      <c r="H13" s="107" t="s">
        <v>92</v>
      </c>
      <c r="I13" s="107"/>
      <c r="J13" s="162">
        <v>0</v>
      </c>
      <c r="K13" s="67">
        <v>0.22670000000000007</v>
      </c>
      <c r="L13" s="154">
        <v>0</v>
      </c>
      <c r="M13" s="164">
        <v>2.6500000000000056E-3</v>
      </c>
      <c r="N13" s="164">
        <v>0</v>
      </c>
      <c r="O13" s="194"/>
      <c r="P13" s="198"/>
      <c r="Q13" s="164"/>
      <c r="R13" s="206"/>
    </row>
    <row r="14" spans="1:18" ht="12" customHeight="1">
      <c r="A14" s="140"/>
      <c r="B14" s="140" t="s">
        <v>173</v>
      </c>
      <c r="C14" s="141"/>
      <c r="F14" s="7"/>
      <c r="G14" s="108" t="s">
        <v>93</v>
      </c>
      <c r="H14" s="108"/>
      <c r="I14" s="108"/>
      <c r="J14" s="159">
        <f>SUM(J15:J17)</f>
        <v>1.226475421</v>
      </c>
      <c r="K14" s="66">
        <f>SUM(K15:K17)</f>
        <v>9.4324098930000009</v>
      </c>
      <c r="L14" s="165">
        <f>SUM(L15:L17)</f>
        <v>0.15247075599999999</v>
      </c>
      <c r="M14" s="166">
        <f>SUM(M15:M17)</f>
        <v>1.1378617010000001</v>
      </c>
      <c r="N14" s="166">
        <f>SUM(N15:N17)</f>
        <v>0.36495667999999998</v>
      </c>
      <c r="O14" s="195">
        <f t="shared" si="0"/>
        <v>-0.8699694669437259</v>
      </c>
      <c r="P14" s="199">
        <f t="shared" si="1"/>
        <v>-0.5821917808219178</v>
      </c>
      <c r="Q14" s="204"/>
      <c r="R14" s="205"/>
    </row>
    <row r="15" spans="1:18" ht="12" customHeight="1">
      <c r="A15" s="140"/>
      <c r="B15" s="142"/>
      <c r="C15" s="149" t="s">
        <v>40</v>
      </c>
      <c r="F15" s="7"/>
      <c r="G15" s="107"/>
      <c r="H15" s="107" t="s">
        <v>90</v>
      </c>
      <c r="I15" s="107"/>
      <c r="J15" s="162">
        <v>0.26331910000000003</v>
      </c>
      <c r="K15" s="67">
        <v>7.8573908960000001</v>
      </c>
      <c r="L15" s="154">
        <v>0</v>
      </c>
      <c r="M15" s="164">
        <v>0.9963702900000001</v>
      </c>
      <c r="N15" s="164">
        <v>1E-4</v>
      </c>
      <c r="O15" s="194">
        <f t="shared" si="0"/>
        <v>-0.96649018759386052</v>
      </c>
      <c r="P15" s="198">
        <f t="shared" si="1"/>
        <v>-1</v>
      </c>
      <c r="Q15" s="164"/>
      <c r="R15" s="206"/>
    </row>
    <row r="16" spans="1:18" ht="12" customHeight="1">
      <c r="A16" s="140"/>
      <c r="B16" s="140"/>
      <c r="C16" s="149" t="s">
        <v>41</v>
      </c>
      <c r="F16" s="7"/>
      <c r="G16" s="107"/>
      <c r="H16" s="107" t="s">
        <v>91</v>
      </c>
      <c r="I16" s="107"/>
      <c r="J16" s="162">
        <v>0.96315632099999993</v>
      </c>
      <c r="K16" s="67">
        <v>1.5750189970000001</v>
      </c>
      <c r="L16" s="154">
        <v>0.15247075599999999</v>
      </c>
      <c r="M16" s="164">
        <v>0.14149141100000001</v>
      </c>
      <c r="N16" s="164">
        <v>0.36485667999999999</v>
      </c>
      <c r="O16" s="194">
        <f t="shared" si="0"/>
        <v>-0.38844444444444448</v>
      </c>
      <c r="P16" s="198">
        <f t="shared" si="1"/>
        <v>-0.58207728144697179</v>
      </c>
      <c r="Q16" s="164"/>
      <c r="R16" s="206"/>
    </row>
    <row r="17" spans="1:18" ht="12" customHeight="1">
      <c r="A17" s="140"/>
      <c r="B17" s="140"/>
      <c r="C17" s="149"/>
      <c r="F17" s="7"/>
      <c r="G17" s="107"/>
      <c r="H17" s="107" t="s">
        <v>94</v>
      </c>
      <c r="I17" s="107"/>
      <c r="J17" s="162">
        <v>0</v>
      </c>
      <c r="K17" s="67">
        <v>0</v>
      </c>
      <c r="L17" s="154">
        <v>0</v>
      </c>
      <c r="M17" s="164">
        <v>0</v>
      </c>
      <c r="N17" s="164">
        <v>0</v>
      </c>
      <c r="O17" s="194"/>
      <c r="P17" s="198"/>
      <c r="Q17" s="164"/>
      <c r="R17" s="206"/>
    </row>
    <row r="18" spans="1:18" ht="12" customHeight="1">
      <c r="A18" s="140"/>
      <c r="B18" s="140" t="s">
        <v>176</v>
      </c>
      <c r="C18" s="149"/>
      <c r="F18" s="9" t="s">
        <v>1</v>
      </c>
      <c r="G18" s="105" t="s">
        <v>95</v>
      </c>
      <c r="H18" s="105"/>
      <c r="I18" s="105"/>
      <c r="J18" s="155">
        <f>SUM(J19:J20)</f>
        <v>0</v>
      </c>
      <c r="K18" s="65">
        <f>SUM(K19:K20)</f>
        <v>0</v>
      </c>
      <c r="L18" s="157">
        <f>SUM(L19:L20)</f>
        <v>0</v>
      </c>
      <c r="M18" s="158">
        <f>SUM(M19:M20)</f>
        <v>0</v>
      </c>
      <c r="N18" s="158">
        <f>SUM(N19:N20)</f>
        <v>0</v>
      </c>
      <c r="O18" s="192"/>
      <c r="P18" s="200"/>
      <c r="Q18" s="202"/>
      <c r="R18" s="203"/>
    </row>
    <row r="19" spans="1:18" ht="12" customHeight="1">
      <c r="A19" s="140"/>
      <c r="B19" s="140"/>
      <c r="C19" s="149" t="s">
        <v>33</v>
      </c>
      <c r="F19" s="7"/>
      <c r="G19" s="107" t="s">
        <v>96</v>
      </c>
      <c r="H19" s="107"/>
      <c r="I19" s="107"/>
      <c r="J19" s="162">
        <v>0</v>
      </c>
      <c r="K19" s="67">
        <v>0</v>
      </c>
      <c r="L19" s="154">
        <v>0</v>
      </c>
      <c r="M19" s="164">
        <v>0</v>
      </c>
      <c r="N19" s="164">
        <v>0</v>
      </c>
      <c r="O19" s="194"/>
      <c r="P19" s="198"/>
      <c r="Q19" s="164"/>
      <c r="R19" s="206"/>
    </row>
    <row r="20" spans="1:18" ht="12" customHeight="1">
      <c r="A20" s="140"/>
      <c r="B20" s="140"/>
      <c r="C20" s="149" t="s">
        <v>29</v>
      </c>
      <c r="F20" s="7"/>
      <c r="G20" s="109" t="s">
        <v>97</v>
      </c>
      <c r="H20" s="109"/>
      <c r="I20" s="109"/>
      <c r="J20" s="167">
        <v>0</v>
      </c>
      <c r="K20" s="68">
        <v>0</v>
      </c>
      <c r="L20" s="169">
        <v>0</v>
      </c>
      <c r="M20" s="170">
        <v>0</v>
      </c>
      <c r="N20" s="170">
        <v>0</v>
      </c>
      <c r="O20" s="196"/>
      <c r="P20" s="201"/>
      <c r="Q20" s="164"/>
      <c r="R20" s="206"/>
    </row>
    <row r="21" spans="1:18" ht="12" customHeight="1">
      <c r="A21" s="140"/>
      <c r="B21" s="140"/>
      <c r="C21" s="149" t="s">
        <v>30</v>
      </c>
      <c r="F21" s="18"/>
      <c r="G21" s="105" t="s">
        <v>98</v>
      </c>
      <c r="H21" s="105"/>
      <c r="I21" s="105"/>
      <c r="J21" s="155">
        <f>SUM(J22:J24)</f>
        <v>1078.6247899259997</v>
      </c>
      <c r="K21" s="156">
        <f>SUM(K22:K24)</f>
        <v>1244.0781422990001</v>
      </c>
      <c r="L21" s="157">
        <f>SUM(L22:L24)</f>
        <v>223.96676945299996</v>
      </c>
      <c r="M21" s="158">
        <f>SUM(M22:M24)</f>
        <v>205.36961075699992</v>
      </c>
      <c r="N21" s="158">
        <f>SUM(N22:N24)</f>
        <v>436.22361236299997</v>
      </c>
      <c r="O21" s="192">
        <f t="shared" si="0"/>
        <v>-0.13299269555504589</v>
      </c>
      <c r="P21" s="200">
        <f t="shared" si="1"/>
        <v>-0.48657798431813404</v>
      </c>
      <c r="Q21" s="202"/>
      <c r="R21" s="203"/>
    </row>
    <row r="22" spans="1:18" ht="12" customHeight="1">
      <c r="A22" s="140"/>
      <c r="B22" s="140"/>
      <c r="C22" s="149" t="s">
        <v>31</v>
      </c>
      <c r="F22" s="9" t="s">
        <v>4</v>
      </c>
      <c r="G22" s="188" t="s">
        <v>85</v>
      </c>
      <c r="H22" s="107"/>
      <c r="I22" s="107"/>
      <c r="J22" s="162">
        <f>SUM(J6,J19)</f>
        <v>710.56375260799973</v>
      </c>
      <c r="K22" s="171">
        <f>SUM(K6,K19)</f>
        <v>708.63485395199996</v>
      </c>
      <c r="L22" s="154">
        <f>SUM(L6,L19)</f>
        <v>148.89560192999994</v>
      </c>
      <c r="M22" s="164">
        <f>SUM(M6,M19)</f>
        <v>200.32383388199992</v>
      </c>
      <c r="N22" s="164">
        <f>SUM(N6,N19)</f>
        <v>175.11474966399999</v>
      </c>
      <c r="O22" s="194">
        <f t="shared" si="0"/>
        <v>2.7219940762162054E-3</v>
      </c>
      <c r="P22" s="198">
        <f t="shared" si="1"/>
        <v>-0.1497252943356554</v>
      </c>
      <c r="Q22" s="164"/>
      <c r="R22" s="206"/>
    </row>
    <row r="23" spans="1:18" ht="12" customHeight="1">
      <c r="A23" s="140"/>
      <c r="B23" s="140"/>
      <c r="C23" s="149"/>
      <c r="F23" s="7"/>
      <c r="G23" s="107" t="s">
        <v>99</v>
      </c>
      <c r="H23" s="107"/>
      <c r="I23" s="107"/>
      <c r="J23" s="162">
        <f>J10</f>
        <v>366.83456189700001</v>
      </c>
      <c r="K23" s="163">
        <f>K10</f>
        <v>526.01087845400002</v>
      </c>
      <c r="L23" s="154">
        <f>L10</f>
        <v>74.918696767</v>
      </c>
      <c r="M23" s="164">
        <f>M10</f>
        <v>3.9079151739999998</v>
      </c>
      <c r="N23" s="164">
        <f>N10</f>
        <v>260.74390601900001</v>
      </c>
      <c r="O23" s="194">
        <f t="shared" si="0"/>
        <v>-0.30261026910278854</v>
      </c>
      <c r="P23" s="198">
        <f t="shared" si="1"/>
        <v>-0.71267323991088571</v>
      </c>
      <c r="Q23" s="164"/>
      <c r="R23" s="206"/>
    </row>
    <row r="24" spans="1:18" ht="12" customHeight="1">
      <c r="A24" s="140"/>
      <c r="B24" s="140" t="s">
        <v>181</v>
      </c>
      <c r="C24" s="149"/>
      <c r="F24" s="7"/>
      <c r="G24" s="109" t="s">
        <v>93</v>
      </c>
      <c r="H24" s="109"/>
      <c r="I24" s="109"/>
      <c r="J24" s="167">
        <f>SUM(J14,J20)</f>
        <v>1.226475421</v>
      </c>
      <c r="K24" s="168">
        <f>SUM(K14,K20)</f>
        <v>9.4324098930000009</v>
      </c>
      <c r="L24" s="169">
        <f>SUM(L14,L20)</f>
        <v>0.15247075599999999</v>
      </c>
      <c r="M24" s="170">
        <f>SUM(M14,M20)</f>
        <v>1.1378617010000001</v>
      </c>
      <c r="N24" s="170">
        <f>SUM(N14,N20)</f>
        <v>0.36495667999999998</v>
      </c>
      <c r="O24" s="196">
        <f t="shared" si="0"/>
        <v>-0.8699694669437259</v>
      </c>
      <c r="P24" s="201">
        <f t="shared" si="1"/>
        <v>-0.5821917808219178</v>
      </c>
      <c r="Q24" s="164"/>
      <c r="R24" s="206"/>
    </row>
    <row r="25" spans="1:18" ht="12" customHeight="1">
      <c r="A25" s="140"/>
      <c r="B25" s="140"/>
      <c r="C25" s="149" t="s">
        <v>32</v>
      </c>
      <c r="F25" s="18"/>
      <c r="G25" s="105" t="s">
        <v>100</v>
      </c>
      <c r="H25" s="105"/>
      <c r="I25" s="105"/>
      <c r="J25" s="155">
        <f>SUM(J26:J27)</f>
        <v>85.754530877000008</v>
      </c>
      <c r="K25" s="65">
        <f>SUM(K26:K27)</f>
        <v>125.046275928</v>
      </c>
      <c r="L25" s="172">
        <f>SUM(L26:L27)</f>
        <v>57.297577620999995</v>
      </c>
      <c r="M25" s="158">
        <f>SUM(M26:M27)</f>
        <v>90.511769131999998</v>
      </c>
      <c r="N25" s="158">
        <f>SUM(N26:N27)</f>
        <v>0.61287518799999996</v>
      </c>
      <c r="O25" s="591">
        <f t="shared" si="0"/>
        <v>-0.31421801364774493</v>
      </c>
      <c r="P25" s="200">
        <f>IF(L25/N25&lt;0,"n.a.",IF(N25&gt;0,ROUND(L25,4)/ROUND(N25,4)-1,IF(N25&lt;0,"n.a.")))</f>
        <v>92.486049926578559</v>
      </c>
      <c r="Q25" s="202"/>
      <c r="R25" s="203"/>
    </row>
    <row r="26" spans="1:18" ht="12" customHeight="1">
      <c r="A26" s="140"/>
      <c r="B26" s="140"/>
      <c r="C26" s="149" t="s">
        <v>34</v>
      </c>
      <c r="F26" s="9" t="s">
        <v>2</v>
      </c>
      <c r="G26" s="107" t="s">
        <v>101</v>
      </c>
      <c r="H26" s="107"/>
      <c r="I26" s="107"/>
      <c r="J26" s="162">
        <v>0</v>
      </c>
      <c r="K26" s="67">
        <v>0</v>
      </c>
      <c r="L26" s="154">
        <v>0</v>
      </c>
      <c r="M26" s="164">
        <v>0</v>
      </c>
      <c r="N26" s="164">
        <v>0</v>
      </c>
      <c r="O26" s="194"/>
      <c r="P26" s="198"/>
      <c r="Q26" s="164"/>
      <c r="R26" s="206"/>
    </row>
    <row r="27" spans="1:18" ht="12" customHeight="1">
      <c r="A27" s="140"/>
      <c r="B27" s="140"/>
      <c r="C27" s="149" t="s">
        <v>35</v>
      </c>
      <c r="F27" s="7"/>
      <c r="G27" s="109" t="s">
        <v>102</v>
      </c>
      <c r="H27" s="109"/>
      <c r="I27" s="109"/>
      <c r="J27" s="167">
        <v>85.754530877000008</v>
      </c>
      <c r="K27" s="68">
        <v>125.046275928</v>
      </c>
      <c r="L27" s="169">
        <v>57.297577620999995</v>
      </c>
      <c r="M27" s="170">
        <v>90.511769131999998</v>
      </c>
      <c r="N27" s="170">
        <v>0.61287518799999996</v>
      </c>
      <c r="O27" s="196">
        <f t="shared" si="0"/>
        <v>-0.31421801364774493</v>
      </c>
      <c r="P27" s="201">
        <f t="shared" si="1"/>
        <v>92.486049926578559</v>
      </c>
      <c r="Q27" s="164"/>
      <c r="R27" s="206"/>
    </row>
    <row r="28" spans="1:18" ht="12" customHeight="1">
      <c r="A28" s="140"/>
      <c r="B28" s="140"/>
      <c r="C28" s="149"/>
      <c r="F28" s="18"/>
      <c r="G28" s="7"/>
      <c r="H28" s="7"/>
      <c r="I28" s="7"/>
      <c r="J28" s="21"/>
      <c r="K28" s="21"/>
      <c r="L28" s="21"/>
      <c r="M28" s="21"/>
      <c r="N28" s="21"/>
      <c r="O28" s="22"/>
      <c r="P28" s="23"/>
    </row>
    <row r="29" spans="1:18" ht="12" customHeight="1">
      <c r="A29" s="140"/>
      <c r="B29" s="140"/>
      <c r="C29" s="149"/>
      <c r="F29" s="7"/>
      <c r="G29" s="7"/>
      <c r="H29" s="7"/>
      <c r="I29" s="7"/>
      <c r="J29" s="21"/>
      <c r="K29" s="21"/>
      <c r="L29" s="21"/>
      <c r="M29" s="21"/>
      <c r="N29" s="21"/>
      <c r="O29" s="22"/>
      <c r="P29" s="23"/>
    </row>
    <row r="30" spans="1:18" s="3" customFormat="1" ht="12" customHeight="1">
      <c r="A30" s="140"/>
      <c r="B30" s="140" t="s">
        <v>185</v>
      </c>
      <c r="C30" s="149"/>
      <c r="D30" s="1"/>
      <c r="E30" s="1"/>
      <c r="F30" s="7"/>
      <c r="G30" s="1"/>
      <c r="H30" s="1"/>
      <c r="I30" s="1"/>
      <c r="J30" s="319"/>
      <c r="K30" s="319"/>
      <c r="L30" s="319"/>
      <c r="M30" s="319"/>
      <c r="N30" s="319"/>
      <c r="O30" s="1"/>
      <c r="P30" s="1"/>
    </row>
    <row r="31" spans="1:18" ht="12" customHeight="1">
      <c r="A31" s="140"/>
      <c r="B31" s="140"/>
      <c r="C31" s="149" t="s">
        <v>147</v>
      </c>
      <c r="F31" s="4" t="s">
        <v>7</v>
      </c>
      <c r="J31" s="174"/>
      <c r="K31" s="174"/>
      <c r="L31" s="174"/>
      <c r="M31" s="174"/>
      <c r="N31" s="174"/>
    </row>
    <row r="32" spans="1:18" ht="12" customHeight="1">
      <c r="A32" s="140"/>
      <c r="B32" s="140"/>
      <c r="C32" s="149" t="s">
        <v>36</v>
      </c>
      <c r="F32" s="2" t="s">
        <v>6</v>
      </c>
    </row>
    <row r="33" spans="1:6" ht="12" customHeight="1">
      <c r="A33" s="140"/>
      <c r="B33" s="140"/>
      <c r="C33" s="149"/>
      <c r="F33" s="57"/>
    </row>
    <row r="34" spans="1:6" ht="12" customHeight="1">
      <c r="A34" s="140"/>
      <c r="B34" s="140" t="s">
        <v>188</v>
      </c>
      <c r="C34" s="149"/>
      <c r="F34" s="8" t="s">
        <v>8</v>
      </c>
    </row>
    <row r="35" spans="1:6" ht="12" customHeight="1">
      <c r="A35" s="140"/>
      <c r="B35" s="140"/>
      <c r="C35" s="149" t="s">
        <v>37</v>
      </c>
      <c r="F35" s="9" t="s">
        <v>0</v>
      </c>
    </row>
    <row r="36" spans="1:6" ht="12" customHeight="1">
      <c r="A36" s="140"/>
      <c r="B36" s="140"/>
      <c r="C36" s="149" t="s">
        <v>38</v>
      </c>
      <c r="F36" s="7"/>
    </row>
    <row r="37" spans="1:6" ht="12" customHeight="1">
      <c r="A37" s="25"/>
      <c r="F37" s="7"/>
    </row>
    <row r="38" spans="1:6" ht="12" customHeight="1">
      <c r="A38" s="25"/>
      <c r="F38" s="7"/>
    </row>
    <row r="39" spans="1:6" ht="14.25">
      <c r="A39" s="25"/>
      <c r="F39" s="7"/>
    </row>
    <row r="40" spans="1:6" ht="14.25">
      <c r="A40" s="25"/>
      <c r="F40" s="7"/>
    </row>
    <row r="41" spans="1:6" ht="14.25">
      <c r="A41" s="25"/>
      <c r="F41" s="7"/>
    </row>
    <row r="42" spans="1:6" ht="14.25">
      <c r="A42" s="25"/>
      <c r="F42" s="7"/>
    </row>
    <row r="43" spans="1:6" ht="14.25">
      <c r="A43" s="25"/>
      <c r="F43" s="7"/>
    </row>
    <row r="44" spans="1:6" ht="14.25">
      <c r="A44" s="25"/>
      <c r="F44" s="7"/>
    </row>
    <row r="45" spans="1:6" ht="14.25">
      <c r="A45" s="25"/>
      <c r="F45" s="7"/>
    </row>
    <row r="46" spans="1:6" ht="14.25">
      <c r="A46" s="25"/>
      <c r="F46" s="7"/>
    </row>
    <row r="47" spans="1:6" ht="14.25">
      <c r="A47" s="25"/>
      <c r="F47" s="7"/>
    </row>
    <row r="48" spans="1:6" ht="14.25">
      <c r="A48" s="25"/>
      <c r="F48" s="9" t="s">
        <v>1</v>
      </c>
    </row>
    <row r="49" spans="1:16">
      <c r="F49" s="7"/>
    </row>
    <row r="50" spans="1:16">
      <c r="F50" s="7"/>
    </row>
    <row r="51" spans="1:16">
      <c r="F51" s="18"/>
    </row>
    <row r="52" spans="1:16">
      <c r="F52" s="9" t="s">
        <v>4</v>
      </c>
    </row>
    <row r="53" spans="1:16">
      <c r="F53" s="7"/>
      <c r="J53" s="74"/>
      <c r="K53" s="74"/>
      <c r="L53" s="74"/>
      <c r="M53" s="74"/>
      <c r="N53" s="74"/>
      <c r="O53" s="74"/>
      <c r="P53" s="74"/>
    </row>
    <row r="54" spans="1:16">
      <c r="F54" s="7"/>
      <c r="J54" s="74"/>
      <c r="K54" s="74"/>
      <c r="L54" s="74"/>
      <c r="M54" s="74"/>
      <c r="N54" s="74"/>
      <c r="O54" s="74"/>
      <c r="P54" s="74"/>
    </row>
    <row r="55" spans="1:16">
      <c r="F55" s="18"/>
      <c r="J55" s="74"/>
      <c r="K55" s="74"/>
      <c r="L55" s="74"/>
      <c r="M55" s="74"/>
      <c r="N55" s="74"/>
      <c r="O55" s="74"/>
      <c r="P55" s="74"/>
    </row>
    <row r="56" spans="1:16">
      <c r="F56" s="9" t="s">
        <v>2</v>
      </c>
      <c r="J56" s="74"/>
      <c r="K56" s="74"/>
      <c r="L56" s="74"/>
      <c r="M56" s="74"/>
      <c r="N56" s="74"/>
      <c r="O56" s="74"/>
      <c r="P56" s="74"/>
    </row>
    <row r="57" spans="1:16">
      <c r="F57" s="7"/>
      <c r="J57" s="74"/>
      <c r="K57" s="74"/>
      <c r="L57" s="74"/>
      <c r="M57" s="74"/>
      <c r="N57" s="74"/>
      <c r="O57" s="74"/>
      <c r="P57" s="74"/>
    </row>
    <row r="58" spans="1:16">
      <c r="F58" s="18"/>
      <c r="J58" s="74"/>
      <c r="K58" s="74"/>
      <c r="L58" s="74"/>
      <c r="M58" s="74"/>
      <c r="N58" s="74"/>
      <c r="O58" s="74"/>
      <c r="P58" s="74"/>
    </row>
    <row r="59" spans="1:16">
      <c r="J59" s="74"/>
      <c r="K59" s="74"/>
      <c r="L59" s="74"/>
      <c r="M59" s="74"/>
      <c r="N59" s="74"/>
      <c r="O59" s="74"/>
      <c r="P59" s="74"/>
    </row>
    <row r="60" spans="1:16">
      <c r="F60" s="2" t="s">
        <v>9</v>
      </c>
      <c r="J60" s="74"/>
      <c r="K60" s="74"/>
      <c r="L60" s="74"/>
      <c r="M60" s="74"/>
      <c r="N60" s="74"/>
      <c r="O60" s="74"/>
      <c r="P60" s="74"/>
    </row>
    <row r="61" spans="1:16">
      <c r="F61" s="57"/>
      <c r="J61" s="74"/>
      <c r="K61" s="74"/>
      <c r="L61" s="74"/>
      <c r="M61" s="74"/>
      <c r="N61" s="74"/>
      <c r="O61" s="74"/>
      <c r="P61" s="74"/>
    </row>
    <row r="62" spans="1:16">
      <c r="F62" s="8" t="s">
        <v>8</v>
      </c>
      <c r="J62" s="74"/>
      <c r="K62" s="74"/>
      <c r="L62" s="74"/>
      <c r="M62" s="74"/>
      <c r="N62" s="74"/>
      <c r="O62" s="74"/>
      <c r="P62" s="74"/>
    </row>
    <row r="63" spans="1:16">
      <c r="F63" s="9" t="s">
        <v>0</v>
      </c>
      <c r="J63" s="74"/>
      <c r="K63" s="74"/>
      <c r="L63" s="74"/>
      <c r="M63" s="74"/>
      <c r="N63" s="74"/>
      <c r="O63" s="74"/>
      <c r="P63" s="74"/>
    </row>
    <row r="64" spans="1:16" ht="12">
      <c r="A64" s="1"/>
      <c r="F64" s="7"/>
      <c r="J64" s="74"/>
      <c r="K64" s="74"/>
      <c r="L64" s="74"/>
      <c r="M64" s="74"/>
      <c r="N64" s="74"/>
      <c r="O64" s="74"/>
      <c r="P64" s="74"/>
    </row>
    <row r="65" spans="1:16" ht="12">
      <c r="A65" s="1"/>
      <c r="F65" s="7"/>
      <c r="J65" s="74"/>
      <c r="K65" s="74"/>
      <c r="L65" s="74"/>
      <c r="M65" s="74"/>
      <c r="N65" s="74"/>
      <c r="O65" s="74"/>
      <c r="P65" s="74"/>
    </row>
    <row r="66" spans="1:16" ht="12">
      <c r="A66" s="1"/>
      <c r="F66" s="7"/>
      <c r="J66" s="74"/>
      <c r="K66" s="74"/>
      <c r="L66" s="74"/>
      <c r="M66" s="74"/>
      <c r="N66" s="74"/>
      <c r="O66" s="74"/>
      <c r="P66" s="74"/>
    </row>
    <row r="67" spans="1:16" ht="12">
      <c r="A67" s="1"/>
      <c r="F67" s="7"/>
      <c r="J67" s="74"/>
      <c r="K67" s="74"/>
      <c r="L67" s="74"/>
      <c r="M67" s="74"/>
      <c r="N67" s="74"/>
      <c r="O67" s="74"/>
      <c r="P67" s="74"/>
    </row>
    <row r="68" spans="1:16" ht="12">
      <c r="A68" s="1"/>
      <c r="F68" s="7"/>
      <c r="J68" s="74"/>
      <c r="K68" s="74"/>
      <c r="L68" s="74"/>
      <c r="M68" s="74"/>
      <c r="N68" s="74"/>
      <c r="O68" s="74"/>
      <c r="P68" s="74"/>
    </row>
    <row r="69" spans="1:16" ht="12">
      <c r="A69" s="1"/>
      <c r="F69" s="7"/>
      <c r="J69" s="74"/>
      <c r="K69" s="74"/>
      <c r="L69" s="74"/>
      <c r="M69" s="74"/>
      <c r="N69" s="74"/>
      <c r="O69" s="74"/>
      <c r="P69" s="74"/>
    </row>
    <row r="70" spans="1:16" ht="12">
      <c r="A70" s="1"/>
      <c r="F70" s="7"/>
      <c r="J70" s="74"/>
      <c r="K70" s="74"/>
      <c r="L70" s="74"/>
      <c r="M70" s="74"/>
      <c r="N70" s="74"/>
      <c r="O70" s="74"/>
      <c r="P70" s="74"/>
    </row>
    <row r="71" spans="1:16" ht="12">
      <c r="A71" s="1"/>
      <c r="F71" s="7"/>
      <c r="J71" s="74"/>
      <c r="K71" s="74"/>
      <c r="L71" s="74"/>
      <c r="M71" s="74"/>
      <c r="N71" s="74"/>
      <c r="O71" s="74"/>
      <c r="P71" s="74"/>
    </row>
    <row r="72" spans="1:16" ht="12">
      <c r="A72" s="1"/>
      <c r="F72" s="7"/>
      <c r="J72" s="74"/>
      <c r="K72" s="74"/>
      <c r="L72" s="74"/>
      <c r="M72" s="74"/>
      <c r="N72" s="74"/>
      <c r="O72" s="74"/>
      <c r="P72" s="74"/>
    </row>
    <row r="73" spans="1:16" ht="12">
      <c r="A73" s="1"/>
      <c r="F73" s="7"/>
      <c r="J73" s="74"/>
      <c r="K73" s="74"/>
      <c r="L73" s="74"/>
      <c r="M73" s="74"/>
      <c r="N73" s="74"/>
      <c r="O73" s="74"/>
      <c r="P73" s="74"/>
    </row>
    <row r="74" spans="1:16" ht="12">
      <c r="A74" s="1"/>
      <c r="F74" s="7"/>
      <c r="J74" s="74"/>
      <c r="K74" s="74"/>
      <c r="L74" s="74"/>
      <c r="M74" s="74"/>
      <c r="N74" s="74"/>
      <c r="O74" s="74"/>
      <c r="P74" s="74"/>
    </row>
    <row r="75" spans="1:16" ht="12">
      <c r="A75" s="1"/>
      <c r="F75" s="7"/>
      <c r="J75" s="74"/>
      <c r="K75" s="74"/>
      <c r="L75" s="74"/>
      <c r="M75" s="74"/>
      <c r="N75" s="74"/>
      <c r="O75" s="74"/>
      <c r="P75" s="74"/>
    </row>
    <row r="76" spans="1:16" ht="12">
      <c r="A76" s="1"/>
      <c r="F76" s="9" t="s">
        <v>1</v>
      </c>
    </row>
    <row r="77" spans="1:16">
      <c r="F77" s="7"/>
    </row>
    <row r="78" spans="1:16">
      <c r="F78" s="7"/>
    </row>
    <row r="79" spans="1:16">
      <c r="F79" s="18"/>
    </row>
    <row r="80" spans="1:16">
      <c r="F80" s="9" t="s">
        <v>4</v>
      </c>
    </row>
    <row r="81" spans="6:6">
      <c r="F81" s="7"/>
    </row>
    <row r="82" spans="6:6">
      <c r="F82" s="7"/>
    </row>
    <row r="83" spans="6:6">
      <c r="F83" s="18"/>
    </row>
    <row r="84" spans="6:6">
      <c r="F84" s="9" t="s">
        <v>2</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F78FCEE2-27EF-48E6-AFF4-756CA91F7F85}"/>
    <hyperlink ref="B7" location="FS!A1" display="요약재무상태표 (Selected Balance sheet)" xr:uid="{81742FEF-1926-45C8-A888-E03969A18B06}"/>
    <hyperlink ref="C15" location="Stability!A1" display="재무 안정성 (Financial Stability)" xr:uid="{9596DB87-CF90-4400-9F3E-9B27042E2B57}"/>
    <hyperlink ref="C16" location="Productivity!A1" display="생산성 / 경영효율 (Productivity / Operating Efficiency)" xr:uid="{1C31012B-DD16-4FCD-9697-4ED793CE5A77}"/>
    <hyperlink ref="C20" location="'Premium Income by P.T.(GA+SA)'!A1" display="상품별 수입보험료 (Premium Income)" xr:uid="{CA1A4B5C-2989-40DC-8A2E-497F518DA901}"/>
    <hyperlink ref="C21" location="'Initial P. by P.T.'!A1" display="상품별 초회보험료 (Initial Premium)" xr:uid="{32AFFC67-A709-4BE0-AE07-7ECD39DFA60C}"/>
    <hyperlink ref="C22" location="'First-year P. by P.T.'!A1" display="상품별 초년도보험료 (First Year Premium)" xr:uid="{E71964C8-FAB5-434E-8F12-1E87205504BF}"/>
    <hyperlink ref="C26" location="'Premium Income by D.C.(GA+SA)'!A1" display="채널별 수입보험료 (Premium Income)" xr:uid="{91628F64-D25B-4B08-B2D3-F92ED3DF54B7}"/>
    <hyperlink ref="C27" location="'First-year P. by D.C'!A1" display="채널별 초년도보험료 (First Year Premium)" xr:uid="{CB87612C-1A7B-4745-AFF6-67CAC34E9DBA}"/>
    <hyperlink ref="C31" location="'&gt;Loan'!A1" display="대출 (Loan)/ 자산건전성 (Asset Quality of Loan)" xr:uid="{ECC5A1D0-110A-400D-B526-A6716CF2674E}"/>
    <hyperlink ref="C32" location="'&gt;Bond'!A1" display="채권 (Bond)" xr:uid="{8F5AF55A-6222-48C5-9A63-0CCF791451CB}"/>
    <hyperlink ref="C35" location="'BS  K-IFRS'!A1" display="재무상태표 (Balance Sheet - KIFRS)" xr:uid="{171699B4-FD1A-4EA9-8CAA-8574DC3D9BC6}"/>
    <hyperlink ref="C36" location="'IS  K-IFRS'!A1" display="손익계산서 (Income Statement - KIFRS)" xr:uid="{BD092B28-862A-4BCA-8884-004D40F40CC5}"/>
    <hyperlink ref="B8" location="FS!A1" display="요약손익계산서 (Selected Income Statement)" xr:uid="{3111DCAF-F39F-41C0-9544-80E4BFA69DFA}"/>
    <hyperlink ref="B10" location="CSM!A1" display="RA, CSM, BEL Movement" xr:uid="{2284BDA5-D247-4556-B23E-CD56326C2BEA}"/>
    <hyperlink ref="B11" location="CSM!A1" display="신계약 CSM (New Business CSM)" xr:uid="{5358D899-E7CB-48CB-AF86-2985F9977EB2}"/>
    <hyperlink ref="B13" location="'Sources of Margin'!A1" display="이원별손익" xr:uid="{A74F8D58-206D-4F47-8231-951DA8CBF3A9}"/>
    <hyperlink ref="B12" location="CSM!A1" display="신계약 CSM 배수 (New Business CSM Margin)" xr:uid="{D7BD63F0-8B22-4008-9B6E-543CC347663D}"/>
    <hyperlink ref="C19" location="'APE by P.T'!A1" display="상품별 APE (Annualized Premium Equivalent (APE))" xr:uid="{965CDE37-4727-40F0-B5C2-D1C7A629026D}"/>
    <hyperlink ref="C25" location="'APE by D.C'!A1" display="채널별 APE (Annualized Premium Equivalent (APE))" xr:uid="{E6B03827-D34E-4D85-9542-FE4E1682357C}"/>
  </hyperlinks>
  <pageMargins left="0.19685039370078741" right="0.19685039370078741" top="0.74803149606299213" bottom="0.74803149606299213" header="0.31496062992125984" footer="0.31496062992125984"/>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137"/>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6384" width="9.140625" style="1"/>
  </cols>
  <sheetData>
    <row r="1" spans="1:16" s="3" customFormat="1" ht="24" customHeight="1">
      <c r="A1" s="6"/>
      <c r="F1" s="92" t="s">
        <v>108</v>
      </c>
      <c r="G1" s="92"/>
      <c r="H1" s="93"/>
      <c r="I1" s="93"/>
    </row>
    <row r="2" spans="1:16" ht="12" customHeight="1">
      <c r="A2" s="140"/>
      <c r="B2" s="141"/>
      <c r="C2" s="141"/>
      <c r="F2" s="99" t="s">
        <v>106</v>
      </c>
      <c r="G2" s="112"/>
      <c r="H2" s="112"/>
      <c r="I2" s="112"/>
    </row>
    <row r="3" spans="1:16" ht="12" customHeight="1">
      <c r="A3" s="140" t="s">
        <v>27</v>
      </c>
      <c r="B3" s="141"/>
      <c r="C3" s="141"/>
      <c r="F3" s="117"/>
      <c r="G3" s="113"/>
      <c r="H3" s="113"/>
      <c r="I3" s="114"/>
      <c r="J3" s="856" t="s">
        <v>82</v>
      </c>
      <c r="K3" s="855"/>
      <c r="L3" s="854" t="s">
        <v>83</v>
      </c>
      <c r="M3" s="854"/>
      <c r="N3" s="855"/>
      <c r="O3" s="113"/>
      <c r="P3" s="113"/>
    </row>
    <row r="4" spans="1:16" ht="12" customHeight="1">
      <c r="A4" s="140"/>
      <c r="B4" s="141"/>
      <c r="C4" s="141"/>
      <c r="F4" s="84" t="s">
        <v>81</v>
      </c>
      <c r="G4" s="115"/>
      <c r="H4" s="115"/>
      <c r="I4" s="116"/>
      <c r="J4" s="776">
        <v>46022</v>
      </c>
      <c r="K4" s="187">
        <v>45657</v>
      </c>
      <c r="L4" s="776">
        <v>46022</v>
      </c>
      <c r="M4" s="259">
        <v>45657</v>
      </c>
      <c r="N4" s="266">
        <v>45930</v>
      </c>
      <c r="O4" s="262" t="s">
        <v>23</v>
      </c>
      <c r="P4" s="110" t="s">
        <v>24</v>
      </c>
    </row>
    <row r="5" spans="1:16" ht="12" customHeight="1">
      <c r="A5" s="150"/>
      <c r="B5" s="140" t="s">
        <v>155</v>
      </c>
      <c r="C5" s="140"/>
      <c r="F5" s="118" t="s">
        <v>109</v>
      </c>
      <c r="G5" s="118"/>
      <c r="H5" s="118"/>
      <c r="I5" s="119"/>
      <c r="J5" s="320">
        <v>143.71544951610002</v>
      </c>
      <c r="K5" s="321">
        <v>162.22992449629999</v>
      </c>
      <c r="L5" s="29">
        <v>36.836550364300003</v>
      </c>
      <c r="M5" s="28">
        <v>41.428641777700001</v>
      </c>
      <c r="N5" s="63">
        <v>35.951619016400002</v>
      </c>
      <c r="O5" s="328">
        <f>IF(J5/K5&lt;0,"n.a.",IF(K5&gt;0,ROUND(J5,4)/ROUND(K5,4)-1,IF(K5&lt;0,"n.a.")))</f>
        <v>-0.11412507805281269</v>
      </c>
      <c r="P5" s="31">
        <f>IF(L5/N5&lt;0,"n.a.",IF(N5&gt;0,ROUND(L5,4)/ROUND(N5,4)-1,IF(N5&lt;0,"n.a.")))</f>
        <v>2.4616428754213882E-2</v>
      </c>
    </row>
    <row r="6" spans="1:16" ht="12" customHeight="1">
      <c r="A6" s="150"/>
      <c r="B6" s="149"/>
      <c r="C6" s="141"/>
      <c r="F6" s="120"/>
      <c r="G6" s="120" t="s">
        <v>110</v>
      </c>
      <c r="H6" s="120"/>
      <c r="I6" s="121"/>
      <c r="J6" s="393">
        <v>141.29209110940002</v>
      </c>
      <c r="K6" s="323">
        <v>159.45802485479999</v>
      </c>
      <c r="L6" s="33">
        <v>35.968128820700002</v>
      </c>
      <c r="M6" s="32">
        <v>40.881235736299999</v>
      </c>
      <c r="N6" s="64">
        <v>35.191791390200002</v>
      </c>
      <c r="O6" s="329">
        <f>IF(J6/K6&lt;0,"n.a.",IF(K6&gt;0,ROUND(J6,4)/ROUND(K6,4)-1,IF(K6&lt;0,"n.a.")))</f>
        <v>-0.11392278844586035</v>
      </c>
      <c r="P6" s="15">
        <f>IF(L6/N6&lt;0,"n.a.",IF(N6&gt;0,ROUND(L6,4)/ROUND(N6,4)-1,IF(N6&lt;0,"n.a.")))</f>
        <v>2.2059116044078397E-2</v>
      </c>
    </row>
    <row r="7" spans="1:16" ht="12" customHeight="1">
      <c r="A7" s="150"/>
      <c r="B7" s="149" t="s">
        <v>212</v>
      </c>
      <c r="C7" s="141"/>
      <c r="F7" s="122"/>
      <c r="G7" s="123" t="s">
        <v>111</v>
      </c>
      <c r="H7" s="123"/>
      <c r="I7" s="124"/>
      <c r="J7" s="324">
        <f>J6/J5</f>
        <v>0.98313780171262299</v>
      </c>
      <c r="K7" s="325">
        <f>K6/K5</f>
        <v>0.98291375866624886</v>
      </c>
      <c r="L7" s="73">
        <f>L6/L5</f>
        <v>0.97642500356272155</v>
      </c>
      <c r="M7" s="71">
        <f>M6/M5</f>
        <v>0.98678677316197561</v>
      </c>
      <c r="N7" s="72">
        <f>N6/N5</f>
        <v>0.97886527374877363</v>
      </c>
      <c r="O7" s="330">
        <f>J7-K7</f>
        <v>2.2404304637413386E-4</v>
      </c>
      <c r="P7" s="147">
        <f>L7-N7</f>
        <v>-2.4402701860520848E-3</v>
      </c>
    </row>
    <row r="8" spans="1:16" ht="12" customHeight="1">
      <c r="A8" s="150"/>
      <c r="B8" s="149" t="s">
        <v>213</v>
      </c>
      <c r="C8" s="141"/>
      <c r="F8" s="120"/>
      <c r="G8" s="120" t="s">
        <v>112</v>
      </c>
      <c r="H8" s="120"/>
      <c r="I8" s="121"/>
      <c r="J8" s="322">
        <v>2.4188234503999997</v>
      </c>
      <c r="K8" s="323">
        <v>2.7621255344999995</v>
      </c>
      <c r="L8" s="33">
        <v>0.86842154360000001</v>
      </c>
      <c r="M8" s="32">
        <v>0.54740604139999993</v>
      </c>
      <c r="N8" s="64">
        <v>0.75982762619999999</v>
      </c>
      <c r="O8" s="329">
        <f>IF(J8/K8&lt;0,"n.a.",IF(K8&gt;0,ROUND(J8,4)/ROUND(K8,4)-1,IF(K8&lt;0,"n.a.")))</f>
        <v>-0.12428948988088773</v>
      </c>
      <c r="P8" s="35">
        <f>IF(L8/N8&lt;0,"n.a.",IF(N8&gt;0,ROUND(L8,4)/ROUND(N8,4)-1,IF(N8&lt;0,"n.a.")))</f>
        <v>0.14293235061858378</v>
      </c>
    </row>
    <row r="9" spans="1:16" ht="12" customHeight="1">
      <c r="A9" s="150"/>
      <c r="B9" s="149"/>
      <c r="C9" s="141"/>
      <c r="F9" s="120"/>
      <c r="G9" s="120" t="s">
        <v>113</v>
      </c>
      <c r="H9" s="120"/>
      <c r="I9" s="121"/>
      <c r="J9" s="322">
        <v>4.5349563000000002E-3</v>
      </c>
      <c r="K9" s="323">
        <v>9.7741070000000024E-3</v>
      </c>
      <c r="L9" s="33">
        <v>0</v>
      </c>
      <c r="M9" s="32">
        <v>0</v>
      </c>
      <c r="N9" s="64">
        <v>0</v>
      </c>
      <c r="O9" s="329">
        <f>IF(J9/K9&lt;0,"n.a.",IF(K9&gt;0,ROUND(J9,4)/ROUND(K9,4)-1,IF(K9&lt;0,"n.a.")))</f>
        <v>-0.54081632653061229</v>
      </c>
      <c r="P9" s="490"/>
    </row>
    <row r="10" spans="1:16" ht="12" customHeight="1">
      <c r="A10" s="140"/>
      <c r="B10" s="149" t="s">
        <v>171</v>
      </c>
      <c r="C10" s="141"/>
      <c r="F10" s="118" t="s">
        <v>114</v>
      </c>
      <c r="G10" s="118"/>
      <c r="H10" s="118"/>
      <c r="I10" s="119"/>
      <c r="J10" s="320">
        <v>33.018573939100001</v>
      </c>
      <c r="K10" s="321">
        <v>42.938502790000001</v>
      </c>
      <c r="L10" s="29">
        <v>8.2236965413000007</v>
      </c>
      <c r="M10" s="28">
        <v>9.7889694880000011</v>
      </c>
      <c r="N10" s="63">
        <v>8.0142472069999986</v>
      </c>
      <c r="O10" s="328">
        <f>IF(J10/K10&lt;0,"n.a.",IF(K10&gt;0,ROUND(J10,4)/ROUND(K10,4)-1,IF(K10&lt;0,"n.a.")))</f>
        <v>-0.23102576941439501</v>
      </c>
      <c r="P10" s="31">
        <f>IF(L10/N10&lt;0,"n.a.",IF(N10&gt;0,ROUND(L10,4)/ROUND(N10,4)-1,IF(N10&lt;0,"n.a.")))</f>
        <v>2.6141099548301572E-2</v>
      </c>
    </row>
    <row r="11" spans="1:16" ht="12" customHeight="1">
      <c r="A11" s="140"/>
      <c r="B11" s="149" t="s">
        <v>166</v>
      </c>
      <c r="C11" s="141"/>
      <c r="F11" s="120"/>
      <c r="G11" s="120" t="s">
        <v>110</v>
      </c>
      <c r="H11" s="120"/>
      <c r="I11" s="121"/>
      <c r="J11" s="393">
        <v>32.364300813</v>
      </c>
      <c r="K11" s="494">
        <v>42.451227738</v>
      </c>
      <c r="L11" s="33">
        <v>8.0560799500000009</v>
      </c>
      <c r="M11" s="32">
        <v>9.6685875279999998</v>
      </c>
      <c r="N11" s="64">
        <v>7.8481014469999995</v>
      </c>
      <c r="O11" s="329">
        <f>IF(J11/K11&lt;0,"n.a.",IF(K11&gt;0,ROUND(J11,4)/ROUND(K11,4)-1,IF(K11&lt;0,"n.a.")))</f>
        <v>-0.23761165762098602</v>
      </c>
      <c r="P11" s="35">
        <f>IF(L11/N11&lt;0,"n.a.",IF(N11&gt;0,ROUND(L11,4)/ROUND(N11,4)-1,IF(N11&lt;0,"n.a.")))</f>
        <v>2.6503230081166285E-2</v>
      </c>
    </row>
    <row r="12" spans="1:16" ht="12" customHeight="1">
      <c r="A12" s="140"/>
      <c r="B12" s="149" t="s">
        <v>222</v>
      </c>
      <c r="C12" s="141"/>
      <c r="F12" s="122"/>
      <c r="G12" s="123" t="s">
        <v>111</v>
      </c>
      <c r="H12" s="123"/>
      <c r="I12" s="124"/>
      <c r="J12" s="324">
        <f>J11/J10</f>
        <v>0.9801846946113798</v>
      </c>
      <c r="K12" s="325">
        <f>K11/K10</f>
        <v>0.98865179220656285</v>
      </c>
      <c r="L12" s="73">
        <f>L11/L10</f>
        <v>0.97961785305936122</v>
      </c>
      <c r="M12" s="71">
        <f>M11/M10</f>
        <v>0.9877022846840442</v>
      </c>
      <c r="N12" s="72">
        <f>N11/N10</f>
        <v>0.97926870038961611</v>
      </c>
      <c r="O12" s="330">
        <f>J12-K12</f>
        <v>-8.4670975951830485E-3</v>
      </c>
      <c r="P12" s="147">
        <f>L12-N12</f>
        <v>3.4915266974511194E-4</v>
      </c>
    </row>
    <row r="13" spans="1:16" ht="12" customHeight="1">
      <c r="A13" s="140"/>
      <c r="B13" s="149"/>
      <c r="C13" s="141"/>
      <c r="F13" s="120"/>
      <c r="G13" s="120" t="s">
        <v>112</v>
      </c>
      <c r="H13" s="120"/>
      <c r="I13" s="121"/>
      <c r="J13" s="322">
        <v>7.1586933199999994E-2</v>
      </c>
      <c r="K13" s="323">
        <v>5.1312494399999999E-2</v>
      </c>
      <c r="L13" s="33">
        <v>3.2327525500000003E-2</v>
      </c>
      <c r="M13" s="32">
        <v>1.1999999999999999E-3</v>
      </c>
      <c r="N13" s="64">
        <v>2.9659407699999998E-2</v>
      </c>
      <c r="O13" s="329">
        <f>IF(J13/K13&lt;0,"n.a.",IF(K13&gt;0,ROUND(J13,4)/ROUND(K13,4)-1,IF(K13&lt;0,"n.a.")))</f>
        <v>0.39571150097465879</v>
      </c>
      <c r="P13" s="35">
        <f>IF(L13/N13&lt;0,"n.a.",IF(N13&gt;0,ROUND(L13,4)/ROUND(N13,4)-1,IF(N13&lt;0,"n.a.")))</f>
        <v>8.7542087542087588E-2</v>
      </c>
    </row>
    <row r="14" spans="1:16" ht="12" customHeight="1">
      <c r="A14" s="140"/>
      <c r="B14" s="140" t="s">
        <v>173</v>
      </c>
      <c r="C14" s="141"/>
      <c r="F14" s="125"/>
      <c r="G14" s="120" t="s">
        <v>113</v>
      </c>
      <c r="H14" s="125"/>
      <c r="I14" s="126"/>
      <c r="J14" s="326">
        <v>0.5826861928999999</v>
      </c>
      <c r="K14" s="323">
        <v>0.43596255759999997</v>
      </c>
      <c r="L14" s="37">
        <v>0.1352890658</v>
      </c>
      <c r="M14" s="32">
        <v>0.11918195999999999</v>
      </c>
      <c r="N14" s="64">
        <v>0.1364863523</v>
      </c>
      <c r="O14" s="331">
        <f>IF(J14/K14&lt;0,"n.a.",IF(K14&gt;0,ROUND(J14,4)/ROUND(K14,4)-1,IF(K14&lt;0,"n.a.")))</f>
        <v>0.33646788990825693</v>
      </c>
      <c r="P14" s="443">
        <f>IF(L14/N14&lt;0,"n.a.",IF(N14&gt;0,ROUND(L14,4)/ROUND(N14,4)-1,IF(N14&lt;0,"n.a.")))</f>
        <v>-8.791208791208871E-3</v>
      </c>
    </row>
    <row r="15" spans="1:16" ht="12" customHeight="1">
      <c r="A15" s="140"/>
      <c r="B15" s="142"/>
      <c r="C15" s="149" t="s">
        <v>40</v>
      </c>
      <c r="F15" s="118" t="s">
        <v>115</v>
      </c>
      <c r="G15" s="118"/>
      <c r="H15" s="118"/>
      <c r="I15" s="119"/>
      <c r="J15" s="320">
        <v>321.64830844869999</v>
      </c>
      <c r="K15" s="321">
        <v>529.6153991768</v>
      </c>
      <c r="L15" s="29">
        <v>67.985086787299991</v>
      </c>
      <c r="M15" s="28">
        <v>121.69042991539999</v>
      </c>
      <c r="N15" s="63">
        <v>73.136938268600005</v>
      </c>
      <c r="O15" s="328">
        <f>IF(J15/K15&lt;0,"n.a.",IF(K15&gt;0,ROUND(J15,4)/ROUND(K15,4)-1,IF(K15&lt;0,"n.a.")))</f>
        <v>-0.39267570391646467</v>
      </c>
      <c r="P15" s="31">
        <f>IF(L15/N15&lt;0,"n.a.",IF(N15&gt;0,ROUND(L15,4)/ROUND(N15,4)-1,IF(N15&lt;0,"n.a.")))</f>
        <v>-7.0440502673752792E-2</v>
      </c>
    </row>
    <row r="16" spans="1:16" ht="12" customHeight="1">
      <c r="A16" s="140"/>
      <c r="B16" s="140"/>
      <c r="C16" s="149" t="s">
        <v>41</v>
      </c>
      <c r="F16" s="120"/>
      <c r="G16" s="120" t="s">
        <v>110</v>
      </c>
      <c r="H16" s="120"/>
      <c r="I16" s="121"/>
      <c r="J16" s="393">
        <v>320.06981883340001</v>
      </c>
      <c r="K16" s="323">
        <v>526.69404375780005</v>
      </c>
      <c r="L16" s="33">
        <v>67.801114894999998</v>
      </c>
      <c r="M16" s="32">
        <v>121.24041463949999</v>
      </c>
      <c r="N16" s="64">
        <v>72.7256077256</v>
      </c>
      <c r="O16" s="329">
        <f>IF(J16/K16&lt;0,"n.a.",IF(K16&gt;0,ROUND(J16,4)/ROUND(K16,4)-1,IF(K16&lt;0,"n.a.")))</f>
        <v>-0.39230407029508596</v>
      </c>
      <c r="P16" s="35">
        <f>IF(L16/N16&lt;0,"n.a.",IF(N16&gt;0,ROUND(L16,4)/ROUND(N16,4)-1,IF(N16&lt;0,"n.a.")))</f>
        <v>-6.771343240894534E-2</v>
      </c>
    </row>
    <row r="17" spans="1:17" ht="12" customHeight="1">
      <c r="A17" s="140"/>
      <c r="B17" s="140"/>
      <c r="C17" s="149"/>
      <c r="F17" s="122"/>
      <c r="G17" s="123" t="s">
        <v>111</v>
      </c>
      <c r="H17" s="123"/>
      <c r="I17" s="124"/>
      <c r="J17" s="324">
        <f>J16/J15</f>
        <v>0.99509249831621072</v>
      </c>
      <c r="K17" s="325">
        <f>K16/K15</f>
        <v>0.99448400589646613</v>
      </c>
      <c r="L17" s="73">
        <f>L16/L15</f>
        <v>0.99729393752374584</v>
      </c>
      <c r="M17" s="71">
        <f>M16/M15</f>
        <v>0.99630196658674919</v>
      </c>
      <c r="N17" s="72">
        <f>N16/N15</f>
        <v>0.99437588511718433</v>
      </c>
      <c r="O17" s="330">
        <f>J17-K17</f>
        <v>6.0849241974458845E-4</v>
      </c>
      <c r="P17" s="147">
        <f>L17-N17</f>
        <v>2.918052406561511E-3</v>
      </c>
    </row>
    <row r="18" spans="1:17" s="40" customFormat="1" ht="12" customHeight="1">
      <c r="A18" s="140"/>
      <c r="B18" s="140" t="s">
        <v>176</v>
      </c>
      <c r="C18" s="149"/>
      <c r="D18" s="1"/>
      <c r="E18" s="1"/>
      <c r="F18" s="120"/>
      <c r="G18" s="120" t="s">
        <v>112</v>
      </c>
      <c r="H18" s="120"/>
      <c r="I18" s="121"/>
      <c r="J18" s="322">
        <v>1.5729599987</v>
      </c>
      <c r="K18" s="323">
        <v>2.7564436609000005</v>
      </c>
      <c r="L18" s="33">
        <v>0.18397189230000002</v>
      </c>
      <c r="M18" s="32">
        <v>0.4493938348</v>
      </c>
      <c r="N18" s="64">
        <v>0.40580092639999998</v>
      </c>
      <c r="O18" s="329">
        <f>IF(J18/K18&lt;0,"n.a.",IF(K18&gt;0,ROUND(J18,4)/ROUND(K18,4)-1,IF(K18&lt;0,"n.a.")))</f>
        <v>-0.42932810912784802</v>
      </c>
      <c r="P18" s="35">
        <f>IF(L18/N18&lt;0,"n.a.",IF(N18&gt;0,ROUND(L18,4)/ROUND(N18,4)-1,IF(N18&lt;0,"n.a.")))</f>
        <v>-0.54657466732380477</v>
      </c>
    </row>
    <row r="19" spans="1:17" ht="12" customHeight="1">
      <c r="A19" s="140"/>
      <c r="B19" s="140"/>
      <c r="C19" s="149" t="s">
        <v>33</v>
      </c>
      <c r="F19" s="125"/>
      <c r="G19" s="120" t="s">
        <v>113</v>
      </c>
      <c r="H19" s="125"/>
      <c r="I19" s="126"/>
      <c r="J19" s="326">
        <v>5.5296165999999996E-3</v>
      </c>
      <c r="K19" s="323">
        <v>0.1649117581</v>
      </c>
      <c r="L19" s="37">
        <v>0</v>
      </c>
      <c r="M19" s="32">
        <v>6.2144110000000006E-4</v>
      </c>
      <c r="N19" s="64">
        <v>5.5296165999999996E-3</v>
      </c>
      <c r="O19" s="331"/>
      <c r="P19" s="39"/>
    </row>
    <row r="20" spans="1:17" ht="12" customHeight="1">
      <c r="A20" s="140"/>
      <c r="B20" s="140"/>
      <c r="C20" s="149" t="s">
        <v>29</v>
      </c>
      <c r="F20" s="118" t="s">
        <v>116</v>
      </c>
      <c r="G20" s="118"/>
      <c r="H20" s="118"/>
      <c r="I20" s="119"/>
      <c r="J20" s="320">
        <v>168.10391758579999</v>
      </c>
      <c r="K20" s="321">
        <v>184.94196559090003</v>
      </c>
      <c r="L20" s="29">
        <v>30.2349898728</v>
      </c>
      <c r="M20" s="28">
        <v>46.165159266900005</v>
      </c>
      <c r="N20" s="63">
        <v>65.980786325099999</v>
      </c>
      <c r="O20" s="328">
        <f>IF(J20/K20&lt;0,"n.a.",IF(K20&gt;0,ROUND(J20,4)/ROUND(K20,4)-1,IF(K20&lt;0,"n.a.")))</f>
        <v>-9.1045300688864628E-2</v>
      </c>
      <c r="P20" s="31">
        <f>IF(L20/N20&lt;0,"n.a.",IF(N20&gt;0,ROUND(L20,4)/ROUND(N20,4)-1,IF(N20&lt;0,"n.a.")))</f>
        <v>-0.54176063339638203</v>
      </c>
    </row>
    <row r="21" spans="1:17" ht="12" customHeight="1">
      <c r="A21" s="140"/>
      <c r="B21" s="140"/>
      <c r="C21" s="149" t="s">
        <v>30</v>
      </c>
      <c r="F21" s="120"/>
      <c r="G21" s="120" t="s">
        <v>110</v>
      </c>
      <c r="H21" s="120"/>
      <c r="I21" s="121"/>
      <c r="J21" s="393">
        <v>132.89129667499998</v>
      </c>
      <c r="K21" s="323">
        <v>133.43845112800003</v>
      </c>
      <c r="L21" s="33">
        <v>23.113334627</v>
      </c>
      <c r="M21" s="32">
        <v>46.098746076000005</v>
      </c>
      <c r="N21" s="64">
        <v>40.472165212</v>
      </c>
      <c r="O21" s="329">
        <f>IF(J21/K21&lt;0,"n.a.",IF(K21&gt;0,ROUND(J21,4)/ROUND(K21,4)-1,IF(K21&lt;0,"n.a.")))</f>
        <v>-4.1007655211952043E-3</v>
      </c>
      <c r="P21" s="35">
        <f>IF(L21/N21&lt;0,"n.a.",IF(N21&gt;0,ROUND(L21,4)/ROUND(N21,4)-1,IF(N21&lt;0,"n.a.")))</f>
        <v>-0.42890922658022057</v>
      </c>
    </row>
    <row r="22" spans="1:17" ht="12" customHeight="1">
      <c r="A22" s="140"/>
      <c r="B22" s="140"/>
      <c r="C22" s="149" t="s">
        <v>31</v>
      </c>
      <c r="F22" s="122"/>
      <c r="G22" s="123" t="s">
        <v>111</v>
      </c>
      <c r="H22" s="123"/>
      <c r="I22" s="124"/>
      <c r="J22" s="324">
        <f>J21/J20</f>
        <v>0.79053063476151564</v>
      </c>
      <c r="K22" s="325">
        <f>K21/K20</f>
        <v>0.72151526400001553</v>
      </c>
      <c r="L22" s="73">
        <f>L21/L20</f>
        <v>0.76445650301980805</v>
      </c>
      <c r="M22" s="71">
        <f>M21/M20</f>
        <v>0.99856140015642447</v>
      </c>
      <c r="N22" s="72">
        <f>N21/N20</f>
        <v>0.61339319317271956</v>
      </c>
      <c r="O22" s="330">
        <f>J22-K22</f>
        <v>6.9015370761500106E-2</v>
      </c>
      <c r="P22" s="147">
        <f>L22-N22</f>
        <v>0.15106330984708849</v>
      </c>
    </row>
    <row r="23" spans="1:17" ht="12" customHeight="1">
      <c r="A23" s="140"/>
      <c r="B23" s="140"/>
      <c r="C23" s="149"/>
      <c r="F23" s="120"/>
      <c r="G23" s="120" t="s">
        <v>112</v>
      </c>
      <c r="H23" s="120"/>
      <c r="I23" s="121"/>
      <c r="J23" s="322">
        <v>35.212620910800005</v>
      </c>
      <c r="K23" s="323">
        <v>48.712263262899995</v>
      </c>
      <c r="L23" s="33">
        <v>7.1216552458000004</v>
      </c>
      <c r="M23" s="32">
        <v>6.7413190900000003E-2</v>
      </c>
      <c r="N23" s="64">
        <v>25.508621113100002</v>
      </c>
      <c r="O23" s="329">
        <f>IF(J23/K23&lt;0,"n.a.",IF(K23&gt;0,ROUND(J23,4)/ROUND(K23,4)-1,IF(K23&lt;0,"n.a.")))</f>
        <v>-0.27713123790089977</v>
      </c>
      <c r="P23" s="35">
        <f>IF(L23/N23&lt;0,"n.a.",IF(N23&gt;0,ROUND(L23,4)/ROUND(N23,4)-1,IF(N23&lt;0,"n.a.")))</f>
        <v>-0.72081180464627614</v>
      </c>
    </row>
    <row r="24" spans="1:17" ht="12" customHeight="1">
      <c r="A24" s="140"/>
      <c r="B24" s="140" t="s">
        <v>181</v>
      </c>
      <c r="C24" s="149"/>
      <c r="F24" s="125"/>
      <c r="G24" s="125" t="s">
        <v>113</v>
      </c>
      <c r="H24" s="125"/>
      <c r="I24" s="126"/>
      <c r="J24" s="326">
        <v>0</v>
      </c>
      <c r="K24" s="323">
        <v>2.7912512</v>
      </c>
      <c r="L24" s="37">
        <v>0</v>
      </c>
      <c r="M24" s="778">
        <v>-1E-3</v>
      </c>
      <c r="N24" s="64">
        <v>0</v>
      </c>
      <c r="O24" s="331"/>
      <c r="P24" s="443"/>
    </row>
    <row r="25" spans="1:17" ht="12" customHeight="1">
      <c r="A25" s="140"/>
      <c r="B25" s="140"/>
      <c r="C25" s="149" t="s">
        <v>32</v>
      </c>
      <c r="F25" s="127" t="s">
        <v>117</v>
      </c>
      <c r="G25" s="127"/>
      <c r="H25" s="127"/>
      <c r="I25" s="128"/>
      <c r="J25" s="320">
        <f>SUM(J26,J28:J29)</f>
        <v>666.48624948970007</v>
      </c>
      <c r="K25" s="321">
        <f>SUM(K26,K28:K29)</f>
        <v>919.72579205400007</v>
      </c>
      <c r="L25" s="29">
        <f>SUM(L26,L28:L29)</f>
        <v>143.2803235657</v>
      </c>
      <c r="M25" s="28">
        <f>SUM(M26,M28:M29)</f>
        <v>219.07320044799999</v>
      </c>
      <c r="N25" s="63">
        <f>SUM(N26,N28:N29)</f>
        <v>183.08359081710003</v>
      </c>
      <c r="O25" s="592">
        <f>IF(J25/K25&lt;0,"n.a.",IF(K25&gt;0,ROUND(J25,4)/ROUND(K25,4)-1,IF(K25&lt;0,"n.a.")))</f>
        <v>-0.27534249881866968</v>
      </c>
      <c r="P25" s="350">
        <f>IF(L25/N25&lt;0,"n.a.",IF(N25&gt;0,ROUND(L25,4)/ROUND(N25,4)-1,IF(N25&lt;0,"n.a.")))</f>
        <v>-0.21740505430306145</v>
      </c>
      <c r="Q25" s="69"/>
    </row>
    <row r="26" spans="1:17" ht="12" customHeight="1">
      <c r="A26" s="140"/>
      <c r="B26" s="140"/>
      <c r="C26" s="149" t="s">
        <v>34</v>
      </c>
      <c r="F26" s="120"/>
      <c r="G26" s="120" t="s">
        <v>110</v>
      </c>
      <c r="H26" s="120"/>
      <c r="I26" s="121"/>
      <c r="J26" s="393">
        <f>SUM(J6,J11,J16,J21)</f>
        <v>626.61750743080006</v>
      </c>
      <c r="K26" s="323">
        <f>SUM(K6,K11,K16,K21)</f>
        <v>862.04174747859997</v>
      </c>
      <c r="L26" s="33">
        <f>SUM(L6,L11,L16,L21)</f>
        <v>134.93865829269998</v>
      </c>
      <c r="M26" s="32">
        <f>SUM(M6,M11,M16,M21)</f>
        <v>217.8889839798</v>
      </c>
      <c r="N26" s="64">
        <f>SUM(N6,N11,N16,N21)</f>
        <v>156.23766577480001</v>
      </c>
      <c r="O26" s="329">
        <f>IF(J26/K26&lt;0,"n.a.",IF(K26&gt;0,ROUND(J26,4)/ROUND(K26,4)-1,IF(K26&lt;0,"n.a.")))</f>
        <v>-0.27310070962924415</v>
      </c>
      <c r="P26" s="35">
        <f>IF(L26/N26&lt;0,"n.a.",IF(N26&gt;0,ROUND(L26,4)/ROUND(N26,4)-1,IF(N26&lt;0,"n.a.")))</f>
        <v>-0.13632433145137168</v>
      </c>
      <c r="Q26" s="69"/>
    </row>
    <row r="27" spans="1:17" ht="12" customHeight="1">
      <c r="A27" s="140"/>
      <c r="B27" s="140"/>
      <c r="C27" s="149" t="s">
        <v>35</v>
      </c>
      <c r="F27" s="120"/>
      <c r="G27" s="123" t="s">
        <v>111</v>
      </c>
      <c r="H27" s="123"/>
      <c r="I27" s="124"/>
      <c r="J27" s="324">
        <f>J26/J25</f>
        <v>0.94018069826732986</v>
      </c>
      <c r="K27" s="325">
        <f>K26/K25</f>
        <v>0.93728125809478957</v>
      </c>
      <c r="L27" s="73">
        <f>L26/L25</f>
        <v>0.94178080377397377</v>
      </c>
      <c r="M27" s="71">
        <f>M26/M25</f>
        <v>0.99459442567243139</v>
      </c>
      <c r="N27" s="72">
        <f>N26/N25</f>
        <v>0.85336793470956651</v>
      </c>
      <c r="O27" s="330">
        <f>J27-K27</f>
        <v>2.8994401725402907E-3</v>
      </c>
      <c r="P27" s="147">
        <f>L27-N27</f>
        <v>8.8412869064407262E-2</v>
      </c>
      <c r="Q27" s="69"/>
    </row>
    <row r="28" spans="1:17" ht="12" customHeight="1">
      <c r="A28" s="140"/>
      <c r="B28" s="140"/>
      <c r="C28" s="149"/>
      <c r="F28" s="120"/>
      <c r="G28" s="120" t="s">
        <v>112</v>
      </c>
      <c r="H28" s="120"/>
      <c r="I28" s="121"/>
      <c r="J28" s="322">
        <f>SUM(J8,J13,J18,J23)</f>
        <v>39.275991293100006</v>
      </c>
      <c r="K28" s="323">
        <f t="shared" ref="J28:N29" si="0">SUM(K8,K13,K18,K23)</f>
        <v>54.282144952699994</v>
      </c>
      <c r="L28" s="33">
        <f t="shared" si="0"/>
        <v>8.2063762071999999</v>
      </c>
      <c r="M28" s="32">
        <f t="shared" si="0"/>
        <v>1.0654130670999999</v>
      </c>
      <c r="N28" s="64">
        <f t="shared" si="0"/>
        <v>26.703909073400002</v>
      </c>
      <c r="O28" s="329">
        <f>IF(J28/K28&lt;0,"n.a.",IF(K28&gt;0,ROUND(J28,4)/ROUND(K28,4)-1,IF(K28&lt;0,"n.a.")))</f>
        <v>-0.27644656341593266</v>
      </c>
      <c r="P28" s="35">
        <f>IF(L28/N28&lt;0,"n.a.",IF(N28&gt;0,ROUND(L28,4)/ROUND(N28,4)-1,IF(N28&lt;0,"n.a.")))</f>
        <v>-0.69268908286804542</v>
      </c>
      <c r="Q28" s="69"/>
    </row>
    <row r="29" spans="1:17" ht="12" customHeight="1">
      <c r="A29" s="140"/>
      <c r="B29" s="140"/>
      <c r="C29" s="149"/>
      <c r="F29" s="125"/>
      <c r="G29" s="125" t="s">
        <v>113</v>
      </c>
      <c r="H29" s="125"/>
      <c r="I29" s="126"/>
      <c r="J29" s="326">
        <f t="shared" si="0"/>
        <v>0.59275076579999986</v>
      </c>
      <c r="K29" s="327">
        <f t="shared" si="0"/>
        <v>3.4018996227000002</v>
      </c>
      <c r="L29" s="37">
        <f t="shared" si="0"/>
        <v>0.1352890658</v>
      </c>
      <c r="M29" s="36">
        <f t="shared" si="0"/>
        <v>0.11880340109999998</v>
      </c>
      <c r="N29" s="61">
        <f t="shared" si="0"/>
        <v>0.14201596890000001</v>
      </c>
      <c r="O29" s="331">
        <f>IF(J29/K29&lt;0,"n.a.",IF(K29&gt;0,ROUND(J29,4)/ROUND(K29,4)-1,IF(K29&lt;0,"n.a.")))</f>
        <v>-0.82574443693230259</v>
      </c>
      <c r="P29" s="443">
        <f>IF(L29/N29&lt;0,"n.a.",IF(N29&gt;0,ROUND(L29,4)/ROUND(N29,4)-1,IF(N29&lt;0,"n.a.")))</f>
        <v>-4.7183098591549233E-2</v>
      </c>
      <c r="Q29" s="69"/>
    </row>
    <row r="30" spans="1:17" s="3" customFormat="1" ht="12" customHeight="1">
      <c r="A30" s="140"/>
      <c r="B30" s="140" t="s">
        <v>185</v>
      </c>
      <c r="C30" s="149"/>
      <c r="D30" s="1"/>
      <c r="E30" s="1"/>
      <c r="F30" s="7" t="s">
        <v>241</v>
      </c>
      <c r="G30" s="7"/>
      <c r="H30" s="7"/>
      <c r="I30" s="7"/>
      <c r="J30" s="7"/>
      <c r="K30" s="7"/>
      <c r="L30" s="7"/>
      <c r="M30" s="7"/>
      <c r="N30" s="7"/>
      <c r="O30" s="7"/>
      <c r="P30" s="7"/>
      <c r="Q30" s="7"/>
    </row>
    <row r="31" spans="1:17" ht="12" customHeight="1">
      <c r="A31" s="140"/>
      <c r="B31" s="140"/>
      <c r="C31" s="149" t="s">
        <v>147</v>
      </c>
      <c r="J31" s="191"/>
      <c r="K31" s="191"/>
      <c r="L31" s="60"/>
    </row>
    <row r="32" spans="1:17" ht="12" customHeight="1">
      <c r="A32" s="140"/>
      <c r="B32" s="140"/>
      <c r="C32" s="149" t="s">
        <v>36</v>
      </c>
      <c r="I32" s="663"/>
      <c r="J32" s="664"/>
      <c r="K32" s="664"/>
      <c r="L32" s="664"/>
      <c r="M32" s="664"/>
      <c r="N32" s="664"/>
    </row>
    <row r="33" spans="1:16" ht="12" customHeight="1">
      <c r="A33" s="140"/>
      <c r="B33" s="140"/>
      <c r="C33" s="149"/>
      <c r="J33" s="833"/>
      <c r="K33" s="664"/>
      <c r="L33" s="664"/>
      <c r="M33" s="664"/>
      <c r="N33" s="664"/>
    </row>
    <row r="34" spans="1:16" ht="12" customHeight="1">
      <c r="A34" s="140"/>
      <c r="B34" s="140" t="s">
        <v>188</v>
      </c>
      <c r="C34" s="149"/>
      <c r="J34" s="191"/>
      <c r="K34" s="664"/>
      <c r="L34" s="664"/>
      <c r="M34" s="664"/>
      <c r="N34" s="664"/>
    </row>
    <row r="35" spans="1:16" ht="12" customHeight="1">
      <c r="A35" s="140"/>
      <c r="B35" s="140"/>
      <c r="C35" s="149" t="s">
        <v>37</v>
      </c>
      <c r="J35" s="191"/>
      <c r="K35" s="664"/>
      <c r="L35" s="664"/>
      <c r="M35" s="664"/>
      <c r="N35" s="664"/>
    </row>
    <row r="36" spans="1:16" ht="12" customHeight="1">
      <c r="A36" s="140"/>
      <c r="B36" s="140"/>
      <c r="C36" s="149" t="s">
        <v>38</v>
      </c>
      <c r="J36" s="191"/>
      <c r="K36" s="664"/>
      <c r="L36" s="664"/>
      <c r="M36" s="664"/>
      <c r="N36" s="664"/>
      <c r="O36" s="69"/>
      <c r="P36" s="69"/>
    </row>
    <row r="37" spans="1:16" ht="12" customHeight="1">
      <c r="A37" s="25"/>
      <c r="J37" s="191"/>
      <c r="K37" s="664"/>
      <c r="L37" s="664"/>
      <c r="M37" s="664"/>
      <c r="N37" s="664"/>
      <c r="O37" s="69"/>
      <c r="P37" s="69"/>
    </row>
    <row r="38" spans="1:16" ht="12" customHeight="1">
      <c r="A38" s="25"/>
      <c r="J38" s="664"/>
      <c r="K38" s="664"/>
      <c r="L38" s="664"/>
      <c r="M38" s="664"/>
      <c r="N38" s="664"/>
      <c r="O38" s="69"/>
      <c r="P38" s="69"/>
    </row>
    <row r="39" spans="1:16" ht="12" customHeight="1">
      <c r="A39" s="25"/>
      <c r="J39" s="664"/>
      <c r="K39" s="664"/>
      <c r="L39" s="664"/>
      <c r="M39" s="664"/>
      <c r="N39" s="664"/>
      <c r="O39" s="69"/>
      <c r="P39" s="69"/>
    </row>
    <row r="40" spans="1:16" ht="12" customHeight="1">
      <c r="A40" s="25"/>
      <c r="J40" s="664"/>
      <c r="K40" s="664"/>
      <c r="L40" s="664"/>
      <c r="M40" s="664"/>
      <c r="N40" s="664"/>
      <c r="O40" s="69"/>
      <c r="P40" s="69"/>
    </row>
    <row r="41" spans="1:16" ht="12" customHeight="1">
      <c r="A41" s="25"/>
      <c r="J41" s="664"/>
      <c r="K41" s="664"/>
      <c r="L41" s="664"/>
      <c r="M41" s="664"/>
      <c r="N41" s="664"/>
      <c r="O41" s="69"/>
      <c r="P41" s="69"/>
    </row>
    <row r="42" spans="1:16" ht="12" customHeight="1">
      <c r="A42" s="25"/>
      <c r="J42" s="664"/>
      <c r="K42" s="664"/>
      <c r="L42" s="664"/>
      <c r="M42" s="664"/>
      <c r="N42" s="664"/>
      <c r="O42" s="69"/>
      <c r="P42" s="69"/>
    </row>
    <row r="43" spans="1:16" ht="12" customHeight="1">
      <c r="A43" s="25"/>
      <c r="J43" s="664"/>
      <c r="K43" s="664"/>
      <c r="L43" s="664"/>
      <c r="M43" s="664"/>
      <c r="N43" s="664"/>
      <c r="O43" s="69"/>
      <c r="P43" s="69"/>
    </row>
    <row r="44" spans="1:16" ht="12" customHeight="1">
      <c r="A44" s="25"/>
      <c r="J44" s="664"/>
      <c r="K44" s="664"/>
      <c r="L44" s="664"/>
      <c r="M44" s="664"/>
      <c r="N44" s="664"/>
      <c r="O44" s="69"/>
      <c r="P44" s="69"/>
    </row>
    <row r="45" spans="1:16" ht="12" customHeight="1">
      <c r="A45" s="25"/>
      <c r="J45" s="664"/>
      <c r="K45" s="664"/>
      <c r="L45" s="664"/>
      <c r="M45" s="664"/>
      <c r="N45" s="664"/>
      <c r="O45" s="69"/>
      <c r="P45" s="69"/>
    </row>
    <row r="46" spans="1:16" ht="12" customHeight="1">
      <c r="A46" s="25"/>
      <c r="J46" s="664"/>
      <c r="K46" s="664"/>
      <c r="L46" s="664"/>
      <c r="M46" s="664"/>
      <c r="N46" s="664"/>
      <c r="O46" s="69"/>
      <c r="P46" s="69"/>
    </row>
    <row r="47" spans="1:16" ht="12" customHeight="1">
      <c r="A47" s="25"/>
      <c r="O47" s="69"/>
      <c r="P47" s="69"/>
    </row>
    <row r="48" spans="1:16" ht="12" customHeight="1">
      <c r="A48" s="25"/>
      <c r="J48" s="664"/>
      <c r="K48" s="664"/>
      <c r="L48" s="664"/>
      <c r="M48" s="664"/>
      <c r="N48" s="664"/>
      <c r="O48" s="69"/>
      <c r="P48" s="69"/>
    </row>
    <row r="49" spans="1:16" ht="12" customHeight="1">
      <c r="J49" s="664"/>
      <c r="K49" s="664"/>
      <c r="L49" s="664"/>
      <c r="M49" s="664"/>
      <c r="N49" s="664"/>
      <c r="O49" s="69"/>
      <c r="P49" s="69"/>
    </row>
    <row r="50" spans="1:16" ht="12" customHeight="1">
      <c r="J50" s="664"/>
      <c r="K50" s="664"/>
      <c r="L50" s="664"/>
      <c r="M50" s="664"/>
      <c r="N50" s="664"/>
      <c r="O50" s="69"/>
      <c r="P50" s="69"/>
    </row>
    <row r="51" spans="1:16" ht="12" customHeight="1">
      <c r="J51" s="664"/>
      <c r="K51" s="664"/>
      <c r="L51" s="664"/>
      <c r="M51" s="664"/>
      <c r="N51" s="664"/>
      <c r="O51" s="69"/>
      <c r="P51" s="69"/>
    </row>
    <row r="52" spans="1:16" ht="12" customHeight="1">
      <c r="J52" s="664"/>
      <c r="K52" s="664"/>
      <c r="L52" s="664"/>
      <c r="M52" s="664"/>
      <c r="N52" s="664"/>
      <c r="O52" s="69"/>
      <c r="P52" s="69"/>
    </row>
    <row r="53" spans="1:16" ht="12" customHeight="1">
      <c r="J53" s="664"/>
      <c r="K53" s="664"/>
      <c r="L53" s="664"/>
      <c r="M53" s="664"/>
      <c r="N53" s="664"/>
      <c r="O53" s="69"/>
      <c r="P53" s="69"/>
    </row>
    <row r="54" spans="1:16" ht="12" customHeight="1">
      <c r="J54" s="664"/>
      <c r="K54" s="664"/>
      <c r="L54" s="664"/>
      <c r="M54" s="664"/>
      <c r="N54" s="664"/>
      <c r="O54" s="69"/>
      <c r="P54" s="69"/>
    </row>
    <row r="55" spans="1:16" ht="12" customHeight="1">
      <c r="J55" s="664"/>
      <c r="K55" s="664"/>
      <c r="L55" s="664"/>
      <c r="M55" s="664"/>
      <c r="N55" s="664"/>
    </row>
    <row r="56" spans="1:16" ht="12" customHeight="1">
      <c r="J56" s="664"/>
      <c r="K56" s="664"/>
      <c r="L56" s="664"/>
      <c r="M56" s="664"/>
      <c r="N56" s="664"/>
    </row>
    <row r="57" spans="1:16" ht="12" customHeight="1">
      <c r="J57" s="664"/>
      <c r="K57" s="664"/>
      <c r="L57" s="664"/>
      <c r="M57" s="664"/>
      <c r="N57" s="664"/>
    </row>
    <row r="58" spans="1:16" ht="12" customHeight="1">
      <c r="J58" s="664"/>
      <c r="K58" s="664"/>
      <c r="L58" s="664"/>
      <c r="M58" s="664"/>
      <c r="N58" s="664"/>
    </row>
    <row r="59" spans="1:16" ht="12" customHeight="1">
      <c r="J59" s="664"/>
      <c r="K59" s="664"/>
      <c r="L59" s="664"/>
      <c r="M59" s="664"/>
      <c r="N59" s="664"/>
    </row>
    <row r="60" spans="1:16" ht="12" customHeight="1">
      <c r="J60" s="664"/>
      <c r="K60" s="664"/>
      <c r="L60" s="664"/>
      <c r="M60" s="664"/>
      <c r="N60" s="664"/>
    </row>
    <row r="61" spans="1:16" ht="12" customHeight="1">
      <c r="J61" s="664"/>
      <c r="K61" s="664"/>
      <c r="L61" s="664"/>
      <c r="M61" s="664"/>
      <c r="N61" s="664"/>
    </row>
    <row r="62" spans="1:16" ht="12" customHeight="1">
      <c r="J62" s="664"/>
      <c r="K62" s="664"/>
      <c r="L62" s="664"/>
      <c r="M62" s="664"/>
      <c r="N62" s="664"/>
    </row>
    <row r="63" spans="1:16" ht="12" customHeight="1">
      <c r="J63" s="664"/>
      <c r="K63" s="664"/>
      <c r="L63" s="664"/>
      <c r="M63" s="664"/>
      <c r="N63" s="664"/>
    </row>
    <row r="64" spans="1:16" ht="12" customHeight="1">
      <c r="A64" s="1"/>
    </row>
    <row r="65" spans="1:1" ht="12" customHeight="1">
      <c r="A65" s="1"/>
    </row>
    <row r="66" spans="1:1" ht="12" customHeight="1">
      <c r="A66" s="1"/>
    </row>
    <row r="67" spans="1:1" ht="12" customHeight="1">
      <c r="A67" s="1"/>
    </row>
    <row r="68" spans="1:1" ht="12" customHeight="1">
      <c r="A68" s="1"/>
    </row>
    <row r="69" spans="1:1" ht="12" customHeight="1">
      <c r="A69" s="1"/>
    </row>
    <row r="70" spans="1:1" ht="12" customHeight="1">
      <c r="A70" s="1"/>
    </row>
    <row r="71" spans="1:1" ht="12" customHeight="1">
      <c r="A71" s="1"/>
    </row>
    <row r="72" spans="1:1" ht="12" customHeight="1">
      <c r="A72" s="1"/>
    </row>
    <row r="73" spans="1:1" ht="12" customHeight="1">
      <c r="A73" s="1"/>
    </row>
    <row r="74" spans="1:1" ht="12" customHeight="1">
      <c r="A74" s="1"/>
    </row>
    <row r="75" spans="1:1" ht="12" customHeight="1">
      <c r="A75" s="1"/>
    </row>
    <row r="76" spans="1:1" ht="12" customHeight="1">
      <c r="A76" s="1"/>
    </row>
    <row r="77" spans="1:1" ht="12" customHeight="1"/>
    <row r="78" spans="1:1" ht="12" customHeight="1"/>
    <row r="79" spans="1:1" ht="12" customHeight="1"/>
    <row r="80" spans="1:1"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sheetData>
  <mergeCells count="2">
    <mergeCell ref="J3:K3"/>
    <mergeCell ref="L3:N3"/>
  </mergeCells>
  <phoneticPr fontId="7" type="noConversion"/>
  <hyperlinks>
    <hyperlink ref="B5" location="FH!A1" display="재무현황" xr:uid="{3DBE1780-B590-4425-9DD8-51BC9BB79C13}"/>
    <hyperlink ref="B7" location="FS!A1" display="요약재무상태표 (Selected Balance sheet)" xr:uid="{553C2AD9-E712-4D4D-8B57-17AE82C5B017}"/>
    <hyperlink ref="C15" location="Stability!A1" display="재무 안정성 (Financial Stability)" xr:uid="{CBA439CE-4B4C-4A68-BCE8-22C4C0C1CFC0}"/>
    <hyperlink ref="C16" location="Productivity!A1" display="생산성 / 경영효율 (Productivity / Operating Efficiency)" xr:uid="{B08597B2-8793-4A38-97CA-677E59A8A416}"/>
    <hyperlink ref="C20" location="'Premium Income by P.T.(GA+SA)'!A1" display="상품별 수입보험료 (Premium Income)" xr:uid="{7EFAD849-4092-4F71-BCA9-7D76DED175ED}"/>
    <hyperlink ref="C21" location="'Initial P. by P.T.'!A1" display="상품별 초회보험료 (Initial Premium)" xr:uid="{19A37C9D-454F-4939-AD93-7D246F81E38D}"/>
    <hyperlink ref="C22" location="'First-year P. by P.T.'!A1" display="상품별 초년도보험료 (First Year Premium)" xr:uid="{B2AFF333-48BF-4DCD-8F46-423FCEFE3994}"/>
    <hyperlink ref="C26" location="'Premium Income by D.C.(GA+SA)'!A1" display="채널별 수입보험료 (Premium Income)" xr:uid="{06DAD289-321A-40D9-960B-10CB7A61DE3C}"/>
    <hyperlink ref="C27" location="'First-year P. by D.C'!A1" display="채널별 초년도보험료 (First Year Premium)" xr:uid="{4CFCD2F8-6E8E-4227-A885-289A8EC58D9D}"/>
    <hyperlink ref="C31" location="'&gt;Loan'!A1" display="대출 (Loan)/ 자산건전성 (Asset Quality of Loan)" xr:uid="{9FB93694-A44F-4B36-A339-F1C1DB2952BF}"/>
    <hyperlink ref="C32" location="'&gt;Bond'!A1" display="채권 (Bond)" xr:uid="{251A5855-4F6B-4B21-A932-F6B086857661}"/>
    <hyperlink ref="C35" location="'BS  K-IFRS'!A1" display="재무상태표 (Balance Sheet - KIFRS)" xr:uid="{68573C29-23AC-4CB6-BDDD-B8E50112FC1B}"/>
    <hyperlink ref="C36" location="'IS  K-IFRS'!A1" display="손익계산서 (Income Statement - KIFRS)" xr:uid="{A9B18268-D2C2-4973-8ABA-4E6FECAF2D9D}"/>
    <hyperlink ref="B8" location="FS!A1" display="요약손익계산서 (Selected Income Statement)" xr:uid="{3C9C2D92-315F-422E-B63D-D7DCD1E2463E}"/>
    <hyperlink ref="B10" location="CSM!A1" display="RA, CSM, BEL Movement" xr:uid="{0471D7B1-D623-41CD-960A-23CD67CE2CD5}"/>
    <hyperlink ref="B11" location="CSM!A1" display="신계약 CSM (New Business CSM)" xr:uid="{0512F3F6-398E-44B9-A86C-9EFDC1D89E5A}"/>
    <hyperlink ref="B13" location="'Sources of Margin'!A1" display="이원별손익" xr:uid="{01DA3B8F-6161-4DED-8B60-9EE61B7919BE}"/>
    <hyperlink ref="B12" location="CSM!A1" display="신계약 CSM 배수 (New Business CSM Margin)" xr:uid="{A4F708B4-AE5E-4486-BF5A-FA5B24F45556}"/>
    <hyperlink ref="C19" location="'APE by P.T'!A1" display="상품별 APE (Annualized Premium Equivalent (APE))" xr:uid="{BFCA89FC-2712-4E35-8528-CF3E0AD48AA4}"/>
    <hyperlink ref="C25" location="'APE by D.C'!A1" display="채널별 APE (Annualized Premium Equivalent (APE))" xr:uid="{F945D779-7177-40E8-A03D-8FAD2933CC5D}"/>
  </hyperlinks>
  <pageMargins left="0.19685039370078741" right="0.19685039370078741" top="0.74803149606299213" bottom="0.74803149606299213" header="0.31496062992125984" footer="0.31496062992125984"/>
  <pageSetup paperSize="9" orientation="landscape" r:id="rId1"/>
  <colBreaks count="1" manualBreakCount="1">
    <brk id="4"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R132"/>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7" width="1.7109375" style="1" customWidth="1"/>
    <col min="18" max="16384" width="9.140625" style="1"/>
  </cols>
  <sheetData>
    <row r="1" spans="1:18" s="3" customFormat="1" ht="24" customHeight="1">
      <c r="A1" s="6"/>
      <c r="F1" s="92" t="s">
        <v>146</v>
      </c>
      <c r="G1" s="92"/>
      <c r="H1" s="93"/>
      <c r="I1" s="93"/>
    </row>
    <row r="2" spans="1:18" ht="12" customHeight="1">
      <c r="A2" s="140"/>
      <c r="B2" s="141"/>
      <c r="C2" s="141"/>
      <c r="F2" s="99" t="s">
        <v>106</v>
      </c>
      <c r="G2" s="112"/>
      <c r="H2" s="112"/>
      <c r="I2" s="112"/>
    </row>
    <row r="3" spans="1:18" ht="12" customHeight="1">
      <c r="A3" s="140" t="s">
        <v>27</v>
      </c>
      <c r="B3" s="141"/>
      <c r="C3" s="141"/>
      <c r="F3" s="117"/>
      <c r="G3" s="113"/>
      <c r="H3" s="113"/>
      <c r="I3" s="114"/>
      <c r="J3" s="856" t="s">
        <v>82</v>
      </c>
      <c r="K3" s="855"/>
      <c r="L3" s="854" t="s">
        <v>83</v>
      </c>
      <c r="M3" s="854"/>
      <c r="N3" s="855"/>
      <c r="O3" s="113"/>
      <c r="P3" s="113"/>
    </row>
    <row r="4" spans="1:18" ht="12" customHeight="1">
      <c r="A4" s="140"/>
      <c r="B4" s="141"/>
      <c r="C4" s="141"/>
      <c r="F4" s="84" t="s">
        <v>81</v>
      </c>
      <c r="G4" s="115"/>
      <c r="H4" s="115"/>
      <c r="I4" s="116"/>
      <c r="J4" s="776">
        <v>46022</v>
      </c>
      <c r="K4" s="187">
        <v>45657</v>
      </c>
      <c r="L4" s="776">
        <v>46022</v>
      </c>
      <c r="M4" s="259">
        <v>45657</v>
      </c>
      <c r="N4" s="266">
        <v>45930</v>
      </c>
      <c r="O4" s="262" t="s">
        <v>23</v>
      </c>
      <c r="P4" s="110" t="s">
        <v>24</v>
      </c>
    </row>
    <row r="5" spans="1:18" ht="12" customHeight="1">
      <c r="A5" s="150"/>
      <c r="B5" s="140" t="s">
        <v>155</v>
      </c>
      <c r="C5" s="140"/>
      <c r="F5" s="118" t="s">
        <v>109</v>
      </c>
      <c r="G5" s="118"/>
      <c r="H5" s="118"/>
      <c r="I5" s="119"/>
      <c r="J5" s="320">
        <f>+SUM(J6,J8,J9)</f>
        <v>1053.0926759639997</v>
      </c>
      <c r="K5" s="321">
        <f>+SUM(K6,K8,K9)</f>
        <v>1008.4114342309997</v>
      </c>
      <c r="L5" s="29">
        <f>+SUM(L6,L8,L9)</f>
        <v>266.37237522300001</v>
      </c>
      <c r="M5" s="28">
        <f>+SUM(M6,M8,M9)</f>
        <v>255.59586283999968</v>
      </c>
      <c r="N5" s="63">
        <f>+SUM(N6,N8,N9)</f>
        <v>265.70003308299999</v>
      </c>
      <c r="O5" s="30">
        <f>IF(J5/K5&lt;0,"n.a.",IF(K5&gt;0,ROUND(J5,4)/ROUND(K5,4)-1,IF(K5&lt;0,"n.a.")))</f>
        <v>4.4308602619922643E-2</v>
      </c>
      <c r="P5" s="31">
        <f>IF(L5/N5&lt;0,"n.a.",IF(N5&gt;0,ROUND(L5,4)/ROUND(N5,4)-1,IF(N5&lt;0,"n.a.")))</f>
        <v>2.5306736921342221E-3</v>
      </c>
      <c r="R5" s="175"/>
    </row>
    <row r="6" spans="1:18" ht="12" customHeight="1">
      <c r="A6" s="150"/>
      <c r="B6" s="149"/>
      <c r="C6" s="141"/>
      <c r="F6" s="120"/>
      <c r="G6" s="120" t="s">
        <v>110</v>
      </c>
      <c r="H6" s="120"/>
      <c r="I6" s="121"/>
      <c r="J6" s="393">
        <v>951.27283609799963</v>
      </c>
      <c r="K6" s="323">
        <v>887.28005098299968</v>
      </c>
      <c r="L6" s="33">
        <v>241.96151960300003</v>
      </c>
      <c r="M6" s="32">
        <v>228.85989256999969</v>
      </c>
      <c r="N6" s="64">
        <v>239.71003986599999</v>
      </c>
      <c r="O6" s="34">
        <f>IF(J6/K6&lt;0,"n.a.",IF(K6&gt;0,ROUND(J6,4)/ROUND(K6,4)-1,IF(K6&lt;0,"n.a.")))</f>
        <v>7.2122320786863092E-2</v>
      </c>
      <c r="P6" s="15">
        <f>IF(L6/N6&lt;0,"n.a.",IF(N6&gt;0,ROUND(L6,4)/ROUND(N6,4)-1,IF(N6&lt;0,"n.a.")))</f>
        <v>9.3925993909307337E-3</v>
      </c>
      <c r="R6" s="32"/>
    </row>
    <row r="7" spans="1:18" ht="12" customHeight="1">
      <c r="A7" s="150"/>
      <c r="B7" s="149" t="s">
        <v>212</v>
      </c>
      <c r="C7" s="141"/>
      <c r="F7" s="122"/>
      <c r="G7" s="123" t="s">
        <v>111</v>
      </c>
      <c r="H7" s="123"/>
      <c r="I7" s="124"/>
      <c r="J7" s="324">
        <f>J6/J5</f>
        <v>0.90331350488902196</v>
      </c>
      <c r="K7" s="325">
        <f>K6/K5</f>
        <v>0.87987900658784868</v>
      </c>
      <c r="L7" s="73">
        <f>L6/L5</f>
        <v>0.9083581561355083</v>
      </c>
      <c r="M7" s="71">
        <f>M6/M5</f>
        <v>0.89539748424356758</v>
      </c>
      <c r="N7" s="72">
        <f>N6/N5</f>
        <v>0.90218295076808974</v>
      </c>
      <c r="O7" s="146">
        <f>J7-K7</f>
        <v>2.3434498301173279E-2</v>
      </c>
      <c r="P7" s="147">
        <f>L7-N7</f>
        <v>6.175205367418557E-3</v>
      </c>
      <c r="R7" s="213"/>
    </row>
    <row r="8" spans="1:18" ht="12" customHeight="1">
      <c r="A8" s="150"/>
      <c r="B8" s="149" t="s">
        <v>213</v>
      </c>
      <c r="C8" s="141"/>
      <c r="F8" s="120"/>
      <c r="G8" s="120" t="s">
        <v>112</v>
      </c>
      <c r="H8" s="120"/>
      <c r="I8" s="121"/>
      <c r="J8" s="322">
        <v>40.496229225999997</v>
      </c>
      <c r="K8" s="323">
        <v>54.580593614000001</v>
      </c>
      <c r="L8" s="33">
        <v>9.8603735899999947</v>
      </c>
      <c r="M8" s="32">
        <v>11.138522628</v>
      </c>
      <c r="N8" s="64">
        <v>11.178568502000001</v>
      </c>
      <c r="O8" s="34">
        <f>IF(J8/K8&lt;0,"n.a.",IF(K8&gt;0,ROUND(J8,4)/ROUND(K8,4)-1,IF(K8&lt;0,"n.a.")))</f>
        <v>-0.25804773124516767</v>
      </c>
      <c r="P8" s="35">
        <f>IF(L8/N8&lt;0,"n.a.",IF(N8&gt;0,ROUND(L8,4)/ROUND(N8,4)-1,IF(N8&lt;0,"n.a.")))</f>
        <v>-0.11792174333100736</v>
      </c>
      <c r="R8" s="32"/>
    </row>
    <row r="9" spans="1:18" ht="12" customHeight="1">
      <c r="A9" s="150"/>
      <c r="B9" s="149"/>
      <c r="C9" s="141"/>
      <c r="F9" s="120"/>
      <c r="G9" s="120" t="s">
        <v>113</v>
      </c>
      <c r="H9" s="120"/>
      <c r="I9" s="121"/>
      <c r="J9" s="322">
        <v>61.32361064000002</v>
      </c>
      <c r="K9" s="323">
        <v>66.550789633999997</v>
      </c>
      <c r="L9" s="33">
        <v>14.55048203000001</v>
      </c>
      <c r="M9" s="32">
        <v>15.597447641999995</v>
      </c>
      <c r="N9" s="64">
        <v>14.811424714999996</v>
      </c>
      <c r="O9" s="34">
        <f>IF(J9/K9&lt;0,"n.a.",IF(K9&gt;0,ROUND(J9,4)/ROUND(K9,4)-1,IF(K9&lt;0,"n.a.")))</f>
        <v>-7.8544510359003894E-2</v>
      </c>
      <c r="P9" s="35">
        <f>IF(L9/N9&lt;0,"n.a.",IF(N9&gt;0,ROUND(L9,4)/ROUND(N9,4)-1,IF(N9&lt;0,"n.a.")))</f>
        <v>-1.7614810213754328E-2</v>
      </c>
      <c r="R9" s="32"/>
    </row>
    <row r="10" spans="1:18" ht="12" customHeight="1">
      <c r="A10" s="140"/>
      <c r="B10" s="149" t="s">
        <v>171</v>
      </c>
      <c r="C10" s="141"/>
      <c r="F10" s="118" t="s">
        <v>114</v>
      </c>
      <c r="G10" s="118"/>
      <c r="H10" s="118"/>
      <c r="I10" s="119"/>
      <c r="J10" s="320">
        <f>+SUM(J11,J13,J14)</f>
        <v>259.32675787099987</v>
      </c>
      <c r="K10" s="321">
        <f>+SUM(K11,K13,K14)</f>
        <v>311.05337709599996</v>
      </c>
      <c r="L10" s="29">
        <f>+SUM(L11,L13,L14)</f>
        <v>60.919486708000001</v>
      </c>
      <c r="M10" s="28">
        <f>+SUM(M11,M13,M14)</f>
        <v>72.870667489999988</v>
      </c>
      <c r="N10" s="63">
        <f>+SUM(N11,N13,N14)</f>
        <v>64.239088596999977</v>
      </c>
      <c r="O10" s="30">
        <f>IF(J10/K10&lt;0,"n.a.",IF(K10&gt;0,ROUND(J10,4)/ROUND(K10,4)-1,IF(K10&lt;0,"n.a.")))</f>
        <v>-0.1662949191360712</v>
      </c>
      <c r="P10" s="31">
        <f>IF(L10/N10&lt;0,"n.a.",IF(N10&gt;0,ROUND(L10,4)/ROUND(N10,4)-1,IF(N10&lt;0,"n.a.")))</f>
        <v>-5.1675692841275711E-2</v>
      </c>
      <c r="R10" s="175"/>
    </row>
    <row r="11" spans="1:18" ht="12" customHeight="1">
      <c r="A11" s="140"/>
      <c r="B11" s="149" t="s">
        <v>166</v>
      </c>
      <c r="C11" s="141"/>
      <c r="F11" s="120"/>
      <c r="G11" s="120" t="s">
        <v>110</v>
      </c>
      <c r="H11" s="120"/>
      <c r="I11" s="121"/>
      <c r="J11" s="393">
        <v>202.00955279599987</v>
      </c>
      <c r="K11" s="494">
        <v>236.58356345899998</v>
      </c>
      <c r="L11" s="33">
        <v>47.550055675999999</v>
      </c>
      <c r="M11" s="32">
        <v>56.433227556999981</v>
      </c>
      <c r="N11" s="64">
        <v>49.711046565999979</v>
      </c>
      <c r="O11" s="34">
        <f>IF(J11/K11&lt;0,"n.a.",IF(K11&gt;0,ROUND(J11,4)/ROUND(K11,4)-1,IF(K11&lt;0,"n.a.")))</f>
        <v>-0.146138616539777</v>
      </c>
      <c r="P11" s="35">
        <f>IF(L11/N11&lt;0,"n.a.",IF(N11&gt;0,ROUND(L11,4)/ROUND(N11,4)-1,IF(N11&lt;0,"n.a.")))</f>
        <v>-4.346925227816778E-2</v>
      </c>
      <c r="R11" s="32"/>
    </row>
    <row r="12" spans="1:18" ht="12" customHeight="1">
      <c r="A12" s="140"/>
      <c r="B12" s="149" t="s">
        <v>222</v>
      </c>
      <c r="C12" s="141"/>
      <c r="F12" s="122"/>
      <c r="G12" s="123" t="s">
        <v>111</v>
      </c>
      <c r="H12" s="123"/>
      <c r="I12" s="124"/>
      <c r="J12" s="324">
        <f>J11/J10</f>
        <v>0.77897689561401906</v>
      </c>
      <c r="K12" s="325">
        <f>K11/K10</f>
        <v>0.76058831338771649</v>
      </c>
      <c r="L12" s="73">
        <f>L11/L10</f>
        <v>0.78053933553178945</v>
      </c>
      <c r="M12" s="71">
        <f>M11/M10</f>
        <v>0.77442995241870527</v>
      </c>
      <c r="N12" s="72">
        <f>N11/N10</f>
        <v>0.77384420687938482</v>
      </c>
      <c r="O12" s="146">
        <f>J12-K12</f>
        <v>1.8388582226302574E-2</v>
      </c>
      <c r="P12" s="147">
        <f>L12-N12</f>
        <v>6.695128652404625E-3</v>
      </c>
      <c r="R12" s="213"/>
    </row>
    <row r="13" spans="1:18" ht="12" customHeight="1">
      <c r="A13" s="140"/>
      <c r="B13" s="149"/>
      <c r="C13" s="141"/>
      <c r="F13" s="120"/>
      <c r="G13" s="120" t="s">
        <v>112</v>
      </c>
      <c r="H13" s="120"/>
      <c r="I13" s="121"/>
      <c r="J13" s="322">
        <v>6.0453899769999992</v>
      </c>
      <c r="K13" s="323">
        <v>9.7431900290000026</v>
      </c>
      <c r="L13" s="33">
        <v>1.2819617559999998</v>
      </c>
      <c r="M13" s="32">
        <v>1.9845916840000004</v>
      </c>
      <c r="N13" s="64">
        <v>1.5277051149999996</v>
      </c>
      <c r="O13" s="34">
        <f>IF(J13/K13&lt;0,"n.a.",IF(K13&gt;0,ROUND(J13,4)/ROUND(K13,4)-1,IF(K13&lt;0,"n.a.")))</f>
        <v>-0.37952623368092619</v>
      </c>
      <c r="P13" s="35">
        <f>IF(L13/N13&lt;0,"n.a.",IF(N13&gt;0,ROUND(L13,4)/ROUND(N13,4)-1,IF(N13&lt;0,"n.a.")))</f>
        <v>-0.16083000589120899</v>
      </c>
      <c r="R13" s="32"/>
    </row>
    <row r="14" spans="1:18" ht="12" customHeight="1">
      <c r="A14" s="140"/>
      <c r="B14" s="140" t="s">
        <v>173</v>
      </c>
      <c r="C14" s="141"/>
      <c r="F14" s="125"/>
      <c r="G14" s="120" t="s">
        <v>113</v>
      </c>
      <c r="H14" s="125"/>
      <c r="I14" s="126"/>
      <c r="J14" s="326">
        <v>51.271815097999998</v>
      </c>
      <c r="K14" s="323">
        <v>64.726623608000011</v>
      </c>
      <c r="L14" s="37">
        <v>12.087469276</v>
      </c>
      <c r="M14" s="32">
        <v>14.452848249000001</v>
      </c>
      <c r="N14" s="64">
        <v>13.000336916</v>
      </c>
      <c r="O14" s="38">
        <f>IF(J14/K14&lt;0,"n.a.",IF(K14&gt;0,ROUND(J14,4)/ROUND(K14,4)-1,IF(K14&lt;0,"n.a.")))</f>
        <v>-0.2078712615833368</v>
      </c>
      <c r="P14" s="39">
        <f>IF(L14/N14&lt;0,"n.a.",IF(N14&gt;0,ROUND(L14,4)/ROUND(N14,4)-1,IF(N14&lt;0,"n.a.")))</f>
        <v>-7.021376429774695E-2</v>
      </c>
      <c r="R14" s="32"/>
    </row>
    <row r="15" spans="1:18" ht="12" customHeight="1">
      <c r="A15" s="140"/>
      <c r="B15" s="142"/>
      <c r="C15" s="149" t="s">
        <v>40</v>
      </c>
      <c r="F15" s="118" t="s">
        <v>115</v>
      </c>
      <c r="G15" s="118"/>
      <c r="H15" s="118"/>
      <c r="I15" s="119"/>
      <c r="J15" s="320">
        <f>+SUM(J16,J18,J19)</f>
        <v>1826.6239073649995</v>
      </c>
      <c r="K15" s="321">
        <f>+SUM(K16,K18,K19)</f>
        <v>1661.6133549460001</v>
      </c>
      <c r="L15" s="29">
        <f>+SUM(L16,L18,L19)</f>
        <v>462.26868536199999</v>
      </c>
      <c r="M15" s="28">
        <f>+SUM(M16,M18,M19)</f>
        <v>441.74333202499992</v>
      </c>
      <c r="N15" s="63">
        <f>+SUM(N16,N18,N19)</f>
        <v>458.92949646899979</v>
      </c>
      <c r="O15" s="30">
        <f>IF(J15/K15&lt;0,"n.a.",IF(K15&gt;0,ROUND(J15,4)/ROUND(K15,4)-1,IF(K15&lt;0,"n.a.")))</f>
        <v>9.9307396052535468E-2</v>
      </c>
      <c r="P15" s="31">
        <f>IF(L15/N15&lt;0,"n.a.",IF(N15&gt;0,ROUND(L15,4)/ROUND(N15,4)-1,IF(N15&lt;0,"n.a.")))</f>
        <v>7.2760630990162944E-3</v>
      </c>
    </row>
    <row r="16" spans="1:18" ht="12" customHeight="1">
      <c r="A16" s="140"/>
      <c r="B16" s="140"/>
      <c r="C16" s="149" t="s">
        <v>41</v>
      </c>
      <c r="F16" s="120"/>
      <c r="G16" s="120" t="s">
        <v>110</v>
      </c>
      <c r="H16" s="120"/>
      <c r="I16" s="121"/>
      <c r="J16" s="393">
        <v>1723.0078876699995</v>
      </c>
      <c r="K16" s="323">
        <v>1515.66863614</v>
      </c>
      <c r="L16" s="33">
        <v>439.10320097799996</v>
      </c>
      <c r="M16" s="32">
        <v>409.95623441599992</v>
      </c>
      <c r="N16" s="64">
        <v>433.81687397499979</v>
      </c>
      <c r="O16" s="34">
        <f>IF(J16/K16&lt;0,"n.a.",IF(K16&gt;0,ROUND(J16,4)/ROUND(K16,4)-1,IF(K16&lt;0,"n.a.")))</f>
        <v>0.13679725238089646</v>
      </c>
      <c r="P16" s="35">
        <f>IF(L16/N16&lt;0,"n.a.",IF(N16&gt;0,ROUND(L16,4)/ROUND(N16,4)-1,IF(N16&lt;0,"n.a.")))</f>
        <v>1.2185555703339457E-2</v>
      </c>
    </row>
    <row r="17" spans="1:18" ht="12" customHeight="1">
      <c r="A17" s="140"/>
      <c r="B17" s="140"/>
      <c r="C17" s="149"/>
      <c r="F17" s="122"/>
      <c r="G17" s="123" t="s">
        <v>111</v>
      </c>
      <c r="H17" s="123"/>
      <c r="I17" s="124"/>
      <c r="J17" s="324">
        <f>J16/J15</f>
        <v>0.94327457377667223</v>
      </c>
      <c r="K17" s="325">
        <f>K16/K15</f>
        <v>0.91216685977422041</v>
      </c>
      <c r="L17" s="73">
        <f>L16/L15</f>
        <v>0.94988740289457574</v>
      </c>
      <c r="M17" s="71">
        <f>M16/M15</f>
        <v>0.92804170362168348</v>
      </c>
      <c r="N17" s="72">
        <f>N16/N15</f>
        <v>0.94527999902552284</v>
      </c>
      <c r="O17" s="146">
        <f>J17-K17</f>
        <v>3.1107714002451825E-2</v>
      </c>
      <c r="P17" s="147">
        <f>L17-N17</f>
        <v>4.6074038690528951E-3</v>
      </c>
    </row>
    <row r="18" spans="1:18" s="40" customFormat="1" ht="12" customHeight="1">
      <c r="A18" s="140"/>
      <c r="B18" s="140" t="s">
        <v>176</v>
      </c>
      <c r="C18" s="149"/>
      <c r="D18" s="1"/>
      <c r="E18" s="1"/>
      <c r="F18" s="120"/>
      <c r="G18" s="120" t="s">
        <v>112</v>
      </c>
      <c r="H18" s="120"/>
      <c r="I18" s="121"/>
      <c r="J18" s="322">
        <v>60.891833043999995</v>
      </c>
      <c r="K18" s="323">
        <v>79.45876765300001</v>
      </c>
      <c r="L18" s="33">
        <v>13.772757215</v>
      </c>
      <c r="M18" s="32">
        <v>17.728027030000003</v>
      </c>
      <c r="N18" s="64">
        <v>15.016874843999998</v>
      </c>
      <c r="O18" s="34">
        <f>IF(J18/K18&lt;0,"n.a.",IF(K18&gt;0,ROUND(J18,4)/ROUND(K18,4)-1,IF(K18&lt;0,"n.a.")))</f>
        <v>-0.2336682658182605</v>
      </c>
      <c r="P18" s="35">
        <f>IF(L18/N18&lt;0,"n.a.",IF(N18&gt;0,ROUND(L18,4)/ROUND(N18,4)-1,IF(N18&lt;0,"n.a.")))</f>
        <v>-8.2846659430375058E-2</v>
      </c>
      <c r="R18" s="1"/>
    </row>
    <row r="19" spans="1:18" ht="12" customHeight="1">
      <c r="A19" s="140"/>
      <c r="B19" s="140"/>
      <c r="C19" s="149" t="s">
        <v>33</v>
      </c>
      <c r="F19" s="125"/>
      <c r="G19" s="120" t="s">
        <v>113</v>
      </c>
      <c r="H19" s="125"/>
      <c r="I19" s="126"/>
      <c r="J19" s="326">
        <v>42.724186651000004</v>
      </c>
      <c r="K19" s="323">
        <v>66.485951153000002</v>
      </c>
      <c r="L19" s="37">
        <v>9.3927271689999969</v>
      </c>
      <c r="M19" s="32">
        <v>14.059070579000002</v>
      </c>
      <c r="N19" s="64">
        <v>10.09574765</v>
      </c>
      <c r="O19" s="38">
        <f>IF(J19/K19&lt;0,"n.a.",IF(K19&gt;0,ROUND(J19,4)/ROUND(K19,4)-1,IF(K19&lt;0,"n.a.")))</f>
        <v>-0.35739554191859935</v>
      </c>
      <c r="P19" s="39">
        <f>IF(L19/N19&lt;0,"n.a.",IF(N19&gt;0,ROUND(L19,4)/ROUND(N19,4)-1,IF(N19&lt;0,"n.a.")))</f>
        <v>-6.9633606386877656E-2</v>
      </c>
    </row>
    <row r="20" spans="1:18" ht="12" customHeight="1">
      <c r="A20" s="140"/>
      <c r="B20" s="140"/>
      <c r="C20" s="149" t="s">
        <v>29</v>
      </c>
      <c r="F20" s="118" t="s">
        <v>116</v>
      </c>
      <c r="G20" s="118"/>
      <c r="H20" s="118"/>
      <c r="I20" s="119"/>
      <c r="J20" s="320">
        <f>+SUM(J21,J23,J24)</f>
        <v>893.47216730399987</v>
      </c>
      <c r="K20" s="321">
        <f>+SUM(K21,K23,K24)</f>
        <v>1011.886123901</v>
      </c>
      <c r="L20" s="29">
        <f>+SUM(L21,L23,L24)</f>
        <v>206.85916686499999</v>
      </c>
      <c r="M20" s="28">
        <f>+SUM(M21,M23,M24)</f>
        <v>130.03313077299998</v>
      </c>
      <c r="N20" s="63">
        <f>+SUM(N21,N23,N24)</f>
        <v>394.46727367799991</v>
      </c>
      <c r="O20" s="30">
        <f>IF(J20/K20&lt;0,"n.a.",IF(K20&gt;0,ROUND(J20,4)/ROUND(K20,4)-1,IF(K20&lt;0,"n.a.")))</f>
        <v>-0.11702295347272784</v>
      </c>
      <c r="P20" s="31">
        <f>IF(L20/N20&lt;0,"n.a.",IF(N20&gt;0,ROUND(L20,4)/ROUND(N20,4)-1,IF(N20&lt;0,"n.a.")))</f>
        <v>-0.47559861108892931</v>
      </c>
    </row>
    <row r="21" spans="1:18" ht="12" customHeight="1">
      <c r="A21" s="140"/>
      <c r="B21" s="140"/>
      <c r="C21" s="149" t="s">
        <v>30</v>
      </c>
      <c r="F21" s="120"/>
      <c r="G21" s="120" t="s">
        <v>110</v>
      </c>
      <c r="H21" s="120"/>
      <c r="I21" s="121"/>
      <c r="J21" s="393">
        <v>380.14708179999997</v>
      </c>
      <c r="K21" s="323">
        <v>271.52870444799987</v>
      </c>
      <c r="L21" s="33">
        <v>100.78630706399998</v>
      </c>
      <c r="M21" s="32">
        <v>77.408796624999979</v>
      </c>
      <c r="N21" s="64">
        <v>102.01050424700001</v>
      </c>
      <c r="O21" s="34">
        <f>IF(J21/K21&lt;0,"n.a.",IF(K21&gt;0,ROUND(J21,4)/ROUND(K21,4)-1,IF(K21&lt;0,"n.a.")))</f>
        <v>0.40002548533543592</v>
      </c>
      <c r="P21" s="35">
        <f>IF(L21/N21&lt;0,"n.a.",IF(N21&gt;0,ROUND(L21,4)/ROUND(N21,4)-1,IF(N21&lt;0,"n.a.")))</f>
        <v>-1.2000725415520885E-2</v>
      </c>
    </row>
    <row r="22" spans="1:18" ht="12" customHeight="1">
      <c r="A22" s="140"/>
      <c r="B22" s="140"/>
      <c r="C22" s="149" t="s">
        <v>31</v>
      </c>
      <c r="F22" s="122"/>
      <c r="G22" s="123" t="s">
        <v>111</v>
      </c>
      <c r="H22" s="123"/>
      <c r="I22" s="124"/>
      <c r="J22" s="324">
        <f>J21/J20</f>
        <v>0.42547165509035567</v>
      </c>
      <c r="K22" s="325">
        <f>K21/K20</f>
        <v>0.26833919156951047</v>
      </c>
      <c r="L22" s="73">
        <f>L21/L20</f>
        <v>0.48722185529140671</v>
      </c>
      <c r="M22" s="71">
        <f>M21/M20</f>
        <v>0.59530056813084986</v>
      </c>
      <c r="N22" s="72">
        <f>N21/N20</f>
        <v>0.25860321262105579</v>
      </c>
      <c r="O22" s="146">
        <f>J22-K22</f>
        <v>0.1571324635208452</v>
      </c>
      <c r="P22" s="147">
        <f>L22-N22</f>
        <v>0.22861864267035092</v>
      </c>
    </row>
    <row r="23" spans="1:18" ht="12" customHeight="1">
      <c r="A23" s="140"/>
      <c r="B23" s="140"/>
      <c r="C23" s="149"/>
      <c r="F23" s="120"/>
      <c r="G23" s="120" t="s">
        <v>112</v>
      </c>
      <c r="H23" s="120"/>
      <c r="I23" s="121"/>
      <c r="J23" s="322">
        <v>411.92798312699989</v>
      </c>
      <c r="K23" s="323">
        <v>600.37972386300009</v>
      </c>
      <c r="L23" s="33">
        <v>83.973704678000004</v>
      </c>
      <c r="M23" s="32">
        <v>23.282401211</v>
      </c>
      <c r="N23" s="64">
        <v>268.41526728499986</v>
      </c>
      <c r="O23" s="34">
        <f>IF(J23/K23&lt;0,"n.a.",IF(K23&gt;0,ROUND(J23,4)/ROUND(K23,4)-1,IF(K23&lt;0,"n.a.")))</f>
        <v>-0.31388752817591925</v>
      </c>
      <c r="P23" s="35">
        <f>IF(L23/N23&lt;0,"n.a.",IF(N23&gt;0,ROUND(L23,4)/ROUND(N23,4)-1,IF(N23&lt;0,"n.a.")))</f>
        <v>-0.68715009911879088</v>
      </c>
    </row>
    <row r="24" spans="1:18" ht="12" customHeight="1">
      <c r="A24" s="140"/>
      <c r="B24" s="140" t="s">
        <v>181</v>
      </c>
      <c r="C24" s="149"/>
      <c r="F24" s="125"/>
      <c r="G24" s="125" t="s">
        <v>113</v>
      </c>
      <c r="H24" s="125"/>
      <c r="I24" s="126"/>
      <c r="J24" s="326">
        <v>101.39710237700001</v>
      </c>
      <c r="K24" s="323">
        <v>139.97769559</v>
      </c>
      <c r="L24" s="37">
        <v>22.099155122999992</v>
      </c>
      <c r="M24" s="32">
        <v>29.341932936999992</v>
      </c>
      <c r="N24" s="64">
        <v>24.041502146000006</v>
      </c>
      <c r="O24" s="38">
        <f>IF(J24/K24&lt;0,"n.a.",IF(K24&gt;0,ROUND(J24,4)/ROUND(K24,4)-1,IF(K24&lt;0,"n.a.")))</f>
        <v>-0.2756196165532081</v>
      </c>
      <c r="P24" s="39">
        <f>IF(L24/N24&lt;0,"n.a.",IF(N24&gt;0,ROUND(L24,4)/ROUND(N24,4)-1,IF(N24&lt;0,"n.a.")))</f>
        <v>-8.0789468211218129E-2</v>
      </c>
    </row>
    <row r="25" spans="1:18" ht="12" customHeight="1">
      <c r="A25" s="140"/>
      <c r="B25" s="140"/>
      <c r="C25" s="149" t="s">
        <v>32</v>
      </c>
      <c r="F25" s="127" t="s">
        <v>117</v>
      </c>
      <c r="G25" s="127"/>
      <c r="H25" s="127"/>
      <c r="I25" s="128"/>
      <c r="J25" s="320">
        <f>SUM(J26,J28:J29)</f>
        <v>4032.5155085039987</v>
      </c>
      <c r="K25" s="321">
        <f>SUM(K26,K28:K29)</f>
        <v>3992.9642901739999</v>
      </c>
      <c r="L25" s="29">
        <f>SUM(L26,L28:L29)</f>
        <v>996.41971415799992</v>
      </c>
      <c r="M25" s="28">
        <f>SUM(M26,M28:M29)</f>
        <v>900.2429931279994</v>
      </c>
      <c r="N25" s="63">
        <f>SUM(N26,N28:N29)</f>
        <v>1183.3358918269994</v>
      </c>
      <c r="O25" s="593">
        <f>IF(J25/K25&lt;0,"n.a.",IF(K25&gt;0,ROUND(J25,4)/ROUND(K25,4)-1,IF(K25&lt;0,"n.a.")))</f>
        <v>9.9052225435622976E-3</v>
      </c>
      <c r="P25" s="151">
        <f>IF(L25/N25&lt;0,"n.a.",IF(N25&gt;0,ROUND(L25,4)/ROUND(N25,4)-1,IF(N25&lt;0,"n.a.")))</f>
        <v>-0.15795700950169766</v>
      </c>
      <c r="R25" s="175"/>
    </row>
    <row r="26" spans="1:18" ht="12" customHeight="1">
      <c r="A26" s="140"/>
      <c r="B26" s="140"/>
      <c r="C26" s="149" t="s">
        <v>34</v>
      </c>
      <c r="F26" s="120"/>
      <c r="G26" s="120" t="s">
        <v>110</v>
      </c>
      <c r="H26" s="120"/>
      <c r="I26" s="121"/>
      <c r="J26" s="393">
        <f>SUM(J6,J11,J16,J21)</f>
        <v>3256.437358363999</v>
      </c>
      <c r="K26" s="323">
        <f>SUM(K6,K11,K16,K21)</f>
        <v>2911.0609550299996</v>
      </c>
      <c r="L26" s="33">
        <f>SUM(L6,L11,L16,L21)</f>
        <v>829.40108332099987</v>
      </c>
      <c r="M26" s="32">
        <f>SUM(M6,M11,M16,M21)</f>
        <v>772.65815116799945</v>
      </c>
      <c r="N26" s="64">
        <f>SUM(N6,N11,N16,N21)</f>
        <v>825.24846465399969</v>
      </c>
      <c r="O26" s="34">
        <f>IF(J26/K26&lt;0,"n.a.",IF(K26&gt;0,ROUND(J26,4)/ROUND(K26,4)-1,IF(K26&lt;0,"n.a.")))</f>
        <v>0.11864279037780379</v>
      </c>
      <c r="P26" s="35">
        <f>IF(L26/N26&lt;0,"n.a.",IF(N26&gt;0,ROUND(L26,4)/ROUND(N26,4)-1,IF(N26&lt;0,"n.a.")))</f>
        <v>5.0319388644752827E-3</v>
      </c>
      <c r="R26" s="32"/>
    </row>
    <row r="27" spans="1:18" ht="12" customHeight="1">
      <c r="A27" s="140"/>
      <c r="B27" s="140"/>
      <c r="C27" s="149" t="s">
        <v>35</v>
      </c>
      <c r="F27" s="120"/>
      <c r="G27" s="123" t="s">
        <v>111</v>
      </c>
      <c r="H27" s="123"/>
      <c r="I27" s="124"/>
      <c r="J27" s="324">
        <f>J26/J25</f>
        <v>0.80754490627417008</v>
      </c>
      <c r="K27" s="325">
        <f>K26/K25</f>
        <v>0.72904758056404895</v>
      </c>
      <c r="L27" s="73">
        <f>L26/L25</f>
        <v>0.83238124611159958</v>
      </c>
      <c r="M27" s="71">
        <f>M26/M25</f>
        <v>0.85827732852805494</v>
      </c>
      <c r="N27" s="72">
        <f>N26/N25</f>
        <v>0.69739156088628884</v>
      </c>
      <c r="O27" s="146">
        <f>J27-K27</f>
        <v>7.8497325710121135E-2</v>
      </c>
      <c r="P27" s="147">
        <f>L27-N27</f>
        <v>0.13498968522531074</v>
      </c>
      <c r="R27" s="213"/>
    </row>
    <row r="28" spans="1:18" ht="12" customHeight="1">
      <c r="A28" s="140"/>
      <c r="B28" s="140"/>
      <c r="C28" s="149"/>
      <c r="F28" s="120"/>
      <c r="G28" s="120" t="s">
        <v>112</v>
      </c>
      <c r="H28" s="120"/>
      <c r="I28" s="121"/>
      <c r="J28" s="322">
        <f>SUM(J8,J13,J18,J23)</f>
        <v>519.36143537399994</v>
      </c>
      <c r="K28" s="323">
        <f t="shared" ref="J28:N29" si="0">SUM(K8,K13,K18,K23)</f>
        <v>744.16227515900005</v>
      </c>
      <c r="L28" s="33">
        <f t="shared" si="0"/>
        <v>108.888797239</v>
      </c>
      <c r="M28" s="32">
        <f t="shared" si="0"/>
        <v>54.133542553000005</v>
      </c>
      <c r="N28" s="64">
        <f t="shared" si="0"/>
        <v>296.13841574599985</v>
      </c>
      <c r="O28" s="34">
        <f>IF(J28/K28&lt;0,"n.a.",IF(K28&gt;0,ROUND(J28,4)/ROUND(K28,4)-1,IF(K28&lt;0,"n.a.")))</f>
        <v>-0.30208584874562983</v>
      </c>
      <c r="P28" s="35">
        <f>IF(L28/N28&lt;0,"n.a.",IF(N28&gt;0,ROUND(L28,4)/ROUND(N28,4)-1,IF(N28&lt;0,"n.a.")))</f>
        <v>-0.63230435499077453</v>
      </c>
      <c r="R28" s="32"/>
    </row>
    <row r="29" spans="1:18" ht="12" customHeight="1">
      <c r="A29" s="140"/>
      <c r="B29" s="140"/>
      <c r="C29" s="149"/>
      <c r="F29" s="125"/>
      <c r="G29" s="125" t="s">
        <v>113</v>
      </c>
      <c r="H29" s="125"/>
      <c r="I29" s="126"/>
      <c r="J29" s="326">
        <f t="shared" si="0"/>
        <v>256.716714766</v>
      </c>
      <c r="K29" s="327">
        <f t="shared" si="0"/>
        <v>337.74105998499999</v>
      </c>
      <c r="L29" s="37">
        <f t="shared" si="0"/>
        <v>58.129833598000005</v>
      </c>
      <c r="M29" s="36">
        <f t="shared" si="0"/>
        <v>73.451299406999993</v>
      </c>
      <c r="N29" s="61">
        <f t="shared" si="0"/>
        <v>61.949011427000002</v>
      </c>
      <c r="O29" s="38">
        <f>IF(J29/K29&lt;0,"n.a.",IF(K29&gt;0,ROUND(J29,4)/ROUND(K29,4)-1,IF(K29&lt;0,"n.a.")))</f>
        <v>-0.23990091818851778</v>
      </c>
      <c r="P29" s="39">
        <f>IF(L29/N29&lt;0,"n.a.",IF(N29&gt;0,ROUND(L29,4)/ROUND(N29,4)-1,IF(N29&lt;0,"n.a.")))</f>
        <v>-6.1650712683013364E-2</v>
      </c>
      <c r="R29" s="32"/>
    </row>
    <row r="30" spans="1:18" s="3" customFormat="1" ht="12" customHeight="1">
      <c r="A30" s="140"/>
      <c r="B30" s="140" t="s">
        <v>185</v>
      </c>
      <c r="C30" s="149"/>
      <c r="D30" s="1"/>
      <c r="E30" s="1"/>
      <c r="F30" s="1" t="s">
        <v>242</v>
      </c>
      <c r="G30" s="1"/>
      <c r="H30" s="1"/>
      <c r="I30" s="1"/>
      <c r="J30" s="1"/>
      <c r="K30" s="1"/>
      <c r="L30" s="1"/>
      <c r="M30" s="1"/>
      <c r="N30" s="1"/>
      <c r="O30" s="1"/>
      <c r="P30" s="1"/>
    </row>
    <row r="31" spans="1:18" ht="12" customHeight="1">
      <c r="A31" s="140"/>
      <c r="B31" s="140"/>
      <c r="C31" s="149" t="s">
        <v>147</v>
      </c>
      <c r="K31" s="231"/>
    </row>
    <row r="32" spans="1:18" ht="12" customHeight="1">
      <c r="A32" s="140"/>
      <c r="B32" s="140"/>
      <c r="C32" s="149" t="s">
        <v>36</v>
      </c>
      <c r="I32" s="663"/>
      <c r="J32" s="664"/>
      <c r="K32" s="664"/>
      <c r="L32" s="664"/>
      <c r="M32" s="664"/>
      <c r="N32" s="664"/>
    </row>
    <row r="33" spans="1:18" ht="12" customHeight="1">
      <c r="A33" s="140"/>
      <c r="B33" s="140"/>
      <c r="C33" s="149"/>
      <c r="J33" s="664"/>
      <c r="K33" s="664"/>
      <c r="L33" s="664"/>
      <c r="M33" s="664"/>
      <c r="N33" s="664"/>
    </row>
    <row r="34" spans="1:18" ht="12" customHeight="1">
      <c r="A34" s="140"/>
      <c r="B34" s="140" t="s">
        <v>188</v>
      </c>
      <c r="C34" s="149"/>
      <c r="J34" s="664"/>
      <c r="K34" s="664"/>
      <c r="L34" s="664"/>
      <c r="M34" s="664"/>
      <c r="N34" s="664"/>
    </row>
    <row r="35" spans="1:18" ht="12" customHeight="1">
      <c r="A35" s="140"/>
      <c r="B35" s="140"/>
      <c r="C35" s="149" t="s">
        <v>37</v>
      </c>
      <c r="J35" s="664"/>
      <c r="K35" s="664"/>
      <c r="L35" s="664"/>
      <c r="M35" s="664"/>
      <c r="N35" s="664"/>
    </row>
    <row r="36" spans="1:18" ht="12" customHeight="1">
      <c r="A36" s="140"/>
      <c r="B36" s="140"/>
      <c r="C36" s="149" t="s">
        <v>38</v>
      </c>
      <c r="J36" s="664"/>
      <c r="K36" s="664"/>
      <c r="L36" s="664"/>
      <c r="M36" s="664"/>
      <c r="N36" s="664"/>
    </row>
    <row r="37" spans="1:18" ht="12" customHeight="1">
      <c r="A37" s="25"/>
      <c r="J37" s="664"/>
      <c r="K37" s="664"/>
      <c r="L37" s="664"/>
      <c r="M37" s="664"/>
      <c r="N37" s="664"/>
    </row>
    <row r="38" spans="1:18" ht="12" customHeight="1">
      <c r="A38" s="25"/>
      <c r="J38" s="664"/>
      <c r="K38" s="664"/>
      <c r="L38" s="664"/>
      <c r="M38" s="664"/>
      <c r="N38" s="664"/>
    </row>
    <row r="39" spans="1:18" ht="12" customHeight="1">
      <c r="A39" s="25"/>
      <c r="J39" s="664"/>
      <c r="K39" s="664"/>
      <c r="L39" s="664"/>
      <c r="M39" s="664"/>
      <c r="N39" s="664"/>
    </row>
    <row r="40" spans="1:18" ht="12" customHeight="1">
      <c r="A40" s="25"/>
      <c r="J40" s="664"/>
      <c r="K40" s="664"/>
      <c r="L40" s="664"/>
      <c r="M40" s="664"/>
      <c r="N40" s="664"/>
    </row>
    <row r="41" spans="1:18" ht="12" customHeight="1">
      <c r="A41" s="25"/>
      <c r="I41" s="597"/>
      <c r="J41" s="761"/>
      <c r="K41" s="761"/>
      <c r="L41" s="761"/>
      <c r="M41" s="761"/>
      <c r="N41" s="761"/>
      <c r="O41" s="597"/>
      <c r="P41" s="597"/>
      <c r="Q41" s="597"/>
      <c r="R41" s="597"/>
    </row>
    <row r="42" spans="1:18" ht="12" customHeight="1">
      <c r="A42" s="25"/>
      <c r="I42" s="597"/>
      <c r="J42" s="761"/>
      <c r="K42" s="761"/>
      <c r="L42" s="761"/>
      <c r="M42" s="761"/>
      <c r="N42" s="761"/>
      <c r="O42" s="597"/>
      <c r="P42" s="597"/>
      <c r="Q42" s="597"/>
      <c r="R42" s="597"/>
    </row>
    <row r="43" spans="1:18" ht="12" customHeight="1">
      <c r="A43" s="25"/>
      <c r="I43" s="597"/>
      <c r="J43" s="761"/>
      <c r="K43" s="761"/>
      <c r="L43" s="761"/>
      <c r="M43" s="761"/>
      <c r="N43" s="761"/>
      <c r="O43" s="597"/>
      <c r="P43" s="597"/>
      <c r="Q43" s="597"/>
      <c r="R43" s="597"/>
    </row>
    <row r="44" spans="1:18" ht="12" customHeight="1">
      <c r="A44" s="25"/>
      <c r="I44" s="597"/>
      <c r="J44" s="761"/>
      <c r="K44" s="761"/>
      <c r="L44" s="761"/>
      <c r="M44" s="761"/>
      <c r="N44" s="761"/>
      <c r="O44" s="597"/>
      <c r="P44" s="597"/>
      <c r="Q44" s="597"/>
      <c r="R44" s="597"/>
    </row>
    <row r="45" spans="1:18" ht="12" customHeight="1">
      <c r="A45" s="25"/>
      <c r="I45" s="597"/>
      <c r="J45" s="761"/>
      <c r="K45" s="761"/>
      <c r="L45" s="761"/>
      <c r="M45" s="761"/>
      <c r="N45" s="761"/>
      <c r="O45" s="597"/>
      <c r="P45" s="597"/>
      <c r="Q45" s="597"/>
      <c r="R45" s="597"/>
    </row>
    <row r="46" spans="1:18" ht="12" customHeight="1">
      <c r="A46" s="25"/>
      <c r="I46" s="597"/>
      <c r="J46" s="761"/>
      <c r="K46" s="761"/>
      <c r="L46" s="761"/>
      <c r="M46" s="761"/>
      <c r="N46" s="761"/>
      <c r="O46" s="597"/>
      <c r="P46" s="597"/>
      <c r="Q46" s="597"/>
      <c r="R46" s="597"/>
    </row>
    <row r="47" spans="1:18" ht="12" customHeight="1">
      <c r="A47" s="25"/>
      <c r="I47" s="597"/>
      <c r="J47" s="762"/>
      <c r="K47" s="762"/>
      <c r="L47" s="762"/>
      <c r="M47" s="762"/>
      <c r="N47" s="762"/>
      <c r="O47" s="597"/>
      <c r="P47" s="597"/>
      <c r="Q47" s="597"/>
      <c r="R47" s="597"/>
    </row>
    <row r="48" spans="1:18" ht="12" customHeight="1">
      <c r="A48" s="25"/>
      <c r="I48" s="597"/>
      <c r="J48" s="597"/>
      <c r="K48" s="597"/>
      <c r="L48" s="597"/>
      <c r="M48" s="597"/>
      <c r="N48" s="597"/>
      <c r="O48" s="597"/>
      <c r="P48" s="597"/>
      <c r="Q48" s="597"/>
      <c r="R48" s="597"/>
    </row>
    <row r="49" spans="1:18" ht="12" customHeight="1">
      <c r="I49" s="763"/>
      <c r="J49" s="764"/>
      <c r="K49" s="764"/>
      <c r="L49" s="764"/>
      <c r="M49" s="764"/>
      <c r="N49" s="764"/>
      <c r="O49" s="597"/>
      <c r="P49" s="597"/>
      <c r="Q49" s="597"/>
      <c r="R49" s="597"/>
    </row>
    <row r="50" spans="1:18" ht="12" customHeight="1">
      <c r="I50" s="763"/>
      <c r="J50" s="597"/>
      <c r="K50" s="597"/>
      <c r="L50" s="597"/>
      <c r="M50" s="597"/>
      <c r="N50" s="597"/>
      <c r="O50" s="597"/>
      <c r="P50" s="597"/>
      <c r="Q50" s="597"/>
      <c r="R50" s="597"/>
    </row>
    <row r="51" spans="1:18" ht="12" customHeight="1">
      <c r="I51" s="597"/>
      <c r="J51" s="597"/>
      <c r="K51" s="597"/>
      <c r="L51" s="597"/>
      <c r="M51" s="597"/>
      <c r="N51" s="597"/>
      <c r="O51" s="597"/>
      <c r="P51" s="597"/>
      <c r="Q51" s="597"/>
      <c r="R51" s="597"/>
    </row>
    <row r="52" spans="1:18" ht="12" customHeight="1">
      <c r="I52" s="597"/>
      <c r="J52" s="597"/>
      <c r="K52" s="597"/>
      <c r="L52" s="597"/>
      <c r="M52" s="597"/>
      <c r="N52" s="597"/>
      <c r="O52" s="597"/>
      <c r="P52" s="597"/>
      <c r="Q52" s="597"/>
      <c r="R52" s="597"/>
    </row>
    <row r="53" spans="1:18" ht="12" customHeight="1">
      <c r="I53" s="597"/>
      <c r="J53" s="597"/>
      <c r="K53" s="597"/>
      <c r="L53" s="597"/>
      <c r="M53" s="597"/>
      <c r="N53" s="597"/>
      <c r="O53" s="597"/>
      <c r="P53" s="597"/>
      <c r="Q53" s="597"/>
      <c r="R53" s="597"/>
    </row>
    <row r="54" spans="1:18" ht="12" customHeight="1">
      <c r="I54" s="597"/>
      <c r="J54" s="597"/>
      <c r="K54" s="597"/>
      <c r="L54" s="597"/>
      <c r="M54" s="597"/>
      <c r="N54" s="597"/>
      <c r="O54" s="597"/>
      <c r="P54" s="597"/>
      <c r="Q54" s="597"/>
      <c r="R54" s="597"/>
    </row>
    <row r="55" spans="1:18" ht="12" customHeight="1">
      <c r="I55" s="597"/>
      <c r="J55" s="597"/>
      <c r="K55" s="597"/>
      <c r="L55" s="597"/>
      <c r="M55" s="597"/>
      <c r="N55" s="597"/>
      <c r="O55" s="597"/>
      <c r="P55" s="597"/>
      <c r="Q55" s="597"/>
      <c r="R55" s="597"/>
    </row>
    <row r="56" spans="1:18" ht="12" customHeight="1">
      <c r="I56" s="597"/>
      <c r="J56" s="597"/>
      <c r="K56" s="597"/>
      <c r="L56" s="597"/>
      <c r="M56" s="597"/>
      <c r="N56" s="597"/>
      <c r="O56" s="597"/>
      <c r="P56" s="597"/>
      <c r="Q56" s="597"/>
      <c r="R56" s="597"/>
    </row>
    <row r="57" spans="1:18" ht="12" customHeight="1">
      <c r="J57" s="69"/>
      <c r="K57" s="69"/>
      <c r="L57" s="69"/>
      <c r="M57" s="69"/>
      <c r="N57" s="69"/>
      <c r="O57" s="69"/>
      <c r="P57" s="69"/>
    </row>
    <row r="58" spans="1:18" ht="12" customHeight="1">
      <c r="J58" s="69"/>
      <c r="K58" s="69"/>
      <c r="L58" s="69"/>
      <c r="M58" s="69"/>
      <c r="N58" s="69"/>
      <c r="O58" s="69"/>
      <c r="P58" s="69"/>
    </row>
    <row r="59" spans="1:18" ht="12" customHeight="1">
      <c r="J59" s="69"/>
      <c r="K59" s="69"/>
      <c r="L59" s="69"/>
      <c r="M59" s="69"/>
      <c r="N59" s="69"/>
      <c r="O59" s="69"/>
      <c r="P59" s="69"/>
    </row>
    <row r="60" spans="1:18" ht="12" customHeight="1">
      <c r="J60" s="69"/>
      <c r="K60" s="69"/>
      <c r="L60" s="69"/>
      <c r="M60" s="69"/>
      <c r="N60" s="69"/>
      <c r="O60" s="69"/>
      <c r="P60" s="69"/>
    </row>
    <row r="61" spans="1:18" ht="12" customHeight="1">
      <c r="J61" s="69"/>
      <c r="K61" s="69"/>
      <c r="L61" s="69"/>
      <c r="M61" s="69"/>
      <c r="N61" s="69"/>
      <c r="O61" s="69"/>
      <c r="P61" s="69"/>
    </row>
    <row r="62" spans="1:18" ht="12" customHeight="1">
      <c r="J62" s="69"/>
      <c r="K62" s="69"/>
      <c r="L62" s="69"/>
      <c r="M62" s="69"/>
      <c r="N62" s="69"/>
      <c r="O62" s="69"/>
      <c r="P62" s="69"/>
    </row>
    <row r="63" spans="1:18" ht="12" customHeight="1">
      <c r="J63" s="69"/>
      <c r="K63" s="69"/>
      <c r="L63" s="69"/>
      <c r="M63" s="69"/>
      <c r="N63" s="69"/>
      <c r="O63" s="69"/>
      <c r="P63" s="69"/>
    </row>
    <row r="64" spans="1:18" ht="12" customHeight="1">
      <c r="A64" s="1"/>
      <c r="J64" s="69"/>
      <c r="K64" s="69"/>
      <c r="L64" s="69"/>
      <c r="M64" s="69"/>
      <c r="N64" s="69"/>
      <c r="O64" s="69"/>
      <c r="P64" s="69"/>
    </row>
    <row r="65" spans="1:16" ht="12" customHeight="1">
      <c r="A65" s="1"/>
      <c r="J65" s="69"/>
      <c r="K65" s="69"/>
      <c r="L65" s="69"/>
      <c r="M65" s="69"/>
      <c r="N65" s="69"/>
      <c r="O65" s="69"/>
      <c r="P65" s="69"/>
    </row>
    <row r="66" spans="1:16" ht="12" customHeight="1">
      <c r="A66" s="1"/>
      <c r="J66" s="69"/>
      <c r="K66" s="69"/>
      <c r="L66" s="69"/>
      <c r="M66" s="69"/>
      <c r="N66" s="69"/>
      <c r="O66" s="69"/>
      <c r="P66" s="69"/>
    </row>
    <row r="67" spans="1:16" ht="12" customHeight="1">
      <c r="A67" s="1"/>
      <c r="J67" s="69"/>
      <c r="K67" s="69"/>
      <c r="L67" s="69"/>
      <c r="M67" s="69"/>
      <c r="N67" s="69"/>
      <c r="O67" s="69"/>
      <c r="P67" s="69"/>
    </row>
    <row r="68" spans="1:16" ht="12" customHeight="1">
      <c r="A68" s="1"/>
      <c r="J68" s="69"/>
      <c r="K68" s="69"/>
      <c r="L68" s="69"/>
      <c r="M68" s="69"/>
      <c r="N68" s="69"/>
      <c r="O68" s="69"/>
      <c r="P68" s="69"/>
    </row>
    <row r="69" spans="1:16" ht="12" customHeight="1">
      <c r="A69" s="1"/>
      <c r="J69" s="69"/>
      <c r="K69" s="69"/>
      <c r="L69" s="69"/>
      <c r="M69" s="69"/>
      <c r="N69" s="69"/>
      <c r="O69" s="69"/>
      <c r="P69" s="69"/>
    </row>
    <row r="70" spans="1:16" ht="12" customHeight="1">
      <c r="A70" s="1"/>
      <c r="J70" s="69"/>
      <c r="K70" s="69"/>
      <c r="L70" s="69"/>
      <c r="M70" s="69"/>
      <c r="N70" s="69"/>
      <c r="O70" s="69"/>
      <c r="P70" s="69"/>
    </row>
    <row r="71" spans="1:16" ht="12" customHeight="1">
      <c r="A71" s="1"/>
      <c r="J71" s="69"/>
      <c r="K71" s="69"/>
      <c r="L71" s="69"/>
      <c r="M71" s="69"/>
      <c r="N71" s="69"/>
      <c r="O71" s="69"/>
      <c r="P71" s="69"/>
    </row>
    <row r="72" spans="1:16" ht="12" customHeight="1">
      <c r="A72" s="1"/>
      <c r="J72" s="69"/>
      <c r="K72" s="69"/>
      <c r="L72" s="69"/>
      <c r="M72" s="69"/>
      <c r="N72" s="69"/>
      <c r="O72" s="69"/>
      <c r="P72" s="69"/>
    </row>
    <row r="73" spans="1:16" ht="12" customHeight="1">
      <c r="A73" s="1"/>
      <c r="J73" s="69"/>
      <c r="K73" s="69"/>
      <c r="L73" s="69"/>
      <c r="M73" s="69"/>
      <c r="N73" s="69"/>
      <c r="O73" s="69"/>
      <c r="P73" s="69"/>
    </row>
    <row r="74" spans="1:16" ht="12" customHeight="1">
      <c r="A74" s="1"/>
      <c r="J74" s="69"/>
      <c r="K74" s="69"/>
      <c r="L74" s="69"/>
      <c r="M74" s="69"/>
      <c r="N74" s="69"/>
      <c r="O74" s="69"/>
      <c r="P74" s="69"/>
    </row>
    <row r="75" spans="1:16" ht="12" customHeight="1">
      <c r="A75" s="1"/>
      <c r="J75" s="69"/>
      <c r="K75" s="69"/>
      <c r="L75" s="69"/>
      <c r="M75" s="69"/>
      <c r="N75" s="69"/>
      <c r="O75" s="69"/>
      <c r="P75" s="69"/>
    </row>
    <row r="76" spans="1:16" ht="12" customHeight="1">
      <c r="A76" s="1"/>
      <c r="J76" s="69"/>
      <c r="K76" s="69"/>
      <c r="L76" s="69"/>
      <c r="M76" s="69"/>
      <c r="N76" s="69"/>
      <c r="O76" s="69"/>
      <c r="P76" s="69"/>
    </row>
    <row r="77" spans="1:16" ht="12" customHeight="1">
      <c r="J77" s="69"/>
      <c r="K77" s="69"/>
      <c r="L77" s="69"/>
      <c r="M77" s="69"/>
      <c r="N77" s="69"/>
      <c r="O77" s="69"/>
      <c r="P77" s="69"/>
    </row>
    <row r="78" spans="1:16" ht="12" customHeight="1">
      <c r="J78" s="69"/>
      <c r="K78" s="69"/>
      <c r="L78" s="69"/>
      <c r="M78" s="69"/>
      <c r="N78" s="69"/>
      <c r="O78" s="69"/>
      <c r="P78" s="69"/>
    </row>
    <row r="79" spans="1:16" ht="12" customHeight="1">
      <c r="J79" s="69"/>
      <c r="K79" s="69"/>
      <c r="L79" s="69"/>
      <c r="M79" s="69"/>
      <c r="N79" s="69"/>
      <c r="O79" s="69"/>
      <c r="P79" s="69"/>
    </row>
    <row r="80" spans="1:16" ht="12" customHeight="1">
      <c r="J80" s="69"/>
      <c r="K80" s="69"/>
      <c r="L80" s="69"/>
      <c r="M80" s="69"/>
      <c r="N80" s="69"/>
      <c r="O80" s="69"/>
      <c r="P80" s="69"/>
    </row>
    <row r="81" spans="10:16" ht="12" customHeight="1">
      <c r="J81" s="69"/>
      <c r="K81" s="69"/>
      <c r="L81" s="69"/>
      <c r="M81" s="69"/>
      <c r="N81" s="69"/>
      <c r="O81" s="69"/>
      <c r="P81" s="69"/>
    </row>
    <row r="82" spans="10:16" ht="12" customHeight="1"/>
    <row r="83" spans="10:16" ht="12" customHeight="1"/>
    <row r="84" spans="10:16" ht="12" customHeight="1"/>
    <row r="85" spans="10:16" ht="12" customHeight="1"/>
    <row r="86" spans="10:16" ht="12" customHeight="1"/>
    <row r="87" spans="10:16" ht="12" customHeight="1"/>
    <row r="88" spans="10:16" ht="12" customHeight="1"/>
    <row r="89" spans="10:16" ht="12" customHeight="1"/>
    <row r="90" spans="10:16" ht="12" customHeight="1"/>
    <row r="91" spans="10:16" ht="12" customHeight="1"/>
    <row r="92" spans="10:16" ht="12" customHeight="1"/>
    <row r="93" spans="10:16" ht="12" customHeight="1"/>
    <row r="94" spans="10:16" ht="12" customHeight="1"/>
    <row r="95" spans="10:16" ht="12" customHeight="1"/>
    <row r="96" spans="10:1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sheetData>
  <mergeCells count="2">
    <mergeCell ref="J3:K3"/>
    <mergeCell ref="L3:N3"/>
  </mergeCells>
  <phoneticPr fontId="7" type="noConversion"/>
  <hyperlinks>
    <hyperlink ref="B5" location="FH!A1" display="재무현황" xr:uid="{A6687292-FA50-4CD3-B93F-F4F51F985E2F}"/>
    <hyperlink ref="B7" location="FS!A1" display="요약재무상태표 (Selected Balance sheet)" xr:uid="{2007CBA5-6086-449A-B0E3-C9565273C9FF}"/>
    <hyperlink ref="C15" location="Stability!A1" display="재무 안정성 (Financial Stability)" xr:uid="{2ED3603E-2A57-4520-B459-1DEF17A89CFD}"/>
    <hyperlink ref="C16" location="Productivity!A1" display="생산성 / 경영효율 (Productivity / Operating Efficiency)" xr:uid="{AC313D36-BAF7-4AC7-88F8-7645A2583CBE}"/>
    <hyperlink ref="C20" location="'Premium Income by P.T.(GA+SA)'!A1" display="상품별 수입보험료 (Premium Income)" xr:uid="{F7D5BF80-C4F1-4239-8238-5C691F9F86AB}"/>
    <hyperlink ref="C21" location="'Initial P. by P.T.'!A1" display="상품별 초회보험료 (Initial Premium)" xr:uid="{DAFA3A70-0422-467E-B6C9-1E181365A028}"/>
    <hyperlink ref="C22" location="'First-year P. by P.T.'!A1" display="상품별 초년도보험료 (First Year Premium)" xr:uid="{9A5A35E2-1FB8-47B8-A74C-E6741B738BED}"/>
    <hyperlink ref="C26" location="'Premium Income by D.C.(GA+SA)'!A1" display="채널별 수입보험료 (Premium Income)" xr:uid="{9C2BF9B9-F782-44A0-B948-F0C1437FC4B3}"/>
    <hyperlink ref="C27" location="'First-year P. by D.C'!A1" display="채널별 초년도보험료 (First Year Premium)" xr:uid="{D222B3DF-3C05-4C59-BFB3-20AC3D74D8C7}"/>
    <hyperlink ref="C31" location="'&gt;Loan'!A1" display="대출 (Loan)/ 자산건전성 (Asset Quality of Loan)" xr:uid="{D2B3B166-E511-4373-9BD2-85B05EC5BE3B}"/>
    <hyperlink ref="C32" location="'&gt;Bond'!A1" display="채권 (Bond)" xr:uid="{76EC8081-BBDC-4EFA-A9CD-D8BCB5F3E1FE}"/>
    <hyperlink ref="C35" location="'BS  K-IFRS'!A1" display="재무상태표 (Balance Sheet - KIFRS)" xr:uid="{5C52A569-BEA3-45AC-9296-21508F703265}"/>
    <hyperlink ref="C36" location="'IS  K-IFRS'!A1" display="손익계산서 (Income Statement - KIFRS)" xr:uid="{97592446-6949-4B4E-9A44-7C3D849C3F1D}"/>
    <hyperlink ref="B8" location="FS!A1" display="요약손익계산서 (Selected Income Statement)" xr:uid="{84B533A1-AD2C-42B8-9A38-9B2D94D8F28C}"/>
    <hyperlink ref="B10" location="CSM!A1" display="RA, CSM, BEL Movement" xr:uid="{A4931506-AF87-4B12-9E07-F4795B95D780}"/>
    <hyperlink ref="B11" location="CSM!A1" display="신계약 CSM (New Business CSM)" xr:uid="{A78911DC-103D-4907-944A-078462FD56DF}"/>
    <hyperlink ref="B13" location="'Sources of Margin'!A1" display="이원별손익" xr:uid="{71EF4F74-CF62-4425-B217-D2DB2E764110}"/>
    <hyperlink ref="B12" location="CSM!A1" display="신계약 CSM 배수 (New Business CSM Margin)" xr:uid="{7D48DF83-D188-4864-A5FA-01324FF4F18C}"/>
    <hyperlink ref="C19" location="'APE by P.T'!A1" display="상품별 APE (Annualized Premium Equivalent (APE))" xr:uid="{E530137F-3937-4076-B1F1-2D7DFD046A19}"/>
    <hyperlink ref="C25" location="'APE by D.C'!A1" display="채널별 APE (Annualized Premium Equivalent (APE))" xr:uid="{7BC6EB75-DCDE-4889-98E0-4402BF7507C6}"/>
  </hyperlinks>
  <pageMargins left="0.19685039370078741" right="0.19685039370078741" top="0.74803149606299213" bottom="0.74803149606299213" header="0.31496062992125984" footer="0.31496062992125984"/>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76"/>
  <sheetViews>
    <sheetView showGridLines="0" zoomScale="85" zoomScaleNormal="85" zoomScaleSheetLayoutView="85" workbookViewId="0"/>
  </sheetViews>
  <sheetFormatPr defaultColWidth="9.140625" defaultRowHeight="12" customHeight="1"/>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6384" width="9.140625" style="1"/>
  </cols>
  <sheetData>
    <row r="1" spans="1:16" s="3" customFormat="1" ht="22.5">
      <c r="A1" s="6"/>
      <c r="F1" s="92" t="s">
        <v>118</v>
      </c>
      <c r="G1" s="92"/>
      <c r="H1" s="93"/>
      <c r="I1" s="93"/>
    </row>
    <row r="2" spans="1:16" ht="12" customHeight="1">
      <c r="A2" s="140"/>
      <c r="B2" s="141"/>
      <c r="C2" s="141"/>
      <c r="F2" s="111" t="s">
        <v>48</v>
      </c>
      <c r="G2" s="112"/>
      <c r="H2" s="112"/>
      <c r="I2" s="112"/>
    </row>
    <row r="3" spans="1:16" ht="12" customHeight="1">
      <c r="A3" s="140" t="s">
        <v>27</v>
      </c>
      <c r="B3" s="141"/>
      <c r="C3" s="141"/>
      <c r="F3" s="117"/>
      <c r="G3" s="113"/>
      <c r="H3" s="113"/>
      <c r="I3" s="114"/>
      <c r="J3" s="856" t="s">
        <v>82</v>
      </c>
      <c r="K3" s="855"/>
      <c r="L3" s="856" t="s">
        <v>83</v>
      </c>
      <c r="M3" s="854"/>
      <c r="N3" s="855"/>
      <c r="O3" s="113"/>
      <c r="P3" s="113"/>
    </row>
    <row r="4" spans="1:16" ht="12" customHeight="1">
      <c r="A4" s="140"/>
      <c r="B4" s="141"/>
      <c r="C4" s="141"/>
      <c r="F4" s="84" t="s">
        <v>81</v>
      </c>
      <c r="G4" s="115"/>
      <c r="H4" s="115"/>
      <c r="I4" s="116"/>
      <c r="J4" s="776">
        <v>46022</v>
      </c>
      <c r="K4" s="187">
        <v>45657</v>
      </c>
      <c r="L4" s="776">
        <v>46022</v>
      </c>
      <c r="M4" s="259">
        <v>45657</v>
      </c>
      <c r="N4" s="266">
        <v>45930</v>
      </c>
      <c r="O4" s="262" t="s">
        <v>23</v>
      </c>
      <c r="P4" s="110" t="s">
        <v>24</v>
      </c>
    </row>
    <row r="5" spans="1:16" ht="12" customHeight="1">
      <c r="A5" s="150"/>
      <c r="B5" s="140" t="s">
        <v>155</v>
      </c>
      <c r="C5" s="140"/>
      <c r="F5" s="118" t="s">
        <v>109</v>
      </c>
      <c r="G5" s="118"/>
      <c r="H5" s="118"/>
      <c r="I5" s="119"/>
      <c r="J5" s="320">
        <f>+SUM(J6,J8,J9)</f>
        <v>1021.4634768569997</v>
      </c>
      <c r="K5" s="321">
        <f>+SUM(K6,K8,K9)</f>
        <v>970.78750178399957</v>
      </c>
      <c r="L5" s="29">
        <f>+SUM(L6,L8,L9)</f>
        <v>259.13778012100005</v>
      </c>
      <c r="M5" s="28">
        <f>+SUM(M6,M8,M9)</f>
        <v>247.3072636849997</v>
      </c>
      <c r="N5" s="63">
        <f>+SUM(N6,N8,N9)</f>
        <v>258.066262107</v>
      </c>
      <c r="O5" s="30">
        <f>IF(J5/K5&lt;0,"n.a.",IF(K5&gt;0,ROUND(J5,4)/ROUND(K5,4)-1,IF(K5&lt;0,"n.a.")))</f>
        <v>5.2200919356707676E-2</v>
      </c>
      <c r="P5" s="31">
        <f>IF(L5/N5&lt;0,"n.a.",IF(N5&gt;0,ROUND(L5,4)/ROUND(N5,4)-1,IF(N5&lt;0,"n.a.")))</f>
        <v>4.152033799066368E-3</v>
      </c>
    </row>
    <row r="6" spans="1:16" ht="12" customHeight="1">
      <c r="A6" s="150"/>
      <c r="B6" s="149"/>
      <c r="C6" s="141"/>
      <c r="F6" s="120"/>
      <c r="G6" s="120" t="s">
        <v>110</v>
      </c>
      <c r="H6" s="120"/>
      <c r="I6" s="121"/>
      <c r="J6" s="393">
        <f>'Premium Income by D.C.(GA+SA)'!J6-'Premium Income by D.C.'!J35</f>
        <v>932.82998380099968</v>
      </c>
      <c r="K6" s="323">
        <f>'Premium Income by D.C.(GA+SA)'!K6-'Premium Income by D.C.'!K35</f>
        <v>868.19352756199964</v>
      </c>
      <c r="L6" s="33">
        <f>'Premium Income by D.C.(GA+SA)'!L6-'Premium Income by D.C.'!L35</f>
        <v>237.57782205800004</v>
      </c>
      <c r="M6" s="32">
        <f>'Premium Income by D.C.(GA+SA)'!M6-'Premium Income by D.C.'!M35</f>
        <v>224.37982637699969</v>
      </c>
      <c r="N6" s="64">
        <f>'Premium Income by D.C.(GA+SA)'!N6-'Premium Income by D.C.'!N35</f>
        <v>235.02526675299998</v>
      </c>
      <c r="O6" s="34">
        <f>IF(J6/K6&lt;0,"n.a.",IF(K6&gt;0,ROUND(J6,4)/ROUND(K6,4)-1,IF(K6&lt;0,"n.a.")))</f>
        <v>7.4449417094230697E-2</v>
      </c>
      <c r="P6" s="15">
        <f>IF(L6/N6&lt;0,"n.a.",IF(N6&gt;0,ROUND(L6,4)/ROUND(N6,4)-1,IF(N6&lt;0,"n.a.")))</f>
        <v>1.086053288731037E-2</v>
      </c>
    </row>
    <row r="7" spans="1:16" ht="12" customHeight="1">
      <c r="A7" s="150"/>
      <c r="B7" s="149" t="s">
        <v>212</v>
      </c>
      <c r="C7" s="141"/>
      <c r="F7" s="122"/>
      <c r="G7" s="123" t="s">
        <v>111</v>
      </c>
      <c r="H7" s="123"/>
      <c r="I7" s="124"/>
      <c r="J7" s="324">
        <f>J6/J5</f>
        <v>0.91322891609524648</v>
      </c>
      <c r="K7" s="325">
        <f>K6/K5</f>
        <v>0.89431881433015492</v>
      </c>
      <c r="L7" s="73">
        <f>L6/L5</f>
        <v>0.91680117791804439</v>
      </c>
      <c r="M7" s="71">
        <f>M6/M5</f>
        <v>0.90729169468631887</v>
      </c>
      <c r="N7" s="72">
        <f>N6/N5</f>
        <v>0.91071674706379591</v>
      </c>
      <c r="O7" s="146">
        <f>J7-K7</f>
        <v>1.8910101765091558E-2</v>
      </c>
      <c r="P7" s="147">
        <f>L7-N7</f>
        <v>6.0844308542484793E-3</v>
      </c>
    </row>
    <row r="8" spans="1:16" ht="12" customHeight="1">
      <c r="A8" s="150"/>
      <c r="B8" s="149" t="s">
        <v>213</v>
      </c>
      <c r="C8" s="141"/>
      <c r="F8" s="120"/>
      <c r="G8" s="120" t="s">
        <v>112</v>
      </c>
      <c r="H8" s="120"/>
      <c r="I8" s="121"/>
      <c r="J8" s="322">
        <f>'Premium Income by D.C.(GA+SA)'!J8-'Premium Income by D.C.'!J37</f>
        <v>33.587746418999998</v>
      </c>
      <c r="K8" s="323">
        <f>'Premium Income by D.C.(GA+SA)'!K8-'Premium Income by D.C.'!K37</f>
        <v>43.062813316000003</v>
      </c>
      <c r="L8" s="33">
        <f>'Premium Income by D.C.(GA+SA)'!L8-'Premium Income by D.C.'!L37</f>
        <v>8.3739970159999952</v>
      </c>
      <c r="M8" s="32">
        <f>'Premium Income by D.C.(GA+SA)'!M8-'Premium Income by D.C.'!M37</f>
        <v>8.8171811210000008</v>
      </c>
      <c r="N8" s="64">
        <f>'Premium Income by D.C.(GA+SA)'!N8-'Premium Income by D.C.'!N37</f>
        <v>9.6570585649999998</v>
      </c>
      <c r="O8" s="34">
        <f>IF(J8/K8&lt;0,"n.a.",IF(K8&gt;0,ROUND(J8,4)/ROUND(K8,4)-1,IF(K8&lt;0,"n.a.")))</f>
        <v>-0.22002981691854695</v>
      </c>
      <c r="P8" s="35">
        <f>IF(L8/N8&lt;0,"n.a.",IF(N8&gt;0,ROUND(L8,4)/ROUND(N8,4)-1,IF(N8&lt;0,"n.a.")))</f>
        <v>-0.13286597425728208</v>
      </c>
    </row>
    <row r="9" spans="1:16" ht="12" customHeight="1">
      <c r="A9" s="150"/>
      <c r="B9" s="149"/>
      <c r="C9" s="141"/>
      <c r="F9" s="120"/>
      <c r="G9" s="120" t="s">
        <v>113</v>
      </c>
      <c r="H9" s="120"/>
      <c r="I9" s="121"/>
      <c r="J9" s="322">
        <f>'Premium Income by D.C.(GA+SA)'!J9-'Premium Income by D.C.'!J38</f>
        <v>55.045746637000022</v>
      </c>
      <c r="K9" s="323">
        <f>'Premium Income by D.C.(GA+SA)'!K9-'Premium Income by D.C.'!K38</f>
        <v>59.531160905999997</v>
      </c>
      <c r="L9" s="33">
        <f>'Premium Income by D.C.(GA+SA)'!L9-'Premium Income by D.C.'!L38</f>
        <v>13.18596104700001</v>
      </c>
      <c r="M9" s="32">
        <f>'Premium Income by D.C.(GA+SA)'!M9-'Premium Income by D.C.'!M38</f>
        <v>14.110256186999996</v>
      </c>
      <c r="N9" s="64">
        <f>'Premium Income by D.C.(GA+SA)'!N9-'Premium Income by D.C.'!N38</f>
        <v>13.383936788999996</v>
      </c>
      <c r="O9" s="34">
        <f>IF(J9/K9&lt;0,"n.a.",IF(K9&gt;0,ROUND(J9,4)/ROUND(K9,4)-1,IF(K9&lt;0,"n.a.")))</f>
        <v>-7.5347044910903938E-2</v>
      </c>
      <c r="P9" s="35">
        <f>IF(L9/N9&lt;0,"n.a.",IF(N9&gt;0,ROUND(L9,4)/ROUND(N9,4)-1,IF(N9&lt;0,"n.a.")))</f>
        <v>-1.478642249269646E-2</v>
      </c>
    </row>
    <row r="10" spans="1:16" ht="12" customHeight="1">
      <c r="A10" s="140"/>
      <c r="B10" s="149" t="s">
        <v>171</v>
      </c>
      <c r="C10" s="141"/>
      <c r="F10" s="118" t="s">
        <v>114</v>
      </c>
      <c r="G10" s="118"/>
      <c r="H10" s="118"/>
      <c r="I10" s="119"/>
      <c r="J10" s="320">
        <f>+SUM(J11,J13,J14)</f>
        <v>257.33292959999989</v>
      </c>
      <c r="K10" s="321">
        <f>+SUM(K11,K13,K14)</f>
        <v>307.347914973</v>
      </c>
      <c r="L10" s="29">
        <f>+SUM(L11,L13,L14)</f>
        <v>60.401587061000001</v>
      </c>
      <c r="M10" s="28">
        <f>+SUM(M11,M13,M14)</f>
        <v>71.877086651999988</v>
      </c>
      <c r="N10" s="63">
        <f>+SUM(N11,N13,N14)</f>
        <v>63.722968751999979</v>
      </c>
      <c r="O10" s="30">
        <f>IF(J10/K10&lt;0,"n.a.",IF(K10&gt;0,ROUND(J10,4)/ROUND(K10,4)-1,IF(K10&lt;0,"n.a.")))</f>
        <v>-0.16273089876325819</v>
      </c>
      <c r="P10" s="31">
        <f>IF(L10/N10&lt;0,"n.a.",IF(N10&gt;0,ROUND(L10,4)/ROUND(N10,4)-1,IF(N10&lt;0,"n.a.")))</f>
        <v>-5.2122467554885921E-2</v>
      </c>
    </row>
    <row r="11" spans="1:16" ht="12" customHeight="1">
      <c r="A11" s="140"/>
      <c r="B11" s="149" t="s">
        <v>166</v>
      </c>
      <c r="C11" s="141"/>
      <c r="F11" s="120"/>
      <c r="G11" s="120" t="s">
        <v>110</v>
      </c>
      <c r="H11" s="120"/>
      <c r="I11" s="121"/>
      <c r="J11" s="393">
        <f>'Premium Income by D.C.(GA+SA)'!J11-'Premium Income by D.C.'!J40</f>
        <v>200.67620635399987</v>
      </c>
      <c r="K11" s="494">
        <f>'Premium Income by D.C.(GA+SA)'!K11-'Premium Income by D.C.'!K40</f>
        <v>234.09024908499998</v>
      </c>
      <c r="L11" s="33">
        <f>'Premium Income by D.C.(GA+SA)'!L11-'Premium Income by D.C.'!L40</f>
        <v>47.201589394999999</v>
      </c>
      <c r="M11" s="32">
        <f>'Premium Income by D.C.(GA+SA)'!M11-'Premium Income by D.C.'!M40</f>
        <v>55.75366993199998</v>
      </c>
      <c r="N11" s="64">
        <f>'Premium Income by D.C.(GA+SA)'!N11-'Premium Income by D.C.'!N40</f>
        <v>49.362537726999982</v>
      </c>
      <c r="O11" s="34">
        <f>IF(J11/K11&lt;0,"n.a.",IF(K11&gt;0,ROUND(J11,4)/ROUND(K11,4)-1,IF(K11&lt;0,"n.a.")))</f>
        <v>-0.14273984985274912</v>
      </c>
      <c r="P11" s="35">
        <f>IF(L11/N11&lt;0,"n.a.",IF(N11&gt;0,ROUND(L11,4)/ROUND(N11,4)-1,IF(N11&lt;0,"n.a.")))</f>
        <v>-4.3776145859711235E-2</v>
      </c>
    </row>
    <row r="12" spans="1:16" ht="12" customHeight="1">
      <c r="A12" s="140"/>
      <c r="B12" s="149" t="s">
        <v>222</v>
      </c>
      <c r="C12" s="141"/>
      <c r="F12" s="122"/>
      <c r="G12" s="123" t="s">
        <v>111</v>
      </c>
      <c r="H12" s="123"/>
      <c r="I12" s="124"/>
      <c r="J12" s="324">
        <f>J11/J10</f>
        <v>0.7798310409240371</v>
      </c>
      <c r="K12" s="325">
        <f>K11/K10</f>
        <v>0.76164580164978313</v>
      </c>
      <c r="L12" s="73">
        <f>L11/L10</f>
        <v>0.78146273453594473</v>
      </c>
      <c r="M12" s="71">
        <f>M11/M10</f>
        <v>0.77568071452223541</v>
      </c>
      <c r="N12" s="72">
        <f>N11/N10</f>
        <v>0.77464278099018591</v>
      </c>
      <c r="O12" s="146">
        <f>J12-K12</f>
        <v>1.8185239274253973E-2</v>
      </c>
      <c r="P12" s="147">
        <f>L12-N12</f>
        <v>6.8199535457588167E-3</v>
      </c>
    </row>
    <row r="13" spans="1:16" ht="12" customHeight="1">
      <c r="A13" s="140"/>
      <c r="B13" s="149"/>
      <c r="C13" s="141"/>
      <c r="F13" s="120"/>
      <c r="G13" s="120" t="s">
        <v>112</v>
      </c>
      <c r="H13" s="120"/>
      <c r="I13" s="121"/>
      <c r="J13" s="322">
        <f>'Premium Income by D.C.(GA+SA)'!J13-'Premium Income by D.C.'!J42</f>
        <v>5.7266901629999989</v>
      </c>
      <c r="K13" s="323">
        <f>'Premium Income by D.C.(GA+SA)'!K13-'Premium Income by D.C.'!K42</f>
        <v>9.1404536970000017</v>
      </c>
      <c r="L13" s="33">
        <f>'Premium Income by D.C.(GA+SA)'!L13-'Premium Income by D.C.'!L42</f>
        <v>1.1927100829999999</v>
      </c>
      <c r="M13" s="32">
        <f>'Premium Income by D.C.(GA+SA)'!M13-'Premium Income by D.C.'!M42</f>
        <v>1.8326008260000004</v>
      </c>
      <c r="N13" s="64">
        <f>'Premium Income by D.C.(GA+SA)'!N13-'Premium Income by D.C.'!N42</f>
        <v>1.4508743319999997</v>
      </c>
      <c r="O13" s="34">
        <f>IF(J13/K13&lt;0,"n.a.",IF(K13&gt;0,ROUND(J13,4)/ROUND(K13,4)-1,IF(K13&lt;0,"n.a.")))</f>
        <v>-0.3734806629834253</v>
      </c>
      <c r="P13" s="35">
        <f>IF(L13/N13&lt;0,"n.a.",IF(N13&gt;0,ROUND(L13,4)/ROUND(N13,4)-1,IF(N13&lt;0,"n.a.")))</f>
        <v>-0.17795850851195805</v>
      </c>
    </row>
    <row r="14" spans="1:16" ht="12" customHeight="1">
      <c r="A14" s="140"/>
      <c r="B14" s="140" t="s">
        <v>173</v>
      </c>
      <c r="C14" s="141"/>
      <c r="F14" s="125"/>
      <c r="G14" s="120" t="s">
        <v>113</v>
      </c>
      <c r="H14" s="125"/>
      <c r="I14" s="126"/>
      <c r="J14" s="326">
        <f>'Premium Income by D.C.(GA+SA)'!J14-'Premium Income by D.C.'!J43</f>
        <v>50.930033082999998</v>
      </c>
      <c r="K14" s="323">
        <f>'Premium Income by D.C.(GA+SA)'!K14-'Premium Income by D.C.'!K43</f>
        <v>64.117212191000007</v>
      </c>
      <c r="L14" s="37">
        <f>'Premium Income by D.C.(GA+SA)'!L14-'Premium Income by D.C.'!L43</f>
        <v>12.007287583</v>
      </c>
      <c r="M14" s="32">
        <f>'Premium Income by D.C.(GA+SA)'!M14-'Premium Income by D.C.'!M43</f>
        <v>14.290815894000001</v>
      </c>
      <c r="N14" s="64">
        <f>'Premium Income by D.C.(GA+SA)'!N14-'Premium Income by D.C.'!N43</f>
        <v>12.909556693000001</v>
      </c>
      <c r="O14" s="38">
        <f>IF(J14/K14&lt;0,"n.a.",IF(K14&gt;0,ROUND(J14,4)/ROUND(K14,4)-1,IF(K14&lt;0,"n.a.")))</f>
        <v>-0.20567336065829445</v>
      </c>
      <c r="P14" s="39">
        <f>IF(L14/N14&lt;0,"n.a.",IF(N14&gt;0,ROUND(L14,4)/ROUND(N14,4)-1,IF(N14&lt;0,"n.a.")))</f>
        <v>-6.9893722501084388E-2</v>
      </c>
    </row>
    <row r="15" spans="1:16" ht="12" customHeight="1">
      <c r="A15" s="140"/>
      <c r="B15" s="142"/>
      <c r="C15" s="149" t="s">
        <v>40</v>
      </c>
      <c r="F15" s="118" t="s">
        <v>115</v>
      </c>
      <c r="G15" s="118"/>
      <c r="H15" s="118"/>
      <c r="I15" s="119"/>
      <c r="J15" s="320">
        <f>+SUM(J16,J18,J19)</f>
        <v>1814.3308029359994</v>
      </c>
      <c r="K15" s="321">
        <f>+SUM(K16,K18,K19)</f>
        <v>1647.0763217220001</v>
      </c>
      <c r="L15" s="29">
        <f>+SUM(L16,L18,L19)</f>
        <v>459.21199255499994</v>
      </c>
      <c r="M15" s="28">
        <f>+SUM(M16,M18,M19)</f>
        <v>438.36150161599988</v>
      </c>
      <c r="N15" s="63">
        <f>+SUM(N16,N18,N19)</f>
        <v>455.99687016699983</v>
      </c>
      <c r="O15" s="30">
        <f>IF(J15/K15&lt;0,"n.a.",IF(K15&gt;0,ROUND(J15,4)/ROUND(K15,4)-1,IF(K15&lt;0,"n.a.")))</f>
        <v>0.10154629752125022</v>
      </c>
      <c r="P15" s="31">
        <f>IF(L15/N15&lt;0,"n.a.",IF(N15&gt;0,ROUND(L15,4)/ROUND(N15,4)-1,IF(N15&lt;0,"n.a.")))</f>
        <v>7.0507058271667145E-3</v>
      </c>
    </row>
    <row r="16" spans="1:16" ht="12" customHeight="1">
      <c r="A16" s="140"/>
      <c r="B16" s="140"/>
      <c r="C16" s="149" t="s">
        <v>41</v>
      </c>
      <c r="F16" s="120"/>
      <c r="G16" s="120" t="s">
        <v>110</v>
      </c>
      <c r="H16" s="120"/>
      <c r="I16" s="121"/>
      <c r="J16" s="393">
        <f>'Premium Income by D.C.(GA+SA)'!J16-'Premium Income by D.C.'!J45</f>
        <v>1715.8807387289994</v>
      </c>
      <c r="K16" s="323">
        <f>'Premium Income by D.C.(GA+SA)'!K16-'Premium Income by D.C.'!K45</f>
        <v>1507.8552572240001</v>
      </c>
      <c r="L16" s="33">
        <f>'Premium Income by D.C.(GA+SA)'!L16-'Premium Income by D.C.'!L45</f>
        <v>437.32026144599996</v>
      </c>
      <c r="M16" s="32">
        <f>'Premium Income by D.C.(GA+SA)'!M16-'Premium Income by D.C.'!M45</f>
        <v>408.06743180599989</v>
      </c>
      <c r="N16" s="64">
        <f>'Premium Income by D.C.(GA+SA)'!N16-'Premium Income by D.C.'!N45</f>
        <v>432.06745661299982</v>
      </c>
      <c r="O16" s="34">
        <f>IF(J16/K16&lt;0,"n.a.",IF(K16&gt;0,ROUND(J16,4)/ROUND(K16,4)-1,IF(K16&lt;0,"n.a.")))</f>
        <v>0.13796111603016548</v>
      </c>
      <c r="P16" s="35">
        <f>IF(L16/N16&lt;0,"n.a.",IF(N16&gt;0,ROUND(L16,4)/ROUND(N16,4)-1,IF(N16&lt;0,"n.a.")))</f>
        <v>1.215735967181053E-2</v>
      </c>
    </row>
    <row r="17" spans="1:16" ht="12" customHeight="1">
      <c r="A17" s="140"/>
      <c r="B17" s="140"/>
      <c r="C17" s="149"/>
      <c r="F17" s="122"/>
      <c r="G17" s="123" t="s">
        <v>111</v>
      </c>
      <c r="H17" s="123"/>
      <c r="I17" s="124"/>
      <c r="J17" s="324">
        <f>J16/J15</f>
        <v>0.94573753361421997</v>
      </c>
      <c r="K17" s="325">
        <f>K16/K15</f>
        <v>0.9154738231240882</v>
      </c>
      <c r="L17" s="73">
        <f>L16/L15</f>
        <v>0.9523276145572831</v>
      </c>
      <c r="M17" s="71">
        <f>M16/M15</f>
        <v>0.93089249466861879</v>
      </c>
      <c r="N17" s="72">
        <f>N16/N15</f>
        <v>0.9475228557046097</v>
      </c>
      <c r="O17" s="146">
        <f>J17-K17</f>
        <v>3.0263710490131768E-2</v>
      </c>
      <c r="P17" s="147">
        <f>L17-N17</f>
        <v>4.8047588526733964E-3</v>
      </c>
    </row>
    <row r="18" spans="1:16" s="40" customFormat="1" ht="12" customHeight="1">
      <c r="A18" s="140"/>
      <c r="B18" s="140" t="s">
        <v>176</v>
      </c>
      <c r="C18" s="149"/>
      <c r="D18" s="1"/>
      <c r="E18" s="1"/>
      <c r="F18" s="120"/>
      <c r="G18" s="120" t="s">
        <v>112</v>
      </c>
      <c r="H18" s="120"/>
      <c r="I18" s="121"/>
      <c r="J18" s="322">
        <f>'Premium Income by D.C.(GA+SA)'!J18-'Premium Income by D.C.'!J47</f>
        <v>57.746667501999994</v>
      </c>
      <c r="K18" s="323">
        <f>'Premium Income by D.C.(GA+SA)'!K18-'Premium Income by D.C.'!K47</f>
        <v>75.213783844000005</v>
      </c>
      <c r="L18" s="33">
        <f>'Premium Income by D.C.(GA+SA)'!L18-'Premium Income by D.C.'!L47</f>
        <v>13.004906269000001</v>
      </c>
      <c r="M18" s="32">
        <f>'Premium Income by D.C.(GA+SA)'!M18-'Premium Income by D.C.'!M47</f>
        <v>16.825482461000004</v>
      </c>
      <c r="N18" s="64">
        <f>'Premium Income by D.C.(GA+SA)'!N18-'Premium Income by D.C.'!N47</f>
        <v>14.307051589999999</v>
      </c>
      <c r="O18" s="34">
        <f>IF(J18/K18&lt;0,"n.a.",IF(K18&gt;0,ROUND(J18,4)/ROUND(K18,4)-1,IF(K18&lt;0,"n.a.")))</f>
        <v>-0.23223264879583283</v>
      </c>
      <c r="P18" s="35">
        <f>IF(L18/N18&lt;0,"n.a.",IF(N18&gt;0,ROUND(L18,4)/ROUND(N18,4)-1,IF(N18&lt;0,"n.a.")))</f>
        <v>-9.1017746433588953E-2</v>
      </c>
    </row>
    <row r="19" spans="1:16" ht="12" customHeight="1">
      <c r="A19" s="140"/>
      <c r="B19" s="140"/>
      <c r="C19" s="149" t="s">
        <v>33</v>
      </c>
      <c r="F19" s="125"/>
      <c r="G19" s="120" t="s">
        <v>113</v>
      </c>
      <c r="H19" s="125"/>
      <c r="I19" s="126"/>
      <c r="J19" s="326">
        <f>'Premium Income by D.C.(GA+SA)'!J19-'Premium Income by D.C.'!J48</f>
        <v>40.703396705000003</v>
      </c>
      <c r="K19" s="323">
        <f>'Premium Income by D.C.(GA+SA)'!K19-'Premium Income by D.C.'!K48</f>
        <v>64.007280653999999</v>
      </c>
      <c r="L19" s="37">
        <f>'Premium Income by D.C.(GA+SA)'!L19-'Premium Income by D.C.'!L48</f>
        <v>8.8868248399999974</v>
      </c>
      <c r="M19" s="32">
        <f>'Premium Income by D.C.(GA+SA)'!M19-'Premium Income by D.C.'!M48</f>
        <v>13.468587349000002</v>
      </c>
      <c r="N19" s="64">
        <f>'Premium Income by D.C.(GA+SA)'!N19-'Premium Income by D.C.'!N48</f>
        <v>9.6223619639999995</v>
      </c>
      <c r="O19" s="38">
        <f>IF(J19/K19&lt;0,"n.a.",IF(K19&gt;0,ROUND(J19,4)/ROUND(K19,4)-1,IF(K19&lt;0,"n.a.")))</f>
        <v>-0.36408190940720819</v>
      </c>
      <c r="P19" s="39">
        <f>IF(L19/N19&lt;0,"n.a.",IF(N19&gt;0,ROUND(L19,4)/ROUND(N19,4)-1,IF(N19&lt;0,"n.a.")))</f>
        <v>-7.6446624542733765E-2</v>
      </c>
    </row>
    <row r="20" spans="1:16" ht="12" customHeight="1">
      <c r="A20" s="140"/>
      <c r="B20" s="140"/>
      <c r="C20" s="149" t="s">
        <v>29</v>
      </c>
      <c r="F20" s="118" t="s">
        <v>116</v>
      </c>
      <c r="G20" s="118"/>
      <c r="H20" s="118"/>
      <c r="I20" s="119"/>
      <c r="J20" s="320">
        <f>+SUM(J21,J23,J24)</f>
        <v>893.24752814699991</v>
      </c>
      <c r="K20" s="321">
        <f>+SUM(K21,K23,K24)</f>
        <v>1011.584986027</v>
      </c>
      <c r="L20" s="29">
        <f>+SUM(L21,L23,L24)</f>
        <v>206.814647294</v>
      </c>
      <c r="M20" s="28">
        <f>+SUM(M21,M23,M24)</f>
        <v>129.95940486099997</v>
      </c>
      <c r="N20" s="63">
        <f>+SUM(N21,N23,N24)</f>
        <v>394.41683010899987</v>
      </c>
      <c r="O20" s="30">
        <f>IF(J20/K20&lt;0,"n.a.",IF(K20&gt;0,ROUND(J20,4)/ROUND(K20,4)-1,IF(K20&lt;0,"n.a.")))</f>
        <v>-0.11698226051196892</v>
      </c>
      <c r="P20" s="31">
        <f>IF(L20/N20&lt;0,"n.a.",IF(N20&gt;0,ROUND(L20,4)/ROUND(N20,4)-1,IF(N20&lt;0,"n.a.")))</f>
        <v>-0.47564454658118016</v>
      </c>
    </row>
    <row r="21" spans="1:16" ht="12" customHeight="1">
      <c r="A21" s="140"/>
      <c r="B21" s="140"/>
      <c r="C21" s="149" t="s">
        <v>30</v>
      </c>
      <c r="F21" s="120"/>
      <c r="G21" s="120" t="s">
        <v>110</v>
      </c>
      <c r="H21" s="120"/>
      <c r="I21" s="121"/>
      <c r="J21" s="393">
        <f>'Premium Income by D.C.(GA+SA)'!J21-'Premium Income by D.C.'!J50</f>
        <v>380.13944127099995</v>
      </c>
      <c r="K21" s="323">
        <f>'Premium Income by D.C.(GA+SA)'!K21-'Premium Income by D.C.'!K50</f>
        <v>271.51780473999986</v>
      </c>
      <c r="L21" s="33">
        <f>'Premium Income by D.C.(GA+SA)'!L21-'Premium Income by D.C.'!L50</f>
        <v>100.78438489699998</v>
      </c>
      <c r="M21" s="32">
        <f>'Premium Income by D.C.(GA+SA)'!M21-'Premium Income by D.C.'!M50</f>
        <v>77.406453815999981</v>
      </c>
      <c r="N21" s="64">
        <f>'Premium Income by D.C.(GA+SA)'!N21-'Premium Income by D.C.'!N50</f>
        <v>102.00864840000001</v>
      </c>
      <c r="O21" s="34">
        <f>IF(J21/K21&lt;0,"n.a.",IF(K21&gt;0,ROUND(J21,4)/ROUND(K21,4)-1,IF(K21&lt;0,"n.a.")))</f>
        <v>0.40005332983693886</v>
      </c>
      <c r="P21" s="35">
        <f>IF(L21/N21&lt;0,"n.a.",IF(N21&gt;0,ROUND(L21,4)/ROUND(N21,4)-1,IF(N21&lt;0,"n.a.")))</f>
        <v>-1.2000948939599132E-2</v>
      </c>
    </row>
    <row r="22" spans="1:16" ht="12" customHeight="1">
      <c r="A22" s="140"/>
      <c r="B22" s="140"/>
      <c r="C22" s="149" t="s">
        <v>31</v>
      </c>
      <c r="F22" s="122"/>
      <c r="G22" s="123" t="s">
        <v>111</v>
      </c>
      <c r="H22" s="123"/>
      <c r="I22" s="124"/>
      <c r="J22" s="324">
        <f>J21/J20</f>
        <v>0.42557010155917407</v>
      </c>
      <c r="K22" s="325">
        <f>K21/K20</f>
        <v>0.26840829835403751</v>
      </c>
      <c r="L22" s="73">
        <f>L21/L20</f>
        <v>0.48731744204620409</v>
      </c>
      <c r="M22" s="71">
        <f>M21/M20</f>
        <v>0.59562025463867907</v>
      </c>
      <c r="N22" s="72">
        <f>N21/N20</f>
        <v>0.25863158114173068</v>
      </c>
      <c r="O22" s="146">
        <f>J22-K22</f>
        <v>0.15716180320513656</v>
      </c>
      <c r="P22" s="147">
        <f>L22-N22</f>
        <v>0.2286858609044734</v>
      </c>
    </row>
    <row r="23" spans="1:16" ht="12" customHeight="1">
      <c r="A23" s="140"/>
      <c r="B23" s="140"/>
      <c r="C23" s="149"/>
      <c r="F23" s="120"/>
      <c r="G23" s="120" t="s">
        <v>112</v>
      </c>
      <c r="H23" s="120"/>
      <c r="I23" s="121"/>
      <c r="J23" s="322">
        <f>'Premium Income by D.C.(GA+SA)'!J23-'Premium Income by D.C.'!J52</f>
        <v>411.77367344699991</v>
      </c>
      <c r="K23" s="323">
        <f>'Premium Income by D.C.(GA+SA)'!K23-'Premium Income by D.C.'!K52</f>
        <v>600.13495918300009</v>
      </c>
      <c r="L23" s="33">
        <f>'Premium Income by D.C.(GA+SA)'!L23-'Premium Income by D.C.'!L52</f>
        <v>83.94056520800001</v>
      </c>
      <c r="M23" s="32">
        <f>'Premium Income by D.C.(GA+SA)'!M23-'Premium Income by D.C.'!M52</f>
        <v>23.220649090999999</v>
      </c>
      <c r="N23" s="64">
        <f>'Premium Income by D.C.(GA+SA)'!N23-'Premium Income by D.C.'!N52</f>
        <v>268.37629741499984</v>
      </c>
      <c r="O23" s="34">
        <f>IF(J23/K23&lt;0,"n.a.",IF(K23&gt;0,ROUND(J23,4)/ROUND(K23,4)-1,IF(K23&lt;0,"n.a.")))</f>
        <v>-0.31386488040190952</v>
      </c>
      <c r="P23" s="35">
        <f>IF(L23/N23&lt;0,"n.a.",IF(N23&gt;0,ROUND(L23,4)/ROUND(N23,4)-1,IF(N23&lt;0,"n.a.")))</f>
        <v>-0.6872279705771337</v>
      </c>
    </row>
    <row r="24" spans="1:16" ht="12" customHeight="1">
      <c r="A24" s="140"/>
      <c r="B24" s="140" t="s">
        <v>181</v>
      </c>
      <c r="C24" s="149"/>
      <c r="F24" s="125"/>
      <c r="G24" s="125" t="s">
        <v>113</v>
      </c>
      <c r="H24" s="125"/>
      <c r="I24" s="126"/>
      <c r="J24" s="326">
        <f>'Premium Income by D.C.(GA+SA)'!J24-'Premium Income by D.C.'!J53</f>
        <v>101.33441342900001</v>
      </c>
      <c r="K24" s="323">
        <f>'Premium Income by D.C.(GA+SA)'!K24-'Premium Income by D.C.'!K53</f>
        <v>139.932222104</v>
      </c>
      <c r="L24" s="37">
        <f>'Premium Income by D.C.(GA+SA)'!L24-'Premium Income by D.C.'!L53</f>
        <v>22.089697188999992</v>
      </c>
      <c r="M24" s="32">
        <f>'Premium Income by D.C.(GA+SA)'!M24-'Premium Income by D.C.'!M53</f>
        <v>29.332301953999991</v>
      </c>
      <c r="N24" s="64">
        <f>'Premium Income by D.C.(GA+SA)'!N24-'Premium Income by D.C.'!N53</f>
        <v>24.031884294000005</v>
      </c>
      <c r="O24" s="38">
        <f>IF(J24/K24&lt;0,"n.a.",IF(K24&gt;0,ROUND(J24,4)/ROUND(K24,4)-1,IF(K24&lt;0,"n.a.")))</f>
        <v>-0.2758321529998099</v>
      </c>
      <c r="P24" s="39">
        <f>IF(L24/N24&lt;0,"n.a.",IF(N24&gt;0,ROUND(L24,4)/ROUND(N24,4)-1,IF(N24&lt;0,"n.a.")))</f>
        <v>-8.081757996662764E-2</v>
      </c>
    </row>
    <row r="25" spans="1:16" ht="12" customHeight="1">
      <c r="A25" s="140"/>
      <c r="B25" s="140"/>
      <c r="C25" s="149" t="s">
        <v>32</v>
      </c>
      <c r="F25" s="127" t="s">
        <v>117</v>
      </c>
      <c r="G25" s="127"/>
      <c r="H25" s="127"/>
      <c r="I25" s="128"/>
      <c r="J25" s="320">
        <f>SUM(J26,J28:J29)</f>
        <v>3986.3747375399989</v>
      </c>
      <c r="K25" s="321">
        <f>SUM(K26,K28:K29)</f>
        <v>3936.7967245059999</v>
      </c>
      <c r="L25" s="29">
        <f>SUM(L26,L28:L29)</f>
        <v>985.56600703099991</v>
      </c>
      <c r="M25" s="28">
        <f>SUM(M26,M28:M29)</f>
        <v>887.50525681399938</v>
      </c>
      <c r="N25" s="63">
        <f>SUM(N26,N28:N29)</f>
        <v>1172.2029311349997</v>
      </c>
      <c r="O25" s="594">
        <f>IF(J25/K25&lt;0,"n.a.",IF(K25&gt;0,ROUND(J25,4)/ROUND(K25,4)-1,IF(K25&lt;0,"n.a.")))</f>
        <v>1.2593487492000843E-2</v>
      </c>
      <c r="P25" s="27">
        <f>IF(L25/N25&lt;0,"n.a.",IF(N25&gt;0,ROUND(L25,4)/ROUND(N25,4)-1,IF(N25&lt;0,"n.a.")))</f>
        <v>-0.15921893726760095</v>
      </c>
    </row>
    <row r="26" spans="1:16" ht="12" customHeight="1">
      <c r="A26" s="140"/>
      <c r="B26" s="140"/>
      <c r="C26" s="149" t="s">
        <v>34</v>
      </c>
      <c r="F26" s="120"/>
      <c r="G26" s="120" t="s">
        <v>110</v>
      </c>
      <c r="H26" s="120"/>
      <c r="I26" s="121"/>
      <c r="J26" s="393">
        <f>'Premium Income by D.C.(GA+SA)'!J26-'Premium Income by D.C.'!J55</f>
        <v>3229.5263701549989</v>
      </c>
      <c r="K26" s="323">
        <f>'Premium Income by D.C.(GA+SA)'!K26-'Premium Income by D.C.'!K55</f>
        <v>2881.6568386109998</v>
      </c>
      <c r="L26" s="33">
        <f>'Premium Income by D.C.(GA+SA)'!L26-'Premium Income by D.C.'!L55</f>
        <v>822.88405779599987</v>
      </c>
      <c r="M26" s="32">
        <f>'Premium Income by D.C.(GA+SA)'!M26-'Premium Income by D.C.'!M55</f>
        <v>765.6073819309994</v>
      </c>
      <c r="N26" s="64">
        <f>'Premium Income by D.C.(GA+SA)'!N26-'Premium Income by D.C.'!N55</f>
        <v>818.46390949299973</v>
      </c>
      <c r="O26" s="34">
        <f>IF(J26/K26&lt;0,"n.a.",IF(K26&gt;0,ROUND(J26,4)/ROUND(K26,4)-1,IF(K26&lt;0,"n.a.")))</f>
        <v>0.1207186088225356</v>
      </c>
      <c r="P26" s="35">
        <f>IF(L26/N26&lt;0,"n.a.",IF(N26&gt;0,ROUND(L26,4)/ROUND(N26,4)-1,IF(N26&lt;0,"n.a.")))</f>
        <v>5.4006047181800465E-3</v>
      </c>
    </row>
    <row r="27" spans="1:16" ht="12" customHeight="1">
      <c r="A27" s="140"/>
      <c r="B27" s="140"/>
      <c r="C27" s="149" t="s">
        <v>35</v>
      </c>
      <c r="F27" s="120"/>
      <c r="G27" s="123" t="s">
        <v>111</v>
      </c>
      <c r="H27" s="123"/>
      <c r="I27" s="124"/>
      <c r="J27" s="324">
        <f>J26/J25</f>
        <v>0.81014118912160948</v>
      </c>
      <c r="K27" s="325">
        <f>K26/K25</f>
        <v>0.73198009454567359</v>
      </c>
      <c r="L27" s="73">
        <f>L26/L25</f>
        <v>0.83493551109268005</v>
      </c>
      <c r="M27" s="71">
        <f>M26/M25</f>
        <v>0.8626510953629799</v>
      </c>
      <c r="N27" s="72">
        <f>N26/N25</f>
        <v>0.69822714800799213</v>
      </c>
      <c r="O27" s="146">
        <f>J27-K27</f>
        <v>7.8161094575935897E-2</v>
      </c>
      <c r="P27" s="147">
        <f>L27-N27</f>
        <v>0.13670836308468792</v>
      </c>
    </row>
    <row r="28" spans="1:16" ht="12" customHeight="1">
      <c r="A28" s="140"/>
      <c r="B28" s="140"/>
      <c r="C28" s="149"/>
      <c r="F28" s="120"/>
      <c r="G28" s="120" t="s">
        <v>112</v>
      </c>
      <c r="H28" s="120"/>
      <c r="I28" s="121"/>
      <c r="J28" s="322">
        <f>'Premium Income by D.C.(GA+SA)'!J28-'Premium Income by D.C.'!J57</f>
        <v>508.83477753099993</v>
      </c>
      <c r="K28" s="323">
        <f>'Premium Income by D.C.(GA+SA)'!K28-'Premium Income by D.C.'!K57</f>
        <v>727.55201004000003</v>
      </c>
      <c r="L28" s="33">
        <f>'Premium Income by D.C.(GA+SA)'!L28-'Premium Income by D.C.'!L57</f>
        <v>106.512178576</v>
      </c>
      <c r="M28" s="32">
        <f>'Premium Income by D.C.(GA+SA)'!M28-'Premium Income by D.C.'!M57</f>
        <v>50.695913499000007</v>
      </c>
      <c r="N28" s="64">
        <f>'Premium Income by D.C.(GA+SA)'!N28-'Premium Income by D.C.'!N57</f>
        <v>293.79128190199987</v>
      </c>
      <c r="O28" s="34">
        <f>IF(J28/K28&lt;0,"n.a.",IF(K28&gt;0,ROUND(J28,4)/ROUND(K28,4)-1,IF(K28&lt;0,"n.a.")))</f>
        <v>-0.30062071164672777</v>
      </c>
      <c r="P28" s="35">
        <f>IF(L28/N28&lt;0,"n.a.",IF(N28&gt;0,ROUND(L28,4)/ROUND(N28,4)-1,IF(N28&lt;0,"n.a.")))</f>
        <v>-0.6374562487044374</v>
      </c>
    </row>
    <row r="29" spans="1:16" ht="12" customHeight="1">
      <c r="A29" s="140"/>
      <c r="B29" s="140"/>
      <c r="C29" s="149"/>
      <c r="F29" s="125"/>
      <c r="G29" s="125" t="s">
        <v>113</v>
      </c>
      <c r="H29" s="125"/>
      <c r="I29" s="126"/>
      <c r="J29" s="326">
        <f>'Premium Income by D.C.(GA+SA)'!J29-'Premium Income by D.C.'!J58</f>
        <v>248.013589854</v>
      </c>
      <c r="K29" s="327">
        <f>'Premium Income by D.C.(GA+SA)'!K29-'Premium Income by D.C.'!K58</f>
        <v>327.58787585499999</v>
      </c>
      <c r="L29" s="37">
        <f>'Premium Income by D.C.(GA+SA)'!L29-'Premium Income by D.C.'!L58</f>
        <v>56.169770659000008</v>
      </c>
      <c r="M29" s="36">
        <f>'Premium Income by D.C.(GA+SA)'!M29-'Premium Income by D.C.'!M58</f>
        <v>71.201961383999986</v>
      </c>
      <c r="N29" s="61">
        <f>'Premium Income by D.C.(GA+SA)'!N29-'Premium Income by D.C.'!N58</f>
        <v>59.947739740000003</v>
      </c>
      <c r="O29" s="38">
        <f>IF(J29/K29&lt;0,"n.a.",IF(K29&gt;0,ROUND(J29,4)/ROUND(K29,4)-1,IF(K29&lt;0,"n.a.")))</f>
        <v>-0.24290976559268518</v>
      </c>
      <c r="P29" s="39">
        <f>IF(L29/N29&lt;0,"n.a.",IF(N29&gt;0,ROUND(L29,4)/ROUND(N29,4)-1,IF(N29&lt;0,"n.a.")))</f>
        <v>-6.30199323743863E-2</v>
      </c>
    </row>
    <row r="30" spans="1:16" s="3" customFormat="1" ht="12" customHeight="1">
      <c r="A30" s="140"/>
      <c r="B30" s="140" t="s">
        <v>185</v>
      </c>
      <c r="C30" s="149"/>
      <c r="D30" s="1"/>
      <c r="E30" s="1"/>
      <c r="F30" s="665"/>
      <c r="G30" s="665"/>
      <c r="H30" s="665"/>
      <c r="I30" s="665"/>
      <c r="J30" s="666"/>
      <c r="K30" s="666"/>
      <c r="L30" s="755"/>
      <c r="M30" s="667"/>
      <c r="N30" s="667"/>
      <c r="O30" s="668"/>
      <c r="P30" s="41"/>
    </row>
    <row r="31" spans="1:16" ht="12" customHeight="1">
      <c r="A31" s="140"/>
      <c r="B31" s="140"/>
      <c r="C31" s="149" t="s">
        <v>147</v>
      </c>
      <c r="F31" s="111" t="s">
        <v>74</v>
      </c>
      <c r="G31" s="112"/>
      <c r="H31" s="112"/>
      <c r="I31" s="112"/>
    </row>
    <row r="32" spans="1:16" ht="12" customHeight="1">
      <c r="A32" s="140"/>
      <c r="B32" s="140"/>
      <c r="C32" s="149" t="s">
        <v>36</v>
      </c>
      <c r="F32" s="117"/>
      <c r="G32" s="113"/>
      <c r="H32" s="113"/>
      <c r="I32" s="114"/>
      <c r="J32" s="856" t="s">
        <v>82</v>
      </c>
      <c r="K32" s="855"/>
      <c r="L32" s="856" t="s">
        <v>83</v>
      </c>
      <c r="M32" s="854"/>
      <c r="N32" s="855"/>
      <c r="O32" s="113"/>
      <c r="P32" s="113"/>
    </row>
    <row r="33" spans="1:16" ht="12" customHeight="1">
      <c r="A33" s="140"/>
      <c r="B33" s="140"/>
      <c r="C33" s="149"/>
      <c r="F33" s="84" t="s">
        <v>81</v>
      </c>
      <c r="G33" s="115"/>
      <c r="H33" s="115"/>
      <c r="I33" s="116"/>
      <c r="J33" s="776">
        <v>46022</v>
      </c>
      <c r="K33" s="187">
        <v>45657</v>
      </c>
      <c r="L33" s="776">
        <v>46022</v>
      </c>
      <c r="M33" s="259">
        <v>45657</v>
      </c>
      <c r="N33" s="266">
        <v>45930</v>
      </c>
      <c r="O33" s="262" t="s">
        <v>23</v>
      </c>
      <c r="P33" s="110" t="s">
        <v>24</v>
      </c>
    </row>
    <row r="34" spans="1:16" ht="12" customHeight="1">
      <c r="A34" s="140"/>
      <c r="B34" s="140" t="s">
        <v>188</v>
      </c>
      <c r="C34" s="149"/>
      <c r="F34" s="118" t="s">
        <v>109</v>
      </c>
      <c r="G34" s="118"/>
      <c r="H34" s="118"/>
      <c r="I34" s="119"/>
      <c r="J34" s="320">
        <f>+SUM(J35,J37,J38)</f>
        <v>31.629199107000002</v>
      </c>
      <c r="K34" s="321">
        <f>+SUM(K35,K37,K38)</f>
        <v>37.623932447000001</v>
      </c>
      <c r="L34" s="29">
        <f>+SUM(L35,L37,L38)</f>
        <v>7.2345951020000001</v>
      </c>
      <c r="M34" s="28">
        <f>+SUM(M35,M37,M38)</f>
        <v>8.288599155</v>
      </c>
      <c r="N34" s="63">
        <f>+SUM(N35,N37,N38)</f>
        <v>7.6337709759999992</v>
      </c>
      <c r="O34" s="30">
        <f>IF(J34/K34&lt;0,"n.a.",IF(K34&gt;0,ROUND(J34,4)/ROUND(K34,4)-1,IF(K34&lt;0,"n.a.")))</f>
        <v>-0.15933223296893728</v>
      </c>
      <c r="P34" s="31">
        <f>IF(L34/N34&lt;0,"n.a.",IF(N34&gt;0,ROUND(L34,4)/ROUND(N34,4)-1,IF(N34&lt;0,"n.a.")))</f>
        <v>-5.2293746233854632E-2</v>
      </c>
    </row>
    <row r="35" spans="1:16" ht="12" customHeight="1">
      <c r="A35" s="140"/>
      <c r="B35" s="140"/>
      <c r="C35" s="149" t="s">
        <v>37</v>
      </c>
      <c r="F35" s="120"/>
      <c r="G35" s="120" t="s">
        <v>110</v>
      </c>
      <c r="H35" s="120"/>
      <c r="I35" s="121"/>
      <c r="J35" s="393">
        <v>18.442852296999998</v>
      </c>
      <c r="K35" s="323">
        <v>19.086523420999999</v>
      </c>
      <c r="L35" s="33">
        <v>4.3836975450000004</v>
      </c>
      <c r="M35" s="32">
        <v>4.4800661929999999</v>
      </c>
      <c r="N35" s="64">
        <v>4.6847731129999994</v>
      </c>
      <c r="O35" s="34">
        <f>IF(J35/K35&lt;0,"n.a.",IF(K35&gt;0,ROUND(J35,4)/ROUND(K35,4)-1,IF(K35&lt;0,"n.a.")))</f>
        <v>-3.372016870562955E-2</v>
      </c>
      <c r="P35" s="15">
        <f>IF(L35/N35&lt;0,"n.a.",IF(N35&gt;0,ROUND(L35,4)/ROUND(N35,4)-1,IF(N35&lt;0,"n.a.")))</f>
        <v>-6.4271687158469981E-2</v>
      </c>
    </row>
    <row r="36" spans="1:16" ht="12" customHeight="1">
      <c r="A36" s="140"/>
      <c r="B36" s="140"/>
      <c r="C36" s="149" t="s">
        <v>38</v>
      </c>
      <c r="F36" s="122"/>
      <c r="G36" s="123" t="s">
        <v>111</v>
      </c>
      <c r="H36" s="123"/>
      <c r="I36" s="124"/>
      <c r="J36" s="324">
        <f>J35/J34</f>
        <v>0.5830957728208277</v>
      </c>
      <c r="K36" s="325">
        <f>K35/K34</f>
        <v>0.50729740831548542</v>
      </c>
      <c r="L36" s="73">
        <f>L35/L34</f>
        <v>0.60593543704859576</v>
      </c>
      <c r="M36" s="71">
        <f>M35/M34</f>
        <v>0.54050945270980477</v>
      </c>
      <c r="N36" s="72">
        <f>N35/N34</f>
        <v>0.61369055054553945</v>
      </c>
      <c r="O36" s="146">
        <f>J36-K36</f>
        <v>7.5798364505342275E-2</v>
      </c>
      <c r="P36" s="147">
        <f>L36-N36</f>
        <v>-7.7551134969436886E-3</v>
      </c>
    </row>
    <row r="37" spans="1:16" ht="12" customHeight="1">
      <c r="A37" s="25"/>
      <c r="F37" s="120"/>
      <c r="G37" s="120" t="s">
        <v>112</v>
      </c>
      <c r="H37" s="120"/>
      <c r="I37" s="121"/>
      <c r="J37" s="322">
        <v>6.9084828070000004</v>
      </c>
      <c r="K37" s="323">
        <v>11.517780298</v>
      </c>
      <c r="L37" s="33">
        <v>1.4863765739999997</v>
      </c>
      <c r="M37" s="32">
        <v>2.3213415069999996</v>
      </c>
      <c r="N37" s="64">
        <v>1.5215099370000005</v>
      </c>
      <c r="O37" s="34">
        <f>IF(J37/K37&lt;0,"n.a.",IF(K37&gt;0,ROUND(J37,4)/ROUND(K37,4)-1,IF(K37&lt;0,"n.a.")))</f>
        <v>-0.40018927225685452</v>
      </c>
      <c r="P37" s="35">
        <f>IF(L37/N37&lt;0,"n.a.",IF(N37&gt;0,ROUND(L37,4)/ROUND(N37,4)-1,IF(N37&lt;0,"n.a.")))</f>
        <v>-2.3069339467630678E-2</v>
      </c>
    </row>
    <row r="38" spans="1:16" ht="12" customHeight="1">
      <c r="A38" s="25"/>
      <c r="F38" s="120"/>
      <c r="G38" s="120" t="s">
        <v>113</v>
      </c>
      <c r="H38" s="120"/>
      <c r="I38" s="121"/>
      <c r="J38" s="322">
        <v>6.2778640030000004</v>
      </c>
      <c r="K38" s="323">
        <v>7.0196287280000007</v>
      </c>
      <c r="L38" s="33">
        <v>1.3645209829999998</v>
      </c>
      <c r="M38" s="32">
        <v>1.4871914549999998</v>
      </c>
      <c r="N38" s="64">
        <v>1.4274879259999997</v>
      </c>
      <c r="O38" s="34">
        <f>IF(J38/K38&lt;0,"n.a.",IF(K38&gt;0,ROUND(J38,4)/ROUND(K38,4)-1,IF(K38&lt;0,"n.a.")))</f>
        <v>-0.10566129124166612</v>
      </c>
      <c r="P38" s="35">
        <f>IF(L38/N38&lt;0,"n.a.",IF(N38&gt;0,ROUND(L38,4)/ROUND(N38,4)-1,IF(N38&lt;0,"n.a.")))</f>
        <v>-4.4133099824868571E-2</v>
      </c>
    </row>
    <row r="39" spans="1:16" ht="12" customHeight="1">
      <c r="A39" s="25"/>
      <c r="F39" s="118" t="s">
        <v>114</v>
      </c>
      <c r="G39" s="118"/>
      <c r="H39" s="118"/>
      <c r="I39" s="119"/>
      <c r="J39" s="320">
        <f>+SUM(J40,J42,J43)</f>
        <v>1.9938282709999997</v>
      </c>
      <c r="K39" s="321">
        <f>+SUM(K40,K42,K43)</f>
        <v>3.7054621229999998</v>
      </c>
      <c r="L39" s="29">
        <f>+SUM(L40,L42,L43)</f>
        <v>0.51789964699999991</v>
      </c>
      <c r="M39" s="28">
        <f>+SUM(M40,M42,M43)</f>
        <v>0.99358083799999997</v>
      </c>
      <c r="N39" s="63">
        <f>+SUM(N40,N42,N43)</f>
        <v>0.51611984499999997</v>
      </c>
      <c r="O39" s="30">
        <f>IF(J39/K39&lt;0,"n.a.",IF(K39&gt;0,ROUND(J39,4)/ROUND(K39,4)-1,IF(K39&lt;0,"n.a.")))</f>
        <v>-0.46193496154365132</v>
      </c>
      <c r="P39" s="31">
        <f>IF(L39/N39&lt;0,"n.a.",IF(N39&gt;0,ROUND(L39,4)/ROUND(N39,4)-1,IF(N39&lt;0,"n.a.")))</f>
        <v>3.4876961829102271E-3</v>
      </c>
    </row>
    <row r="40" spans="1:16" ht="12" customHeight="1">
      <c r="A40" s="25"/>
      <c r="F40" s="120"/>
      <c r="G40" s="120" t="s">
        <v>110</v>
      </c>
      <c r="H40" s="120"/>
      <c r="I40" s="121"/>
      <c r="J40" s="393">
        <v>1.3333464419999999</v>
      </c>
      <c r="K40" s="494">
        <v>2.4933143739999997</v>
      </c>
      <c r="L40" s="33">
        <v>0.34846628099999988</v>
      </c>
      <c r="M40" s="32">
        <v>0.67955762499999994</v>
      </c>
      <c r="N40" s="64">
        <v>0.34850883899999996</v>
      </c>
      <c r="O40" s="34">
        <f>IF(J40/K40&lt;0,"n.a.",IF(K40&gt;0,ROUND(J40,4)/ROUND(K40,4)-1,IF(K40&lt;0,"n.a.")))</f>
        <v>-0.4652468615890587</v>
      </c>
      <c r="P40" s="35">
        <f>IF(L40/N40&lt;0,"n.a.",IF(N40&gt;0,ROUND(L40,4)/ROUND(N40,4)-1,IF(N40&lt;0,"n.a.")))</f>
        <v>0</v>
      </c>
    </row>
    <row r="41" spans="1:16" ht="12" customHeight="1">
      <c r="A41" s="25"/>
      <c r="F41" s="122"/>
      <c r="G41" s="123" t="s">
        <v>111</v>
      </c>
      <c r="H41" s="123"/>
      <c r="I41" s="124"/>
      <c r="J41" s="324">
        <f>J40/J39</f>
        <v>0.66873685231239255</v>
      </c>
      <c r="K41" s="325">
        <f>K40/K39</f>
        <v>0.67287541775798088</v>
      </c>
      <c r="L41" s="73">
        <f>L40/L39</f>
        <v>0.67284517959905066</v>
      </c>
      <c r="M41" s="71">
        <f>M40/M39</f>
        <v>0.68394799799872952</v>
      </c>
      <c r="N41" s="72">
        <f>N40/N39</f>
        <v>0.67524789518604922</v>
      </c>
      <c r="O41" s="146">
        <f>J41-K41</f>
        <v>-4.138565445588327E-3</v>
      </c>
      <c r="P41" s="147">
        <f>L41-N41</f>
        <v>-2.4027155869985606E-3</v>
      </c>
    </row>
    <row r="42" spans="1:16" ht="12" customHeight="1">
      <c r="A42" s="25"/>
      <c r="F42" s="120"/>
      <c r="G42" s="120" t="s">
        <v>112</v>
      </c>
      <c r="H42" s="120"/>
      <c r="I42" s="121"/>
      <c r="J42" s="322">
        <v>0.31869981400000003</v>
      </c>
      <c r="K42" s="323">
        <v>0.6027363320000001</v>
      </c>
      <c r="L42" s="33">
        <v>8.9251673000000004E-2</v>
      </c>
      <c r="M42" s="32">
        <v>0.15199085799999998</v>
      </c>
      <c r="N42" s="64">
        <v>7.6830783E-2</v>
      </c>
      <c r="O42" s="34">
        <f>IF(J42/K42&lt;0,"n.a.",IF(K42&gt;0,ROUND(J42,4)/ROUND(K42,4)-1,IF(K42&lt;0,"n.a.")))</f>
        <v>-0.47121287539406009</v>
      </c>
      <c r="P42" s="35">
        <f>IF(L42/N42&lt;0,"n.a.",IF(N42&gt;0,ROUND(L42,4)/ROUND(N42,4)-1,IF(N42&lt;0,"n.a.")))</f>
        <v>0.16276041666666674</v>
      </c>
    </row>
    <row r="43" spans="1:16" ht="12" customHeight="1">
      <c r="A43" s="25"/>
      <c r="F43" s="125"/>
      <c r="G43" s="120" t="s">
        <v>113</v>
      </c>
      <c r="H43" s="125"/>
      <c r="I43" s="126"/>
      <c r="J43" s="326">
        <v>0.34178201499999994</v>
      </c>
      <c r="K43" s="323">
        <v>0.6094114169999999</v>
      </c>
      <c r="L43" s="37">
        <v>8.0181692999999998E-2</v>
      </c>
      <c r="M43" s="32">
        <v>0.16203235499999996</v>
      </c>
      <c r="N43" s="64">
        <v>9.0780222999999993E-2</v>
      </c>
      <c r="O43" s="38">
        <f>IF(J43/K43&lt;0,"n.a.",IF(K43&gt;0,ROUND(J43,4)/ROUND(K43,4)-1,IF(K43&lt;0,"n.a.")))</f>
        <v>-0.43912044634066305</v>
      </c>
      <c r="P43" s="39">
        <f>IF(L43/N43&lt;0,"n.a.",IF(N43&gt;0,ROUND(L43,4)/ROUND(N43,4)-1,IF(N43&lt;0,"n.a.")))</f>
        <v>-0.116740088105727</v>
      </c>
    </row>
    <row r="44" spans="1:16" ht="12" customHeight="1">
      <c r="A44" s="25"/>
      <c r="F44" s="118" t="s">
        <v>115</v>
      </c>
      <c r="G44" s="118"/>
      <c r="H44" s="118"/>
      <c r="I44" s="119"/>
      <c r="J44" s="320">
        <f>+SUM(J45,J47,J48)</f>
        <v>12.293104429</v>
      </c>
      <c r="K44" s="321">
        <f>+SUM(K45,K47,K48)</f>
        <v>14.537033224</v>
      </c>
      <c r="L44" s="29">
        <f>+SUM(L45,L47,L48)</f>
        <v>3.0566928069999992</v>
      </c>
      <c r="M44" s="28">
        <f>+SUM(M45,M47,M48)</f>
        <v>3.3818304089999995</v>
      </c>
      <c r="N44" s="63">
        <f>+SUM(N45,N47,N48)</f>
        <v>2.9326263020000001</v>
      </c>
      <c r="O44" s="30">
        <f>IF(J44/K44&lt;0,"n.a.",IF(K44&gt;0,ROUND(J44,4)/ROUND(K44,4)-1,IF(K44&lt;0,"n.a.")))</f>
        <v>-0.15435784549769549</v>
      </c>
      <c r="P44" s="31">
        <f>IF(L44/N44&lt;0,"n.a.",IF(N44&gt;0,ROUND(L44,4)/ROUND(N44,4)-1,IF(N44&lt;0,"n.a.")))</f>
        <v>4.2317397531201006E-2</v>
      </c>
    </row>
    <row r="45" spans="1:16" ht="12" customHeight="1">
      <c r="A45" s="25"/>
      <c r="F45" s="120"/>
      <c r="G45" s="120" t="s">
        <v>110</v>
      </c>
      <c r="H45" s="120"/>
      <c r="I45" s="121"/>
      <c r="J45" s="393">
        <v>7.1271489409999997</v>
      </c>
      <c r="K45" s="323">
        <v>7.8133789159999996</v>
      </c>
      <c r="L45" s="33">
        <v>1.7829395319999994</v>
      </c>
      <c r="M45" s="32">
        <v>1.8888026099999999</v>
      </c>
      <c r="N45" s="64">
        <v>1.7494173620000002</v>
      </c>
      <c r="O45" s="34">
        <f>IF(J45/K45&lt;0,"n.a.",IF(K45&gt;0,ROUND(J45,4)/ROUND(K45,4)-1,IF(K45&lt;0,"n.a.")))</f>
        <v>-8.7836281260398663E-2</v>
      </c>
      <c r="P45" s="35">
        <f>IF(L45/N45&lt;0,"n.a.",IF(N45&gt;0,ROUND(L45,4)/ROUND(N45,4)-1,IF(N45&lt;0,"n.a.")))</f>
        <v>1.9149422659197279E-2</v>
      </c>
    </row>
    <row r="46" spans="1:16" ht="12" customHeight="1">
      <c r="A46" s="25"/>
      <c r="F46" s="122"/>
      <c r="G46" s="123" t="s">
        <v>111</v>
      </c>
      <c r="H46" s="123"/>
      <c r="I46" s="124"/>
      <c r="J46" s="324">
        <f>J45/J44</f>
        <v>0.57976803029401813</v>
      </c>
      <c r="K46" s="325">
        <f>K45/K44</f>
        <v>0.53748098360953434</v>
      </c>
      <c r="L46" s="73">
        <f>L45/L44</f>
        <v>0.58329038754465845</v>
      </c>
      <c r="M46" s="71">
        <f>M45/M44</f>
        <v>0.5585148814598645</v>
      </c>
      <c r="N46" s="72">
        <f>N45/N44</f>
        <v>0.59653606762202471</v>
      </c>
      <c r="O46" s="146">
        <f>J46-K46</f>
        <v>4.2287046684483798E-2</v>
      </c>
      <c r="P46" s="147">
        <f>L46-N46</f>
        <v>-1.3245680077366262E-2</v>
      </c>
    </row>
    <row r="47" spans="1:16" ht="12" customHeight="1">
      <c r="A47" s="25"/>
      <c r="F47" s="120"/>
      <c r="G47" s="120" t="s">
        <v>112</v>
      </c>
      <c r="H47" s="120"/>
      <c r="I47" s="121"/>
      <c r="J47" s="322">
        <v>3.145165542</v>
      </c>
      <c r="K47" s="323">
        <v>4.2449838090000007</v>
      </c>
      <c r="L47" s="33">
        <v>0.76785094599999992</v>
      </c>
      <c r="M47" s="32">
        <v>0.90254456899999991</v>
      </c>
      <c r="N47" s="64">
        <v>0.7098232539999999</v>
      </c>
      <c r="O47" s="34">
        <f>IF(J47/K47&lt;0,"n.a.",IF(K47&gt;0,ROUND(J47,4)/ROUND(K47,4)-1,IF(K47&lt;0,"n.a.")))</f>
        <v>-0.25908127208480569</v>
      </c>
      <c r="P47" s="35">
        <f>IF(L47/N47&lt;0,"n.a.",IF(N47&gt;0,ROUND(L47,4)/ROUND(N47,4)-1,IF(N47&lt;0,"n.a.")))</f>
        <v>8.1854043392505016E-2</v>
      </c>
    </row>
    <row r="48" spans="1:16" ht="12" customHeight="1">
      <c r="A48" s="25"/>
      <c r="F48" s="125"/>
      <c r="G48" s="120" t="s">
        <v>113</v>
      </c>
      <c r="H48" s="125"/>
      <c r="I48" s="126"/>
      <c r="J48" s="326">
        <v>2.0207899459999998</v>
      </c>
      <c r="K48" s="323">
        <v>2.4786704990000001</v>
      </c>
      <c r="L48" s="37">
        <v>0.50590232899999998</v>
      </c>
      <c r="M48" s="32">
        <v>0.59048322999999991</v>
      </c>
      <c r="N48" s="64">
        <v>0.47338568599999997</v>
      </c>
      <c r="O48" s="38">
        <f>IF(J48/K48&lt;0,"n.a.",IF(K48&gt;0,ROUND(J48,4)/ROUND(K48,4)-1,IF(K48&lt;0,"n.a.")))</f>
        <v>-0.184733933110098</v>
      </c>
      <c r="P48" s="39">
        <f>IF(L48/N48&lt;0,"n.a.",IF(N48&gt;0,ROUND(L48,4)/ROUND(N48,4)-1,IF(N48&lt;0,"n.a.")))</f>
        <v>6.8652302492606676E-2</v>
      </c>
    </row>
    <row r="49" spans="1:16" ht="12" customHeight="1">
      <c r="F49" s="118" t="s">
        <v>116</v>
      </c>
      <c r="G49" s="118"/>
      <c r="H49" s="118"/>
      <c r="I49" s="119"/>
      <c r="J49" s="320">
        <f>+SUM(J50,J52,J53)</f>
        <v>0.22463915699999995</v>
      </c>
      <c r="K49" s="321">
        <f>+SUM(K50,K52,K53)</f>
        <v>0.30113787400000003</v>
      </c>
      <c r="L49" s="29">
        <f>+SUM(L50,L52,L53)</f>
        <v>4.4519570999999994E-2</v>
      </c>
      <c r="M49" s="28">
        <f>+SUM(M50,M52,M53)</f>
        <v>7.3725911999999991E-2</v>
      </c>
      <c r="N49" s="63">
        <f>+SUM(N50,N52,N53)</f>
        <v>5.0443568999999994E-2</v>
      </c>
      <c r="O49" s="30">
        <f>IF(J49/K49&lt;0,"n.a.",IF(K49&gt;0,ROUND(J49,4)/ROUND(K49,4)-1,IF(K49&lt;0,"n.a.")))</f>
        <v>-0.25406841580870143</v>
      </c>
      <c r="P49" s="31">
        <f>IF(L49/N49&lt;0,"n.a.",IF(N49&gt;0,ROUND(L49,4)/ROUND(N49,4)-1,IF(N49&lt;0,"n.a.")))</f>
        <v>-0.11706349206349209</v>
      </c>
    </row>
    <row r="50" spans="1:16" ht="12" customHeight="1">
      <c r="F50" s="120"/>
      <c r="G50" s="120" t="s">
        <v>110</v>
      </c>
      <c r="H50" s="120"/>
      <c r="I50" s="121"/>
      <c r="J50" s="393">
        <v>7.6405290000000009E-3</v>
      </c>
      <c r="K50" s="323">
        <v>1.0899708000000003E-2</v>
      </c>
      <c r="L50" s="33">
        <v>1.922167E-3</v>
      </c>
      <c r="M50" s="32">
        <v>2.3428090000000004E-3</v>
      </c>
      <c r="N50" s="64">
        <v>1.8558470000000003E-3</v>
      </c>
      <c r="O50" s="34">
        <f>IF(J50/K50&lt;0,"n.a.",IF(K50&gt;0,ROUND(J50,4)/ROUND(K50,4)-1,IF(K50&lt;0,"n.a.")))</f>
        <v>-0.30275229357798161</v>
      </c>
      <c r="P50" s="35">
        <f>IF(L50/N50&lt;0,"n.a.",IF(N50&gt;0,ROUND(L50,4)/ROUND(N50,4)-1,IF(N50&lt;0,"n.a.")))</f>
        <v>0</v>
      </c>
    </row>
    <row r="51" spans="1:16" ht="12" customHeight="1">
      <c r="F51" s="122"/>
      <c r="G51" s="123" t="s">
        <v>111</v>
      </c>
      <c r="H51" s="123"/>
      <c r="I51" s="124"/>
      <c r="J51" s="324">
        <f>J50/J49</f>
        <v>3.4012454026436732E-2</v>
      </c>
      <c r="K51" s="325">
        <f>K50/K49</f>
        <v>3.6195075216609925E-2</v>
      </c>
      <c r="L51" s="73">
        <f>L50/L49</f>
        <v>4.3175775435931318E-2</v>
      </c>
      <c r="M51" s="71">
        <f>M50/M49</f>
        <v>3.1777280693387699E-2</v>
      </c>
      <c r="N51" s="72">
        <f>N50/N49</f>
        <v>3.6790556988542993E-2</v>
      </c>
      <c r="O51" s="146">
        <f>J51-K51</f>
        <v>-2.1826211901731923E-3</v>
      </c>
      <c r="P51" s="147">
        <f>L51-N51</f>
        <v>6.3852184473883258E-3</v>
      </c>
    </row>
    <row r="52" spans="1:16" ht="12" customHeight="1">
      <c r="F52" s="120"/>
      <c r="G52" s="120" t="s">
        <v>112</v>
      </c>
      <c r="H52" s="120"/>
      <c r="I52" s="121"/>
      <c r="J52" s="322">
        <v>0.15430967999999995</v>
      </c>
      <c r="K52" s="323">
        <v>0.24476468000000001</v>
      </c>
      <c r="L52" s="33">
        <v>3.313946999999999E-2</v>
      </c>
      <c r="M52" s="32">
        <v>6.1752120000000001E-2</v>
      </c>
      <c r="N52" s="64">
        <v>3.896986999999999E-2</v>
      </c>
      <c r="O52" s="34">
        <f>IF(J52/K52&lt;0,"n.a.",IF(K52&gt;0,ROUND(J52,4)/ROUND(K52,4)-1,IF(K52&lt;0,"n.a.")))</f>
        <v>-0.36968954248366015</v>
      </c>
      <c r="P52" s="35">
        <f>IF(L52/N52&lt;0,"n.a.",IF(N52&gt;0,ROUND(L52,4)/ROUND(N52,4)-1,IF(N52&lt;0,"n.a.")))</f>
        <v>-0.1512820512820513</v>
      </c>
    </row>
    <row r="53" spans="1:16" ht="12" customHeight="1">
      <c r="F53" s="125"/>
      <c r="G53" s="125" t="s">
        <v>113</v>
      </c>
      <c r="H53" s="125"/>
      <c r="I53" s="126"/>
      <c r="J53" s="326">
        <v>6.2688947999999994E-2</v>
      </c>
      <c r="K53" s="323">
        <v>4.5473486E-2</v>
      </c>
      <c r="L53" s="37">
        <v>9.4579339999999977E-3</v>
      </c>
      <c r="M53" s="32">
        <v>9.6309829999999992E-3</v>
      </c>
      <c r="N53" s="64">
        <v>9.6178519999999997E-3</v>
      </c>
      <c r="O53" s="38">
        <f>IF(J53/K53&lt;0,"n.a.",IF(K53&gt;0,ROUND(J53,4)/ROUND(K53,4)-1,IF(K53&lt;0,"n.a.")))</f>
        <v>0.37802197802197823</v>
      </c>
      <c r="P53" s="39">
        <f>IF(L53/N53&lt;0,"n.a.",IF(N53&gt;0,ROUND(L53,4)/ROUND(N53,4)-1,IF(N53&lt;0,"n.a.")))</f>
        <v>-1.041666666666663E-2</v>
      </c>
    </row>
    <row r="54" spans="1:16" ht="12" customHeight="1">
      <c r="F54" s="127" t="s">
        <v>117</v>
      </c>
      <c r="G54" s="127"/>
      <c r="H54" s="127"/>
      <c r="I54" s="128"/>
      <c r="J54" s="320">
        <f>SUM(J55,J57:J58)</f>
        <v>46.140770963999998</v>
      </c>
      <c r="K54" s="321">
        <f>SUM(K55,K57:K58)</f>
        <v>56.167565668000002</v>
      </c>
      <c r="L54" s="29">
        <f>SUM(L55,L57:L58)</f>
        <v>10.853707127</v>
      </c>
      <c r="M54" s="28">
        <f>SUM(M55,M57:M58)</f>
        <v>12.737736313999999</v>
      </c>
      <c r="N54" s="63">
        <f>SUM(N55,N57:N58)</f>
        <v>11.132960691999997</v>
      </c>
      <c r="O54" s="26">
        <f>IF(J54/K54&lt;0,"n.a.",IF(K54&gt;0,ROUND(J54,4)/ROUND(K54,4)-1,IF(K54&lt;0,"n.a.")))</f>
        <v>-0.17851572792855674</v>
      </c>
      <c r="P54" s="27">
        <f>IF(L54/N54&lt;0,"n.a.",IF(N54&gt;0,ROUND(L54,4)/ROUND(N54,4)-1,IF(N54&lt;0,"n.a.")))</f>
        <v>-2.508757747237933E-2</v>
      </c>
    </row>
    <row r="55" spans="1:16" ht="12" customHeight="1">
      <c r="F55" s="120"/>
      <c r="G55" s="120" t="s">
        <v>110</v>
      </c>
      <c r="H55" s="120"/>
      <c r="I55" s="121"/>
      <c r="J55" s="393">
        <f>SUM(J35,J40,J45,J50)</f>
        <v>26.910988208999996</v>
      </c>
      <c r="K55" s="323">
        <f>SUM(K35,K40,K45,K50)</f>
        <v>29.404116419000001</v>
      </c>
      <c r="L55" s="33">
        <f>SUM(L35,L40,L45,L50)</f>
        <v>6.5170255250000002</v>
      </c>
      <c r="M55" s="32">
        <f>SUM(M35,M40,M45,M50)</f>
        <v>7.0507692369999999</v>
      </c>
      <c r="N55" s="64">
        <f>SUM(N35,N40,N45,N50)</f>
        <v>6.7845551609999992</v>
      </c>
      <c r="O55" s="34">
        <f>IF(J55/K55&lt;0,"n.a.",IF(K55&gt;0,ROUND(J55,4)/ROUND(K55,4)-1,IF(K55&lt;0,"n.a.")))</f>
        <v>-8.4787495621358899E-2</v>
      </c>
      <c r="P55" s="35">
        <f>IF(L55/N55&lt;0,"n.a.",IF(N55&gt;0,ROUND(L55,4)/ROUND(N55,4)-1,IF(N55&lt;0,"n.a.")))</f>
        <v>-3.9442266308993834E-2</v>
      </c>
    </row>
    <row r="56" spans="1:16" ht="12" customHeight="1">
      <c r="F56" s="120"/>
      <c r="G56" s="123" t="s">
        <v>111</v>
      </c>
      <c r="H56" s="123"/>
      <c r="I56" s="124"/>
      <c r="J56" s="324">
        <f>J55/J54</f>
        <v>0.58323663967376094</v>
      </c>
      <c r="K56" s="325">
        <f>K55/K54</f>
        <v>0.5235070466255265</v>
      </c>
      <c r="L56" s="73">
        <f>L55/L54</f>
        <v>0.60044236026859954</v>
      </c>
      <c r="M56" s="71">
        <f>M55/M54</f>
        <v>0.55353392967088866</v>
      </c>
      <c r="N56" s="72">
        <f>N55/N54</f>
        <v>0.60941157960571024</v>
      </c>
      <c r="O56" s="146">
        <f>J56-K56</f>
        <v>5.9729593048234442E-2</v>
      </c>
      <c r="P56" s="147">
        <f>L56-N56</f>
        <v>-8.969219337110701E-3</v>
      </c>
    </row>
    <row r="57" spans="1:16" ht="12" customHeight="1">
      <c r="F57" s="120"/>
      <c r="G57" s="120" t="s">
        <v>112</v>
      </c>
      <c r="H57" s="120"/>
      <c r="I57" s="121"/>
      <c r="J57" s="322">
        <f>SUM(J37,J42,J47,J52)</f>
        <v>10.526657843000002</v>
      </c>
      <c r="K57" s="323">
        <f t="shared" ref="J57:N58" si="0">SUM(K37,K42,K47,K52)</f>
        <v>16.610265119000001</v>
      </c>
      <c r="L57" s="33">
        <f t="shared" si="0"/>
        <v>2.3766186629999995</v>
      </c>
      <c r="M57" s="32">
        <f t="shared" si="0"/>
        <v>3.4376290539999994</v>
      </c>
      <c r="N57" s="64">
        <f t="shared" si="0"/>
        <v>2.347133844</v>
      </c>
      <c r="O57" s="34">
        <f>IF(J57/K57&lt;0,"n.a.",IF(K57&gt;0,ROUND(J57,4)/ROUND(K57,4)-1,IF(K57&lt;0,"n.a.")))</f>
        <v>-0.36625467330511785</v>
      </c>
      <c r="P57" s="35">
        <f>IF(L57/N57&lt;0,"n.a.",IF(N57&gt;0,ROUND(L57,4)/ROUND(N57,4)-1,IF(N57&lt;0,"n.a.")))</f>
        <v>1.2568701802223803E-2</v>
      </c>
    </row>
    <row r="58" spans="1:16" ht="12" customHeight="1">
      <c r="F58" s="125"/>
      <c r="G58" s="125" t="s">
        <v>113</v>
      </c>
      <c r="H58" s="125"/>
      <c r="I58" s="126"/>
      <c r="J58" s="326">
        <f t="shared" si="0"/>
        <v>8.7031249119999998</v>
      </c>
      <c r="K58" s="327">
        <f t="shared" si="0"/>
        <v>10.153184130000001</v>
      </c>
      <c r="L58" s="37">
        <f t="shared" si="0"/>
        <v>1.9600629389999999</v>
      </c>
      <c r="M58" s="36">
        <f t="shared" si="0"/>
        <v>2.249338023</v>
      </c>
      <c r="N58" s="61">
        <f t="shared" si="0"/>
        <v>2.0012716869999996</v>
      </c>
      <c r="O58" s="38">
        <f>IF(J58/K58&lt;0,"n.a.",IF(K58&gt;0,ROUND(J58,4)/ROUND(K58,4)-1,IF(K58&lt;0,"n.a.")))</f>
        <v>-0.14282196745853537</v>
      </c>
      <c r="P58" s="39">
        <f>IF(L58/N58&lt;0,"n.a.",IF(N58&gt;0,ROUND(L58,4)/ROUND(N58,4)-1,IF(N58&lt;0,"n.a.")))</f>
        <v>-2.0586618697846504E-2</v>
      </c>
    </row>
    <row r="59" spans="1:16" ht="12" customHeight="1">
      <c r="F59" s="1" t="s">
        <v>242</v>
      </c>
      <c r="J59" s="69"/>
      <c r="K59" s="69"/>
      <c r="L59" s="69"/>
      <c r="M59" s="69"/>
      <c r="N59" s="69"/>
    </row>
    <row r="60" spans="1:16" ht="12" customHeight="1">
      <c r="J60" s="69"/>
      <c r="K60" s="69"/>
      <c r="L60" s="69"/>
      <c r="M60" s="69"/>
      <c r="N60" s="69"/>
    </row>
    <row r="61" spans="1:16" s="597" customFormat="1" ht="12" customHeight="1">
      <c r="A61" s="5"/>
      <c r="B61" s="1"/>
      <c r="C61" s="1"/>
      <c r="J61" s="753"/>
      <c r="K61" s="753"/>
    </row>
    <row r="62" spans="1:16" s="597" customFormat="1" ht="12" customHeight="1">
      <c r="A62" s="5"/>
      <c r="B62" s="1"/>
      <c r="C62" s="1"/>
      <c r="I62" s="763"/>
      <c r="J62" s="761"/>
      <c r="K62" s="761"/>
      <c r="L62" s="761"/>
      <c r="M62" s="761"/>
      <c r="N62" s="761"/>
    </row>
    <row r="63" spans="1:16" s="597" customFormat="1" ht="12" customHeight="1">
      <c r="A63" s="5"/>
      <c r="B63" s="1"/>
      <c r="C63" s="1"/>
      <c r="J63" s="761"/>
      <c r="K63" s="761"/>
      <c r="L63" s="761"/>
      <c r="M63" s="761"/>
      <c r="N63" s="761"/>
    </row>
    <row r="64" spans="1:16" s="597" customFormat="1" ht="12" customHeight="1">
      <c r="A64" s="1"/>
      <c r="B64" s="1"/>
      <c r="C64" s="1"/>
      <c r="J64" s="762"/>
      <c r="K64" s="762"/>
      <c r="L64" s="762"/>
      <c r="M64" s="762"/>
      <c r="N64" s="762"/>
    </row>
    <row r="65" spans="1:10" s="597" customFormat="1" ht="12" customHeight="1">
      <c r="A65" s="1"/>
      <c r="B65" s="1"/>
      <c r="C65" s="1"/>
    </row>
    <row r="66" spans="1:10" s="597" customFormat="1" ht="12" customHeight="1">
      <c r="A66" s="1"/>
      <c r="B66" s="1"/>
      <c r="C66" s="1"/>
    </row>
    <row r="67" spans="1:10" s="597" customFormat="1" ht="12" customHeight="1">
      <c r="A67" s="1"/>
      <c r="B67" s="1"/>
      <c r="C67" s="1"/>
    </row>
    <row r="68" spans="1:10" s="597" customFormat="1" ht="12" customHeight="1">
      <c r="A68" s="1"/>
      <c r="B68" s="1"/>
      <c r="C68" s="1"/>
      <c r="J68" s="753"/>
    </row>
    <row r="69" spans="1:10" s="597" customFormat="1" ht="12" customHeight="1">
      <c r="A69" s="1"/>
      <c r="B69" s="1"/>
      <c r="C69" s="1"/>
      <c r="J69" s="753"/>
    </row>
    <row r="70" spans="1:10" s="597" customFormat="1" ht="12" customHeight="1">
      <c r="A70" s="1"/>
      <c r="B70" s="1"/>
      <c r="C70" s="1"/>
      <c r="J70" s="753"/>
    </row>
    <row r="71" spans="1:10" ht="12" customHeight="1">
      <c r="A71" s="1"/>
      <c r="J71" s="69"/>
    </row>
    <row r="72" spans="1:10" ht="12" customHeight="1">
      <c r="A72" s="1"/>
      <c r="J72" s="69"/>
    </row>
    <row r="73" spans="1:10" ht="12" customHeight="1">
      <c r="A73" s="1"/>
    </row>
    <row r="74" spans="1:10" ht="12" customHeight="1">
      <c r="A74" s="1"/>
    </row>
    <row r="75" spans="1:10" ht="12" customHeight="1">
      <c r="A75" s="1"/>
    </row>
    <row r="76" spans="1:10" ht="12" customHeight="1">
      <c r="A76" s="1"/>
    </row>
  </sheetData>
  <mergeCells count="4">
    <mergeCell ref="J3:K3"/>
    <mergeCell ref="L3:N3"/>
    <mergeCell ref="J32:K32"/>
    <mergeCell ref="L32:N32"/>
  </mergeCells>
  <phoneticPr fontId="7" type="noConversion"/>
  <hyperlinks>
    <hyperlink ref="B5" location="FH!A1" display="재무현황" xr:uid="{24208A86-D699-439A-A4A3-4E37187DA134}"/>
    <hyperlink ref="B7" location="FS!A1" display="요약재무상태표 (Selected Balance sheet)" xr:uid="{EA7545A7-3508-4252-8EA3-474D6F16F4CF}"/>
    <hyperlink ref="C15" location="Stability!A1" display="재무 안정성 (Financial Stability)" xr:uid="{1B4DF1D8-B984-486E-BA60-CB8060B11ECA}"/>
    <hyperlink ref="C16" location="Productivity!A1" display="생산성 / 경영효율 (Productivity / Operating Efficiency)" xr:uid="{3A6E7892-E5E4-47F3-922A-1704A7C80F35}"/>
    <hyperlink ref="C20" location="'Premium Income by P.T.(GA+SA)'!A1" display="상품별 수입보험료 (Premium Income)" xr:uid="{9B46EBE8-8402-4DD5-956B-8C1BE19FA00F}"/>
    <hyperlink ref="C21" location="'Initial P. by P.T.'!A1" display="상품별 초회보험료 (Initial Premium)" xr:uid="{AF0CF9BF-CE5C-4016-B311-AAEADE6D9929}"/>
    <hyperlink ref="C22" location="'First-year P. by P.T.'!A1" display="상품별 초년도보험료 (First Year Premium)" xr:uid="{F31FBC25-0829-4161-86FE-47D2F755B905}"/>
    <hyperlink ref="C26" location="'Premium Income by D.C.(GA+SA)'!A1" display="채널별 수입보험료 (Premium Income)" xr:uid="{C81CB75E-FFF7-4EDF-83B0-C2B68865852B}"/>
    <hyperlink ref="C27" location="'First-year P. by D.C'!A1" display="채널별 초년도보험료 (First Year Premium)" xr:uid="{8750DE3F-DFAC-4809-96A3-EAE20BCF45ED}"/>
    <hyperlink ref="C31" location="'&gt;Loan'!A1" display="대출 (Loan)/ 자산건전성 (Asset Quality of Loan)" xr:uid="{4344FA28-78B3-4D50-9E17-38589CECAA51}"/>
    <hyperlink ref="C32" location="'&gt;Bond'!A1" display="채권 (Bond)" xr:uid="{F5565B7B-53C8-4C40-A43F-1675F524DB54}"/>
    <hyperlink ref="C35" location="'BS  K-IFRS'!A1" display="재무상태표 (Balance Sheet - KIFRS)" xr:uid="{DA179EA2-821E-412A-9F9C-67786A760A58}"/>
    <hyperlink ref="C36" location="'IS  K-IFRS'!A1" display="손익계산서 (Income Statement - KIFRS)" xr:uid="{74B728DD-FFCB-41D4-8CF8-FDA316ADE643}"/>
    <hyperlink ref="B8" location="FS!A1" display="요약손익계산서 (Selected Income Statement)" xr:uid="{91D62F9A-5BD3-48B7-A5EA-9DB16F26DB04}"/>
    <hyperlink ref="B10" location="CSM!A1" display="RA, CSM, BEL Movement" xr:uid="{DC63A256-1125-4079-A5C4-C8033A43F1A6}"/>
    <hyperlink ref="B11" location="CSM!A1" display="신계약 CSM (New Business CSM)" xr:uid="{470B2FD7-E1CE-4622-9ED8-DEF2E9A31DCD}"/>
    <hyperlink ref="B13" location="'Sources of Margin'!A1" display="이원별손익" xr:uid="{A7D586E4-A703-4CFF-807B-6E6475810AAB}"/>
    <hyperlink ref="B12" location="CSM!A1" display="신계약 CSM 배수 (New Business CSM Margin)" xr:uid="{165A0E6C-BB65-4ABE-A290-3B4ABA529402}"/>
    <hyperlink ref="C19" location="'APE by P.T'!A1" display="상품별 APE (Annualized Premium Equivalent (APE))" xr:uid="{3D0B6C20-DB66-494B-B126-7482344FF334}"/>
    <hyperlink ref="C25" location="'APE by D.C'!A1" display="채널별 APE (Annualized Premium Equivalent (APE))" xr:uid="{27C3370B-9042-43D8-84B6-6D8B5A37B86C}"/>
  </hyperlinks>
  <pageMargins left="0.19685039370078741" right="0.19685039370078741" top="0.74803149606299213" bottom="0.74803149606299213" header="0.31496062992125984" footer="0.31496062992125984"/>
  <pageSetup paperSize="9" scale="6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fitToPage="1"/>
  </sheetPr>
  <dimension ref="A1:V100"/>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0.7109375" style="1" customWidth="1"/>
    <col min="10" max="14" width="10.7109375" style="1" customWidth="1"/>
    <col min="15" max="16" width="8.7109375" style="1" customWidth="1"/>
    <col min="17" max="16384" width="9.140625" style="1"/>
  </cols>
  <sheetData>
    <row r="1" spans="1:18" s="3" customFormat="1" ht="24" customHeight="1">
      <c r="A1" s="6"/>
      <c r="F1" s="92" t="s">
        <v>119</v>
      </c>
      <c r="G1" s="4"/>
    </row>
    <row r="2" spans="1:18" ht="12" customHeight="1">
      <c r="A2" s="140"/>
      <c r="B2" s="141"/>
      <c r="C2" s="141"/>
      <c r="F2" s="111" t="s">
        <v>80</v>
      </c>
    </row>
    <row r="3" spans="1:18" ht="12" customHeight="1">
      <c r="A3" s="140" t="s">
        <v>27</v>
      </c>
      <c r="B3" s="141"/>
      <c r="C3" s="141"/>
      <c r="F3" s="57"/>
      <c r="G3" s="58"/>
      <c r="H3" s="58"/>
      <c r="I3" s="59"/>
      <c r="J3" s="854" t="s">
        <v>82</v>
      </c>
      <c r="K3" s="855"/>
      <c r="L3" s="856" t="s">
        <v>83</v>
      </c>
      <c r="M3" s="854"/>
      <c r="N3" s="855"/>
      <c r="O3" s="113"/>
      <c r="P3" s="113"/>
    </row>
    <row r="4" spans="1:18" ht="12" customHeight="1">
      <c r="A4" s="140"/>
      <c r="B4" s="141"/>
      <c r="C4" s="141"/>
      <c r="F4" s="84" t="s">
        <v>81</v>
      </c>
      <c r="G4" s="115"/>
      <c r="H4" s="115"/>
      <c r="I4" s="116"/>
      <c r="J4" s="776">
        <v>46022</v>
      </c>
      <c r="K4" s="187">
        <v>45657</v>
      </c>
      <c r="L4" s="776">
        <v>46022</v>
      </c>
      <c r="M4" s="259">
        <v>45657</v>
      </c>
      <c r="N4" s="266">
        <v>45930</v>
      </c>
      <c r="O4" s="262" t="s">
        <v>23</v>
      </c>
      <c r="P4" s="110" t="s">
        <v>24</v>
      </c>
    </row>
    <row r="5" spans="1:18" ht="12" customHeight="1">
      <c r="A5" s="150"/>
      <c r="B5" s="140" t="s">
        <v>155</v>
      </c>
      <c r="C5" s="140"/>
      <c r="F5" s="129" t="s">
        <v>109</v>
      </c>
      <c r="G5" s="129"/>
      <c r="H5" s="129"/>
      <c r="I5" s="130"/>
      <c r="J5" s="75">
        <v>152.99510991000002</v>
      </c>
      <c r="K5" s="76">
        <v>155.53029879099995</v>
      </c>
      <c r="L5" s="143">
        <v>37.281193477999992</v>
      </c>
      <c r="M5" s="75">
        <v>40.795539586999986</v>
      </c>
      <c r="N5" s="76">
        <v>39.862413506000003</v>
      </c>
      <c r="O5" s="77">
        <f>IF(J5/K5&lt;0,"n.a.",IF(K5&gt;0,ROUND(J5,4)/ROUND(K5,4)-1,IF(K5&lt;0,"n.a.")))</f>
        <v>-1.6300360765715727E-2</v>
      </c>
      <c r="P5" s="77">
        <f>IF(L5/N5&lt;0,"n.a.",IF(N5&gt;0,ROUND(L5,4)/ROUND(N5,4)-1,IF(N5&lt;0,"n.a.")))</f>
        <v>-6.4752749458136027E-2</v>
      </c>
      <c r="Q5" s="32"/>
    </row>
    <row r="6" spans="1:18" ht="12" customHeight="1">
      <c r="A6" s="150"/>
      <c r="B6" s="149"/>
      <c r="C6" s="141"/>
      <c r="F6" s="129" t="s">
        <v>114</v>
      </c>
      <c r="G6" s="129"/>
      <c r="H6" s="129"/>
      <c r="I6" s="130"/>
      <c r="J6" s="75">
        <v>28.590977686000002</v>
      </c>
      <c r="K6" s="76">
        <v>36.513870960000006</v>
      </c>
      <c r="L6" s="143">
        <v>6.5253833089999986</v>
      </c>
      <c r="M6" s="75">
        <v>8.0992851110000021</v>
      </c>
      <c r="N6" s="76">
        <v>7.2164436390000004</v>
      </c>
      <c r="O6" s="77">
        <f>IF(J6/K6&lt;0,"n.a.",IF(K6&gt;0,ROUND(J6,4)/ROUND(K6,4)-1,IF(K6&lt;0,"n.a.")))</f>
        <v>-0.21698312149619725</v>
      </c>
      <c r="P6" s="77">
        <f>IF(L6/N6&lt;0,"n.a.",IF(N6&gt;0,ROUND(L6,4)/ROUND(N6,4)-1,IF(N6&lt;0,"n.a.")))</f>
        <v>-9.5754115625519609E-2</v>
      </c>
      <c r="Q6" s="32"/>
    </row>
    <row r="7" spans="1:18" ht="12" customHeight="1">
      <c r="A7" s="150"/>
      <c r="B7" s="149" t="s">
        <v>212</v>
      </c>
      <c r="C7" s="141"/>
      <c r="F7" s="129" t="s">
        <v>115</v>
      </c>
      <c r="G7" s="129"/>
      <c r="H7" s="129"/>
      <c r="I7" s="130"/>
      <c r="J7" s="75">
        <v>401.58158718599998</v>
      </c>
      <c r="K7" s="76">
        <v>451.91116616399995</v>
      </c>
      <c r="L7" s="143">
        <v>77.528469897000008</v>
      </c>
      <c r="M7" s="75">
        <v>123.59934960100007</v>
      </c>
      <c r="N7" s="76">
        <v>96.370058149999963</v>
      </c>
      <c r="O7" s="77">
        <f>IF(J7/K7&lt;0,"n.a.",IF(K7&gt;0,ROUND(J7,4)/ROUND(K7,4)-1,IF(K7&lt;0,"n.a.")))</f>
        <v>-0.11137055244481664</v>
      </c>
      <c r="P7" s="77">
        <f>IF(L7/N7&lt;0,"n.a.",IF(N7&gt;0,ROUND(L7,4)/ROUND(N7,4)-1,IF(N7&lt;0,"n.a.")))</f>
        <v>-0.19551292361427453</v>
      </c>
      <c r="Q7" s="32"/>
    </row>
    <row r="8" spans="1:18" ht="12" customHeight="1">
      <c r="A8" s="150"/>
      <c r="B8" s="149" t="s">
        <v>213</v>
      </c>
      <c r="C8" s="141"/>
      <c r="F8" s="129" t="s">
        <v>116</v>
      </c>
      <c r="G8" s="129"/>
      <c r="H8" s="129"/>
      <c r="I8" s="130"/>
      <c r="J8" s="75">
        <v>495.45711514399994</v>
      </c>
      <c r="K8" s="76">
        <v>600.12280638399989</v>
      </c>
      <c r="L8" s="143">
        <v>102.63172276900001</v>
      </c>
      <c r="M8" s="75">
        <v>32.87543645800001</v>
      </c>
      <c r="N8" s="76">
        <v>292.77469706799997</v>
      </c>
      <c r="O8" s="77">
        <f>IF(J8/K8&lt;0,"n.a.",IF(K8&gt;0,ROUND(J8,4)/ROUND(K8,4)-1,IF(K8&lt;0,"n.a.")))</f>
        <v>-0.1744071380057548</v>
      </c>
      <c r="P8" s="77">
        <f>IF(L8/N8&lt;0,"n.a.",IF(N8&gt;0,ROUND(L8,4)/ROUND(N8,4)-1,IF(N8&lt;0,"n.a.")))</f>
        <v>-0.64945160903589005</v>
      </c>
      <c r="Q8" s="214"/>
    </row>
    <row r="9" spans="1:18" ht="12" customHeight="1">
      <c r="A9" s="150"/>
      <c r="B9" s="149"/>
      <c r="C9" s="141"/>
      <c r="F9" s="131" t="s">
        <v>117</v>
      </c>
      <c r="G9" s="131"/>
      <c r="H9" s="131"/>
      <c r="I9" s="132"/>
      <c r="J9" s="78">
        <f>SUM(J5:J8)</f>
        <v>1078.6247899259999</v>
      </c>
      <c r="K9" s="173">
        <f>SUM(K5:K8)</f>
        <v>1244.0781422989999</v>
      </c>
      <c r="L9" s="144">
        <f>SUM(L5:L8)</f>
        <v>223.96676945299998</v>
      </c>
      <c r="M9" s="78">
        <f>SUM(M5:M8)</f>
        <v>205.36961075700009</v>
      </c>
      <c r="N9" s="173">
        <f>SUM(N5:N8)</f>
        <v>436.22361236299992</v>
      </c>
      <c r="O9" s="79">
        <f>IF(J9/K9&lt;0,"n.a.",IF(K9&gt;0,ROUND(J9,4)/ROUND(K9,4)-1,IF(K9&lt;0,"n.a.")))</f>
        <v>-0.13299269555504589</v>
      </c>
      <c r="P9" s="79">
        <f>IF(L9/N9&lt;0,"n.a.",IF(N9&gt;0,ROUND(L9,4)/ROUND(N9,4)-1,IF(N9&lt;0,"n.a.")))</f>
        <v>-0.48657798431813404</v>
      </c>
      <c r="Q9" s="214"/>
      <c r="R9" s="214"/>
    </row>
    <row r="10" spans="1:18" ht="12" customHeight="1">
      <c r="A10" s="140"/>
      <c r="B10" s="149" t="s">
        <v>171</v>
      </c>
      <c r="C10" s="141"/>
      <c r="F10" s="7"/>
      <c r="G10" s="7"/>
      <c r="H10" s="7"/>
      <c r="I10" s="7"/>
      <c r="J10" s="21"/>
      <c r="K10" s="21"/>
      <c r="O10" s="22"/>
      <c r="P10" s="23"/>
    </row>
    <row r="11" spans="1:18" ht="12" customHeight="1">
      <c r="A11" s="140"/>
      <c r="B11" s="149" t="s">
        <v>166</v>
      </c>
      <c r="C11" s="141"/>
      <c r="F11" s="2" t="s">
        <v>120</v>
      </c>
      <c r="Q11" s="32"/>
    </row>
    <row r="12" spans="1:18" ht="12" customHeight="1">
      <c r="A12" s="140"/>
      <c r="B12" s="149" t="s">
        <v>222</v>
      </c>
      <c r="C12" s="141"/>
      <c r="F12" s="2"/>
    </row>
    <row r="13" spans="1:18" ht="12" customHeight="1">
      <c r="A13" s="140"/>
      <c r="B13" s="149"/>
      <c r="C13" s="141"/>
      <c r="F13" s="57"/>
      <c r="G13" s="58"/>
      <c r="H13" s="58"/>
      <c r="I13" s="59"/>
      <c r="J13" s="854" t="s">
        <v>82</v>
      </c>
      <c r="K13" s="855"/>
      <c r="L13" s="856" t="s">
        <v>83</v>
      </c>
      <c r="M13" s="854"/>
      <c r="N13" s="855"/>
      <c r="O13" s="113"/>
      <c r="P13" s="113"/>
    </row>
    <row r="14" spans="1:18" ht="12" customHeight="1">
      <c r="A14" s="140"/>
      <c r="B14" s="140" t="s">
        <v>173</v>
      </c>
      <c r="C14" s="141"/>
      <c r="F14" s="84" t="s">
        <v>81</v>
      </c>
      <c r="G14" s="115"/>
      <c r="H14" s="115"/>
      <c r="I14" s="116"/>
      <c r="J14" s="776">
        <v>46022</v>
      </c>
      <c r="K14" s="187">
        <v>45657</v>
      </c>
      <c r="L14" s="776">
        <v>46022</v>
      </c>
      <c r="M14" s="259">
        <v>45657</v>
      </c>
      <c r="N14" s="266">
        <v>45930</v>
      </c>
      <c r="O14" s="262" t="s">
        <v>23</v>
      </c>
      <c r="P14" s="110" t="s">
        <v>24</v>
      </c>
      <c r="Q14" s="215"/>
    </row>
    <row r="15" spans="1:18" ht="12" customHeight="1">
      <c r="A15" s="140"/>
      <c r="B15" s="142"/>
      <c r="C15" s="149" t="s">
        <v>40</v>
      </c>
      <c r="F15" s="129" t="s">
        <v>109</v>
      </c>
      <c r="G15" s="129"/>
      <c r="H15" s="129"/>
      <c r="I15" s="130"/>
      <c r="J15" s="75">
        <v>9.2391837009999982</v>
      </c>
      <c r="K15" s="76">
        <v>12.814758973</v>
      </c>
      <c r="L15" s="143">
        <v>2.8062994449999996</v>
      </c>
      <c r="M15" s="75">
        <v>1.5382701569999999</v>
      </c>
      <c r="N15" s="76">
        <v>3.9175805039999996</v>
      </c>
      <c r="O15" s="77">
        <f>IF(J15/K15&lt;0,"n.a.",IF(K15&gt;0,ROUND(J15,4)/ROUND(K15,4)-1,IF(K15&lt;0,"n.a.")))</f>
        <v>-0.27902113181633736</v>
      </c>
      <c r="P15" s="77">
        <f>IF(L15/N15&lt;0,"n.a.",IF(N15&gt;0,ROUND(L15,4)/ROUND(N15,4)-1,IF(N15&lt;0,"n.a.")))</f>
        <v>-0.28366857259546674</v>
      </c>
      <c r="Q15" s="32" ph="1"/>
    </row>
    <row r="16" spans="1:18" ht="12" customHeight="1">
      <c r="A16" s="140"/>
      <c r="B16" s="140"/>
      <c r="C16" s="149" t="s">
        <v>41</v>
      </c>
      <c r="F16" s="129" t="s">
        <v>114</v>
      </c>
      <c r="G16" s="129"/>
      <c r="H16" s="129"/>
      <c r="I16" s="130"/>
      <c r="J16" s="75">
        <v>0.67295751100000012</v>
      </c>
      <c r="K16" s="424">
        <v>0.24987498000000002</v>
      </c>
      <c r="L16" s="143">
        <v>0.136255933</v>
      </c>
      <c r="M16" s="425">
        <v>1.9739879999999998E-2</v>
      </c>
      <c r="N16" s="76">
        <v>0.37090883000000002</v>
      </c>
      <c r="O16" s="252">
        <f>IF(J16/K16&lt;0,"n.a.",IF(K16&gt;0,ROUND(J16,4)/ROUND(K16,4)-1,IF(K16&lt;0,"n.a.")))</f>
        <v>1.693077230892357</v>
      </c>
      <c r="P16" s="252">
        <f>IF(L16/N16&lt;0,"n.a.",IF(N16&gt;0,ROUND(L16,4)/ROUND(N16,4)-1,IF(N16&lt;0,"n.a.")))</f>
        <v>-0.6325155028309517</v>
      </c>
      <c r="Q16" s="32"/>
    </row>
    <row r="17" spans="1:22" ht="12" customHeight="1">
      <c r="A17" s="140"/>
      <c r="B17" s="140"/>
      <c r="C17" s="149"/>
      <c r="F17" s="129" t="s">
        <v>115</v>
      </c>
      <c r="G17" s="129"/>
      <c r="H17" s="129"/>
      <c r="I17" s="130"/>
      <c r="J17" s="75">
        <v>2.7316408590000001</v>
      </c>
      <c r="K17" s="424">
        <v>6.4501308330000002</v>
      </c>
      <c r="L17" s="143">
        <v>0.26071780999999999</v>
      </c>
      <c r="M17" s="425">
        <v>0.88939639400000015</v>
      </c>
      <c r="N17" s="76">
        <v>1.060351394</v>
      </c>
      <c r="O17" s="252">
        <f>IF(J17/K17&lt;0,"n.a.",IF(K17&gt;0,ROUND(J17,4)/ROUND(K17,4)-1,IF(K17&lt;0,"n.a.")))</f>
        <v>-0.57650268988077702</v>
      </c>
      <c r="P17" s="252">
        <f>IF(L17/N17&lt;0,"n.a.",IF(N17&gt;0,ROUND(L17,4)/ROUND(N17,4)-1,IF(N17&lt;0,"n.a.")))</f>
        <v>-0.75414937759336098</v>
      </c>
      <c r="Q17" s="32"/>
    </row>
    <row r="18" spans="1:22" s="40" customFormat="1" ht="12" customHeight="1">
      <c r="A18" s="140"/>
      <c r="B18" s="140" t="s">
        <v>176</v>
      </c>
      <c r="C18" s="149"/>
      <c r="D18" s="1"/>
      <c r="E18" s="1"/>
      <c r="F18" s="129" t="s">
        <v>116</v>
      </c>
      <c r="G18" s="129"/>
      <c r="H18" s="129"/>
      <c r="I18" s="130"/>
      <c r="J18" s="75">
        <v>352.12620910800001</v>
      </c>
      <c r="K18" s="76">
        <v>487.25279262899994</v>
      </c>
      <c r="L18" s="143">
        <v>71.21655245800001</v>
      </c>
      <c r="M18" s="75">
        <v>0.77013190900000006</v>
      </c>
      <c r="N18" s="76">
        <v>255.086211131</v>
      </c>
      <c r="O18" s="77">
        <f>IF(J18/K18&lt;0,"n.a.",IF(K18&gt;0,ROUND(J18,4)/ROUND(K18,4)-1,IF(K18&lt;0,"n.a.")))</f>
        <v>-0.2773233935238546</v>
      </c>
      <c r="P18" s="77">
        <f>IF(L18/N18&lt;0,"n.a.",IF(N18&gt;0,ROUND(L18,4)/ROUND(N18,4)-1,IF(N18&lt;0,"n.a.")))</f>
        <v>-0.72081359164078651</v>
      </c>
      <c r="Q18" s="32"/>
    </row>
    <row r="19" spans="1:22" ht="12" customHeight="1">
      <c r="A19" s="140"/>
      <c r="B19" s="140"/>
      <c r="C19" s="149" t="s">
        <v>33</v>
      </c>
      <c r="F19" s="131" t="s">
        <v>117</v>
      </c>
      <c r="G19" s="131"/>
      <c r="H19" s="131"/>
      <c r="I19" s="132"/>
      <c r="J19" s="78">
        <f>SUM(J15:J18)</f>
        <v>364.76999117899999</v>
      </c>
      <c r="K19" s="173">
        <f>SUM(K15:K18)</f>
        <v>506.76755741499994</v>
      </c>
      <c r="L19" s="144">
        <f>SUM(L15:L18)</f>
        <v>74.419825646000007</v>
      </c>
      <c r="M19" s="78">
        <f>SUM(M15:M18)</f>
        <v>3.2175383399999999</v>
      </c>
      <c r="N19" s="173">
        <f>SUM(N15:N18)</f>
        <v>260.435051859</v>
      </c>
      <c r="O19" s="79">
        <f>IF(J19/K19&lt;0,"n.a.",IF(K19&gt;0,ROUND(J19,4)/ROUND(K19,4)-1,IF(K19&lt;0,"n.a.")))</f>
        <v>-0.280202601744863</v>
      </c>
      <c r="P19" s="79">
        <f>IF(L19/N19&lt;0,"n.a.",IF(N19&gt;0,ROUND(L19,4)/ROUND(N19,4)-1,IF(N19&lt;0,"n.a.")))</f>
        <v>-0.71424819465578948</v>
      </c>
      <c r="Q19" s="214"/>
    </row>
    <row r="20" spans="1:22" ht="12" customHeight="1">
      <c r="A20" s="140"/>
      <c r="B20" s="140"/>
      <c r="C20" s="149" t="s">
        <v>29</v>
      </c>
    </row>
    <row r="21" spans="1:22" ht="12" customHeight="1">
      <c r="A21" s="140"/>
      <c r="B21" s="140"/>
      <c r="C21" s="149" t="s">
        <v>30</v>
      </c>
      <c r="F21" s="2" t="s">
        <v>121</v>
      </c>
    </row>
    <row r="22" spans="1:22" ht="12" customHeight="1">
      <c r="A22" s="140"/>
      <c r="B22" s="140"/>
      <c r="C22" s="149" t="s">
        <v>31</v>
      </c>
      <c r="F22" s="2"/>
    </row>
    <row r="23" spans="1:22" ht="12" customHeight="1">
      <c r="A23" s="140"/>
      <c r="B23" s="140"/>
      <c r="C23" s="149"/>
      <c r="F23" s="57"/>
      <c r="G23" s="58"/>
      <c r="H23" s="58"/>
      <c r="I23" s="59"/>
      <c r="J23" s="854" t="s">
        <v>82</v>
      </c>
      <c r="K23" s="855"/>
      <c r="L23" s="856" t="s">
        <v>83</v>
      </c>
      <c r="M23" s="854"/>
      <c r="N23" s="855"/>
      <c r="O23" s="113"/>
      <c r="P23" s="113"/>
      <c r="Q23" s="295"/>
    </row>
    <row r="24" spans="1:22" ht="12" customHeight="1">
      <c r="A24" s="140"/>
      <c r="B24" s="140" t="s">
        <v>181</v>
      </c>
      <c r="C24" s="149"/>
      <c r="F24" s="84" t="s">
        <v>81</v>
      </c>
      <c r="G24" s="115"/>
      <c r="H24" s="115"/>
      <c r="I24" s="116"/>
      <c r="J24" s="776">
        <v>46022</v>
      </c>
      <c r="K24" s="187">
        <v>45657</v>
      </c>
      <c r="L24" s="776">
        <v>46022</v>
      </c>
      <c r="M24" s="259">
        <v>45657</v>
      </c>
      <c r="N24" s="266">
        <v>45930</v>
      </c>
      <c r="O24" s="262" t="s">
        <v>23</v>
      </c>
      <c r="P24" s="110" t="s">
        <v>24</v>
      </c>
      <c r="Q24" s="215"/>
    </row>
    <row r="25" spans="1:22" ht="12" customHeight="1">
      <c r="A25" s="140"/>
      <c r="B25" s="140"/>
      <c r="C25" s="149" t="s">
        <v>32</v>
      </c>
      <c r="F25" s="129" t="s">
        <v>109</v>
      </c>
      <c r="G25" s="129"/>
      <c r="H25" s="129"/>
      <c r="I25" s="130"/>
      <c r="J25" s="75">
        <v>143.75592620900002</v>
      </c>
      <c r="K25" s="76">
        <v>142.71553981799997</v>
      </c>
      <c r="L25" s="143">
        <v>34.474894032999998</v>
      </c>
      <c r="M25" s="75">
        <v>39.257269429999987</v>
      </c>
      <c r="N25" s="76">
        <v>35.94483300200001</v>
      </c>
      <c r="O25" s="77">
        <f>IF(J25/K25&lt;0,"n.a.",IF(K25&gt;0,ROUND(J25,4)/ROUND(K25,4)-1,IF(K25&lt;0,"n.a.")))</f>
        <v>7.2900280628243053E-3</v>
      </c>
      <c r="P25" s="77">
        <f>IF(L25/N25&lt;0,"n.a.",IF(N25&gt;0,ROUND(L25,4)/ROUND(N25,4)-1,IF(N25&lt;0,"n.a.")))</f>
        <v>-4.0893258552001988E-2</v>
      </c>
      <c r="Q25" s="32"/>
      <c r="S25" s="683"/>
      <c r="T25" s="683"/>
      <c r="U25" s="683"/>
      <c r="V25" s="683"/>
    </row>
    <row r="26" spans="1:22" ht="12" customHeight="1">
      <c r="A26" s="140"/>
      <c r="B26" s="140"/>
      <c r="C26" s="149" t="s">
        <v>34</v>
      </c>
      <c r="F26" s="129" t="s">
        <v>114</v>
      </c>
      <c r="G26" s="129"/>
      <c r="H26" s="129"/>
      <c r="I26" s="130"/>
      <c r="J26" s="75">
        <v>27.918020174999995</v>
      </c>
      <c r="K26" s="76">
        <v>36.263995979999997</v>
      </c>
      <c r="L26" s="143">
        <v>6.3891273759999985</v>
      </c>
      <c r="M26" s="75">
        <v>8.0795452310000009</v>
      </c>
      <c r="N26" s="76">
        <v>6.8455348089999992</v>
      </c>
      <c r="O26" s="77">
        <f>IF(J26/K26&lt;0,"n.a.",IF(K26&gt;0,ROUND(J26,4)/ROUND(K26,4)-1,IF(K26&lt;0,"n.a.")))</f>
        <v>-0.23014559894109865</v>
      </c>
      <c r="P26" s="77">
        <f>IF(L26/N26&lt;0,"n.a.",IF(N26&gt;0,ROUND(L26,4)/ROUND(N26,4)-1,IF(N26&lt;0,"n.a.")))</f>
        <v>-6.6671536045577406E-2</v>
      </c>
      <c r="Q26" s="32"/>
      <c r="S26" s="779"/>
      <c r="T26" s="683"/>
      <c r="U26" s="779"/>
      <c r="V26" s="683"/>
    </row>
    <row r="27" spans="1:22" ht="12" customHeight="1">
      <c r="A27" s="140"/>
      <c r="B27" s="140"/>
      <c r="C27" s="149" t="s">
        <v>35</v>
      </c>
      <c r="F27" s="129" t="s">
        <v>115</v>
      </c>
      <c r="G27" s="129"/>
      <c r="H27" s="129"/>
      <c r="I27" s="130"/>
      <c r="J27" s="75">
        <v>398.849946327</v>
      </c>
      <c r="K27" s="76">
        <v>445.46103533100001</v>
      </c>
      <c r="L27" s="143">
        <v>77.267752087000019</v>
      </c>
      <c r="M27" s="75">
        <v>122.70995320700007</v>
      </c>
      <c r="N27" s="76">
        <v>95.309706755999969</v>
      </c>
      <c r="O27" s="77">
        <f>IF(J27/K27&lt;0,"n.a.",IF(K27&gt;0,ROUND(J27,4)/ROUND(K27,4)-1,IF(K27&lt;0,"n.a.")))</f>
        <v>-0.10463564711613371</v>
      </c>
      <c r="P27" s="77">
        <f>IF(L27/N27&lt;0,"n.a.",IF(N27&gt;0,ROUND(L27,4)/ROUND(N27,4)-1,IF(N27&lt;0,"n.a.")))</f>
        <v>-0.18929762657945637</v>
      </c>
      <c r="Q27" s="32"/>
      <c r="S27" s="779"/>
      <c r="T27" s="683"/>
      <c r="U27" s="779"/>
      <c r="V27" s="683"/>
    </row>
    <row r="28" spans="1:22" ht="12" customHeight="1">
      <c r="A28" s="140"/>
      <c r="B28" s="140"/>
      <c r="C28" s="149"/>
      <c r="F28" s="129" t="s">
        <v>116</v>
      </c>
      <c r="G28" s="129"/>
      <c r="H28" s="129"/>
      <c r="I28" s="130"/>
      <c r="J28" s="75">
        <v>143.33090603599999</v>
      </c>
      <c r="K28" s="76">
        <v>112.870013755</v>
      </c>
      <c r="L28" s="143">
        <v>31.415170311000001</v>
      </c>
      <c r="M28" s="75">
        <v>32.10530454900001</v>
      </c>
      <c r="N28" s="76">
        <v>37.688485937000003</v>
      </c>
      <c r="O28" s="77">
        <f>IF(J28/K28&lt;0,"n.a.",IF(K28&gt;0,ROUND(J28,4)/ROUND(K28,4)-1,IF(K28&lt;0,"n.a.")))</f>
        <v>0.26987596349782939</v>
      </c>
      <c r="P28" s="77">
        <f>IF(L28/N28&lt;0,"n.a.",IF(N28&gt;0,ROUND(L28,4)/ROUND(N28,4)-1,IF(N28&lt;0,"n.a.")))</f>
        <v>-0.16645130477466596</v>
      </c>
      <c r="Q28" s="32"/>
      <c r="S28" s="779"/>
      <c r="T28" s="683"/>
      <c r="U28" s="779"/>
      <c r="V28" s="683"/>
    </row>
    <row r="29" spans="1:22" ht="12" customHeight="1">
      <c r="A29" s="140"/>
      <c r="B29" s="140"/>
      <c r="C29" s="149"/>
      <c r="F29" s="131" t="s">
        <v>117</v>
      </c>
      <c r="G29" s="131"/>
      <c r="H29" s="131"/>
      <c r="I29" s="132"/>
      <c r="J29" s="78">
        <f>SUM(J25:J28)</f>
        <v>713.85479874700002</v>
      </c>
      <c r="K29" s="173">
        <f>SUM(K25:K28)</f>
        <v>737.31058488400004</v>
      </c>
      <c r="L29" s="144">
        <f>SUM(L25:L28)</f>
        <v>149.54694380700002</v>
      </c>
      <c r="M29" s="78">
        <f>SUM(M25:M28)</f>
        <v>202.15207241700008</v>
      </c>
      <c r="N29" s="173">
        <f>SUM(N25:N28)</f>
        <v>175.78856050399997</v>
      </c>
      <c r="O29" s="79">
        <f>IF(J29/K29&lt;0,"n.a.",IF(K29&gt;0,ROUND(J29,4)/ROUND(K29,4)-1,IF(K29&lt;0,"n.a.")))</f>
        <v>-3.181264449473542E-2</v>
      </c>
      <c r="P29" s="79">
        <f>IF(L29/N29&lt;0,"n.a.",IF(N29&gt;0,ROUND(L29,4)/ROUND(N29,4)-1,IF(N29&lt;0,"n.a.")))</f>
        <v>-0.14927987366643802</v>
      </c>
      <c r="Q29" s="214"/>
      <c r="S29" s="779"/>
      <c r="T29" s="683"/>
      <c r="U29" s="779"/>
      <c r="V29" s="683"/>
    </row>
    <row r="30" spans="1:22" s="3" customFormat="1" ht="12" customHeight="1">
      <c r="A30" s="140"/>
      <c r="B30" s="140" t="s">
        <v>185</v>
      </c>
      <c r="C30" s="149"/>
      <c r="D30" s="1"/>
      <c r="E30" s="1"/>
      <c r="F30" s="7"/>
      <c r="G30" s="7"/>
      <c r="H30" s="7"/>
      <c r="I30" s="7"/>
      <c r="J30" s="21"/>
      <c r="K30" s="21"/>
      <c r="L30" s="21"/>
      <c r="M30" s="21"/>
      <c r="N30" s="21"/>
      <c r="O30" s="22"/>
      <c r="P30" s="23"/>
      <c r="S30" s="779"/>
      <c r="T30" s="747"/>
      <c r="U30" s="779"/>
      <c r="V30" s="747"/>
    </row>
    <row r="31" spans="1:22" ht="12" customHeight="1">
      <c r="A31" s="140"/>
      <c r="B31" s="140"/>
      <c r="C31" s="149" t="s">
        <v>147</v>
      </c>
      <c r="F31" s="1" t="s">
        <v>242</v>
      </c>
      <c r="H31" s="239"/>
      <c r="S31" s="779"/>
      <c r="T31" s="683"/>
      <c r="U31" s="779"/>
      <c r="V31" s="683"/>
    </row>
    <row r="32" spans="1:22" ht="12" customHeight="1">
      <c r="A32" s="140"/>
      <c r="B32" s="140"/>
      <c r="C32" s="149" t="s">
        <v>36</v>
      </c>
      <c r="S32" s="779"/>
      <c r="T32" s="683"/>
      <c r="U32" s="779"/>
      <c r="V32" s="683"/>
    </row>
    <row r="33" spans="1:22" ht="12" customHeight="1">
      <c r="A33" s="140"/>
      <c r="B33" s="140"/>
      <c r="C33" s="149"/>
      <c r="F33" s="7"/>
      <c r="S33" s="780"/>
      <c r="T33" s="683"/>
      <c r="U33" s="780"/>
      <c r="V33" s="683"/>
    </row>
    <row r="34" spans="1:22" ht="12" customHeight="1">
      <c r="A34" s="140"/>
      <c r="B34" s="140" t="s">
        <v>188</v>
      </c>
      <c r="C34" s="149"/>
      <c r="F34" s="7"/>
      <c r="I34" s="663"/>
      <c r="J34" s="669"/>
      <c r="K34" s="669"/>
      <c r="L34" s="669"/>
      <c r="M34" s="669"/>
      <c r="N34" s="669"/>
      <c r="O34" s="664"/>
      <c r="P34" s="664"/>
      <c r="S34" s="683"/>
      <c r="T34" s="683"/>
      <c r="U34" s="683"/>
      <c r="V34" s="683"/>
    </row>
    <row r="35" spans="1:22" ht="12" customHeight="1">
      <c r="A35" s="140"/>
      <c r="B35" s="140"/>
      <c r="C35" s="149" t="s">
        <v>37</v>
      </c>
      <c r="F35" s="7"/>
      <c r="J35" s="669"/>
      <c r="K35" s="669"/>
      <c r="L35" s="669"/>
      <c r="M35" s="669"/>
      <c r="N35" s="669"/>
      <c r="O35" s="664"/>
      <c r="P35" s="664"/>
      <c r="S35" s="683"/>
      <c r="T35" s="683"/>
      <c r="U35" s="683"/>
      <c r="V35" s="683"/>
    </row>
    <row r="36" spans="1:22" ht="12" customHeight="1">
      <c r="A36" s="140"/>
      <c r="B36" s="140"/>
      <c r="C36" s="149" t="s">
        <v>38</v>
      </c>
      <c r="F36" s="7"/>
      <c r="I36" s="663"/>
      <c r="J36" s="669"/>
      <c r="K36" s="669"/>
      <c r="L36" s="669"/>
      <c r="M36" s="669"/>
      <c r="N36" s="669"/>
      <c r="O36" s="664"/>
      <c r="P36" s="664"/>
    </row>
    <row r="37" spans="1:22" ht="12" customHeight="1">
      <c r="A37" s="25"/>
      <c r="J37" s="669"/>
      <c r="K37" s="669"/>
      <c r="L37" s="669"/>
      <c r="M37" s="669"/>
      <c r="N37" s="669"/>
      <c r="O37" s="664"/>
      <c r="P37" s="664"/>
    </row>
    <row r="38" spans="1:22" ht="12" customHeight="1">
      <c r="A38" s="25"/>
      <c r="F38" s="7"/>
      <c r="J38" s="669"/>
      <c r="K38" s="669"/>
      <c r="L38" s="669"/>
      <c r="M38" s="669"/>
      <c r="N38" s="669"/>
      <c r="O38" s="664"/>
      <c r="P38" s="664"/>
    </row>
    <row r="39" spans="1:22" ht="12" customHeight="1">
      <c r="A39" s="25"/>
      <c r="F39" s="7"/>
      <c r="J39" s="669"/>
      <c r="K39" s="669"/>
      <c r="L39" s="669"/>
      <c r="M39" s="669"/>
      <c r="N39" s="669"/>
      <c r="O39" s="664"/>
      <c r="P39" s="664"/>
    </row>
    <row r="40" spans="1:22" ht="12" customHeight="1">
      <c r="A40" s="25"/>
      <c r="F40" s="7"/>
      <c r="I40" s="663"/>
      <c r="J40" s="669"/>
      <c r="K40" s="669"/>
      <c r="L40" s="669"/>
      <c r="M40" s="669"/>
      <c r="N40" s="669"/>
      <c r="O40" s="664"/>
      <c r="P40" s="664"/>
    </row>
    <row r="41" spans="1:22" ht="12" customHeight="1">
      <c r="A41" s="25"/>
      <c r="F41" s="7"/>
      <c r="J41" s="669"/>
      <c r="K41" s="669"/>
      <c r="L41" s="669"/>
      <c r="M41" s="669"/>
      <c r="N41" s="669"/>
      <c r="O41" s="664"/>
      <c r="P41" s="664"/>
    </row>
    <row r="42" spans="1:22" ht="14.25">
      <c r="A42" s="25"/>
      <c r="F42" s="7"/>
      <c r="I42" s="663"/>
      <c r="J42" s="669"/>
      <c r="K42" s="669"/>
      <c r="L42" s="669"/>
      <c r="M42" s="669"/>
      <c r="N42" s="669"/>
      <c r="O42" s="664"/>
      <c r="P42" s="664"/>
    </row>
    <row r="43" spans="1:22" ht="14.25">
      <c r="A43" s="25"/>
      <c r="F43" s="7"/>
      <c r="J43" s="669"/>
      <c r="K43" s="669"/>
      <c r="L43" s="669"/>
      <c r="M43" s="669"/>
      <c r="N43" s="669"/>
      <c r="O43" s="664"/>
      <c r="P43" s="664"/>
    </row>
    <row r="44" spans="1:22" ht="14.25">
      <c r="A44" s="25"/>
      <c r="F44" s="7"/>
      <c r="J44" s="669"/>
      <c r="K44" s="669"/>
      <c r="L44" s="669"/>
      <c r="M44" s="669"/>
      <c r="N44" s="669"/>
      <c r="O44" s="664"/>
      <c r="P44" s="664"/>
    </row>
    <row r="45" spans="1:22" ht="14.25">
      <c r="A45" s="25"/>
      <c r="F45" s="7"/>
      <c r="J45" s="669"/>
      <c r="K45" s="669"/>
      <c r="L45" s="669"/>
      <c r="M45" s="669"/>
      <c r="N45" s="669"/>
      <c r="O45" s="664"/>
      <c r="P45" s="664"/>
    </row>
    <row r="46" spans="1:22" ht="14.25">
      <c r="A46" s="25"/>
      <c r="F46" s="7"/>
      <c r="J46" s="669"/>
      <c r="K46" s="669"/>
      <c r="L46" s="669"/>
      <c r="M46" s="669"/>
      <c r="N46" s="669"/>
      <c r="O46" s="664"/>
      <c r="P46" s="664"/>
    </row>
    <row r="47" spans="1:22" ht="14.25">
      <c r="A47" s="25"/>
      <c r="F47" s="7"/>
      <c r="I47" s="663"/>
      <c r="J47" s="669"/>
      <c r="K47" s="669"/>
      <c r="L47" s="669"/>
      <c r="M47" s="669"/>
      <c r="N47" s="669"/>
      <c r="O47" s="664"/>
      <c r="P47" s="664"/>
    </row>
    <row r="48" spans="1:22" ht="14.25">
      <c r="A48" s="25"/>
      <c r="F48" s="7"/>
      <c r="J48" s="669"/>
      <c r="K48" s="669"/>
      <c r="L48" s="669"/>
      <c r="M48" s="669"/>
      <c r="N48" s="669"/>
      <c r="O48" s="664"/>
      <c r="P48" s="664"/>
    </row>
    <row r="49" spans="1:16">
      <c r="F49" s="7"/>
      <c r="I49" s="663"/>
      <c r="J49" s="669"/>
      <c r="K49" s="669"/>
      <c r="L49" s="669"/>
      <c r="M49" s="669"/>
      <c r="N49" s="669"/>
      <c r="O49" s="664"/>
      <c r="P49" s="664"/>
    </row>
    <row r="50" spans="1:16">
      <c r="F50" s="7"/>
      <c r="J50" s="669"/>
      <c r="K50" s="669"/>
      <c r="L50" s="669"/>
      <c r="M50" s="669"/>
      <c r="N50" s="669"/>
      <c r="O50" s="664"/>
      <c r="P50" s="664"/>
    </row>
    <row r="51" spans="1:16">
      <c r="F51" s="7"/>
      <c r="J51" s="669"/>
      <c r="K51" s="669"/>
      <c r="L51" s="669"/>
      <c r="M51" s="669"/>
      <c r="N51" s="669"/>
      <c r="O51" s="664"/>
      <c r="P51" s="664"/>
    </row>
    <row r="52" spans="1:16">
      <c r="F52" s="7"/>
      <c r="J52" s="669"/>
      <c r="K52" s="669"/>
      <c r="L52" s="669"/>
      <c r="M52" s="669"/>
      <c r="N52" s="669"/>
      <c r="O52" s="664"/>
      <c r="P52" s="664"/>
    </row>
    <row r="53" spans="1:16">
      <c r="F53" s="7"/>
      <c r="J53" s="669"/>
      <c r="K53" s="669"/>
      <c r="L53" s="669"/>
      <c r="M53" s="669"/>
      <c r="N53" s="669"/>
      <c r="O53" s="664"/>
      <c r="P53" s="664"/>
    </row>
    <row r="54" spans="1:16">
      <c r="F54" s="7"/>
      <c r="J54" s="74"/>
      <c r="K54" s="74"/>
      <c r="L54" s="74"/>
      <c r="M54" s="74"/>
      <c r="N54" s="74"/>
    </row>
    <row r="55" spans="1:16">
      <c r="F55" s="7"/>
    </row>
    <row r="56" spans="1:16">
      <c r="F56" s="7"/>
    </row>
    <row r="57" spans="1:16">
      <c r="F57" s="7"/>
    </row>
    <row r="58" spans="1:16">
      <c r="F58" s="7"/>
    </row>
    <row r="59" spans="1:16">
      <c r="F59" s="7"/>
    </row>
    <row r="60" spans="1:16">
      <c r="F60" s="7"/>
    </row>
    <row r="61" spans="1:16">
      <c r="F61" s="7"/>
    </row>
    <row r="62" spans="1:16">
      <c r="F62" s="7"/>
    </row>
    <row r="63" spans="1:16">
      <c r="F63" s="7"/>
    </row>
    <row r="64" spans="1:16" ht="12">
      <c r="A64" s="1"/>
      <c r="F64" s="7"/>
    </row>
    <row r="65" spans="1:6" ht="12">
      <c r="A65" s="1"/>
      <c r="F65" s="7"/>
    </row>
    <row r="66" spans="1:6" ht="12">
      <c r="A66" s="1"/>
      <c r="F66" s="7"/>
    </row>
    <row r="67" spans="1:6" ht="12">
      <c r="A67" s="1"/>
      <c r="F67" s="7"/>
    </row>
    <row r="68" spans="1:6" ht="12">
      <c r="A68" s="1"/>
      <c r="F68" s="7"/>
    </row>
    <row r="69" spans="1:6" ht="12">
      <c r="A69" s="1"/>
      <c r="F69" s="7"/>
    </row>
    <row r="70" spans="1:6" ht="12">
      <c r="A70" s="1"/>
    </row>
    <row r="71" spans="1:6" ht="12">
      <c r="A71" s="1"/>
    </row>
    <row r="72" spans="1:6" ht="12">
      <c r="A72" s="1"/>
    </row>
    <row r="73" spans="1:6" ht="12">
      <c r="A73" s="1"/>
      <c r="F73" s="7"/>
    </row>
    <row r="74" spans="1:6" ht="12">
      <c r="A74" s="1"/>
      <c r="F74" s="7"/>
    </row>
    <row r="75" spans="1:6" ht="12">
      <c r="A75" s="1"/>
      <c r="F75" s="7"/>
    </row>
    <row r="76" spans="1:6" ht="12">
      <c r="A76" s="1"/>
      <c r="F76" s="7"/>
    </row>
    <row r="77" spans="1:6">
      <c r="F77" s="7"/>
    </row>
    <row r="78" spans="1:6">
      <c r="F78" s="7"/>
    </row>
    <row r="79" spans="1:6">
      <c r="F79" s="7"/>
    </row>
    <row r="80" spans="1: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sheetData>
  <mergeCells count="6">
    <mergeCell ref="J3:K3"/>
    <mergeCell ref="L3:N3"/>
    <mergeCell ref="J13:K13"/>
    <mergeCell ref="L13:N13"/>
    <mergeCell ref="J23:K23"/>
    <mergeCell ref="L23:N23"/>
  </mergeCells>
  <phoneticPr fontId="7" type="noConversion"/>
  <hyperlinks>
    <hyperlink ref="B5" location="FH!A1" display="재무현황" xr:uid="{9474183D-AC70-4562-855C-8FAFA50C7B54}"/>
    <hyperlink ref="B7" location="FS!A1" display="요약재무상태표 (Selected Balance sheet)" xr:uid="{FCF5EC86-94AB-408B-8BC2-35D62878DE85}"/>
    <hyperlink ref="C15" location="Stability!A1" display="재무 안정성 (Financial Stability)" xr:uid="{483D6F4D-3D75-4601-A5BF-D93249FC114B}"/>
    <hyperlink ref="C16" location="Productivity!A1" display="생산성 / 경영효율 (Productivity / Operating Efficiency)" xr:uid="{5B07E9B0-AFA1-4A5D-BB31-88B2AF3F0BFB}"/>
    <hyperlink ref="C20" location="'Premium Income by P.T.(GA+SA)'!A1" display="상품별 수입보험료 (Premium Income)" xr:uid="{05EBF3EB-8D38-4C11-B04C-ADA1FAA4E23F}"/>
    <hyperlink ref="C21" location="'Initial P. by P.T.'!A1" display="상품별 초회보험료 (Initial Premium)" xr:uid="{F6819E4D-AD52-4231-9CDE-A08F42A87049}"/>
    <hyperlink ref="C22" location="'First-year P. by P.T.'!A1" display="상품별 초년도보험료 (First Year Premium)" xr:uid="{BCD8ED31-84CD-4D4D-9541-10771D994867}"/>
    <hyperlink ref="C26" location="'Premium Income by D.C.(GA+SA)'!A1" display="채널별 수입보험료 (Premium Income)" xr:uid="{46F85301-834B-45DF-9951-8FF0BE0B0A0F}"/>
    <hyperlink ref="C27" location="'First-year P. by D.C'!A1" display="채널별 초년도보험료 (First Year Premium)" xr:uid="{36831BF2-06FA-4B00-96D0-FF0DF015986A}"/>
    <hyperlink ref="C31" location="'&gt;Loan'!A1" display="대출 (Loan)/ 자산건전성 (Asset Quality of Loan)" xr:uid="{710597F1-BBF5-4410-9C31-3D4783BFD473}"/>
    <hyperlink ref="C32" location="'&gt;Bond'!A1" display="채권 (Bond)" xr:uid="{6E244A7D-4149-4BBD-836D-C94104659E2A}"/>
    <hyperlink ref="C35" location="'BS  K-IFRS'!A1" display="재무상태표 (Balance Sheet - KIFRS)" xr:uid="{E67A231B-C2CA-4804-935E-D3A97E58C500}"/>
    <hyperlink ref="C36" location="'IS  K-IFRS'!A1" display="손익계산서 (Income Statement - KIFRS)" xr:uid="{0AF690E6-2692-4726-8950-85FD0E6B1863}"/>
    <hyperlink ref="B8" location="FS!A1" display="요약손익계산서 (Selected Income Statement)" xr:uid="{4B134589-5678-4D42-A0F0-F1DFE093F6B4}"/>
    <hyperlink ref="B10" location="CSM!A1" display="RA, CSM, BEL Movement" xr:uid="{68D35ACD-4577-4C7E-BBAC-39162041E5D8}"/>
    <hyperlink ref="B11" location="CSM!A1" display="신계약 CSM (New Business CSM)" xr:uid="{48D0DC42-12DE-4D48-B0F5-D403F34E0310}"/>
    <hyperlink ref="B13" location="'Sources of Margin'!A1" display="이원별손익" xr:uid="{6C139526-343F-4F73-BA9C-DB109DB07E38}"/>
    <hyperlink ref="B12" location="CSM!A1" display="신계약 CSM 배수 (New Business CSM Margin)" xr:uid="{89B33FA8-EA05-4089-A2BE-26F6F09E7AE1}"/>
    <hyperlink ref="C19" location="'APE by P.T'!A1" display="상품별 APE (Annualized Premium Equivalent (APE))" xr:uid="{735AF60F-A074-43F8-8A21-785E502460DC}"/>
    <hyperlink ref="C25" location="'APE by D.C'!A1" display="채널별 APE (Annualized Premium Equivalent (APE))" xr:uid="{317D3A13-04EA-4614-83F4-8873EABAD346}"/>
  </hyperlinks>
  <pageMargins left="0.19685039370078741" right="0.19685039370078741" top="0.74803149606299213" bottom="0.74803149606299213" header="0.31496062992125984" footer="0.31496062992125984"/>
  <pageSetup paperSize="9" orientation="landscape" r:id="rId1"/>
  <colBreaks count="1" manualBreakCount="1">
    <brk id="1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W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40.42578125" style="1" customWidth="1"/>
    <col min="10" max="17" width="11" style="1" customWidth="1"/>
    <col min="18" max="18" width="7.7109375" style="1" customWidth="1"/>
    <col min="19" max="20" width="11" style="1" customWidth="1"/>
    <col min="21" max="22" width="9.140625" style="1"/>
    <col min="23" max="23" width="11.85546875" style="1" bestFit="1" customWidth="1"/>
    <col min="24" max="16384" width="9.140625" style="1"/>
  </cols>
  <sheetData>
    <row r="1" spans="1:23" s="3" customFormat="1" ht="24" customHeight="1">
      <c r="A1" s="6"/>
      <c r="F1" s="133" t="s">
        <v>123</v>
      </c>
      <c r="G1" s="92"/>
      <c r="H1" s="93"/>
      <c r="I1" s="93"/>
    </row>
    <row r="2" spans="1:23" ht="12" customHeight="1">
      <c r="A2" s="140"/>
      <c r="B2" s="141"/>
      <c r="C2" s="141"/>
      <c r="F2" s="95"/>
      <c r="G2" s="94"/>
      <c r="H2" s="94"/>
      <c r="I2" s="94"/>
      <c r="J2" s="851" t="s">
        <v>219</v>
      </c>
      <c r="K2" s="852"/>
      <c r="L2" s="852"/>
      <c r="M2" s="853"/>
      <c r="N2" s="838" t="s">
        <v>237</v>
      </c>
      <c r="O2" s="838"/>
      <c r="P2" s="838"/>
      <c r="Q2" s="838"/>
      <c r="R2" s="3"/>
      <c r="S2" s="852" t="s">
        <v>218</v>
      </c>
      <c r="T2" s="852"/>
    </row>
    <row r="3" spans="1:23" ht="12" customHeight="1">
      <c r="A3" s="140" t="s">
        <v>27</v>
      </c>
      <c r="B3" s="141"/>
      <c r="C3" s="141"/>
      <c r="F3" s="95" t="s">
        <v>57</v>
      </c>
      <c r="G3" s="115"/>
      <c r="H3" s="115"/>
      <c r="I3" s="115"/>
      <c r="J3" s="352">
        <v>45382</v>
      </c>
      <c r="K3" s="302">
        <v>45473</v>
      </c>
      <c r="L3" s="302">
        <v>45565</v>
      </c>
      <c r="M3" s="317">
        <v>45657</v>
      </c>
      <c r="N3" s="302">
        <v>45747</v>
      </c>
      <c r="O3" s="302">
        <v>45838</v>
      </c>
      <c r="P3" s="302">
        <v>45930</v>
      </c>
      <c r="Q3" s="302">
        <v>46022</v>
      </c>
      <c r="R3" s="3"/>
      <c r="S3" s="304" t="s">
        <v>23</v>
      </c>
      <c r="T3" s="304" t="s">
        <v>24</v>
      </c>
      <c r="V3" s="231"/>
    </row>
    <row r="4" spans="1:23" ht="12" customHeight="1">
      <c r="A4" s="140"/>
      <c r="B4" s="141"/>
      <c r="C4" s="141"/>
      <c r="F4" s="136" t="s">
        <v>125</v>
      </c>
      <c r="G4" s="136"/>
      <c r="H4" s="136"/>
      <c r="I4" s="136"/>
      <c r="J4" s="559">
        <f t="shared" ref="J4:Q4" si="0">+SUM(J5:J11)</f>
        <v>6498.2977194659998</v>
      </c>
      <c r="K4" s="334">
        <f t="shared" si="0"/>
        <v>6541.6897611439999</v>
      </c>
      <c r="L4" s="334">
        <f t="shared" si="0"/>
        <v>6214.5903686410002</v>
      </c>
      <c r="M4" s="382">
        <f t="shared" si="0"/>
        <v>6129.0260705919991</v>
      </c>
      <c r="N4" s="334">
        <f t="shared" si="0"/>
        <v>5744.8871732419993</v>
      </c>
      <c r="O4" s="334">
        <f t="shared" si="0"/>
        <v>5538.520354626</v>
      </c>
      <c r="P4" s="334">
        <f>+SUM(P5:P11)</f>
        <v>4819.3819533999995</v>
      </c>
      <c r="Q4" s="700">
        <f t="shared" si="0"/>
        <v>4722.6409539139995</v>
      </c>
      <c r="R4" s="3"/>
      <c r="S4" s="301">
        <f>IF(Q4/M4&lt;0,"n.a.",IF(M4&gt;0,ROUND(Q4,4)/ROUND(M4,4)-1,IF(M4&lt;0,"n.a.")))</f>
        <v>-0.22946306265525618</v>
      </c>
      <c r="T4" s="301">
        <f>IF(Q4/P4&lt;0,"n.a.",IF(P4&gt;0,ROUND(Q4,4)/ROUND(P4,4)-1,IF(P4&lt;0,"n.a.")))</f>
        <v>-2.0073320604177103E-2</v>
      </c>
    </row>
    <row r="5" spans="1:23" ht="12" customHeight="1">
      <c r="A5" s="150"/>
      <c r="B5" s="140" t="s">
        <v>155</v>
      </c>
      <c r="C5" s="140"/>
      <c r="F5" s="120"/>
      <c r="G5" s="120"/>
      <c r="H5" s="120"/>
      <c r="I5" s="137" t="s">
        <v>135</v>
      </c>
      <c r="J5" s="560">
        <v>0</v>
      </c>
      <c r="K5" s="313">
        <v>0</v>
      </c>
      <c r="L5" s="313">
        <v>0</v>
      </c>
      <c r="M5" s="383">
        <v>0</v>
      </c>
      <c r="N5" s="313">
        <v>0</v>
      </c>
      <c r="O5" s="313">
        <v>0</v>
      </c>
      <c r="P5" s="313">
        <v>0</v>
      </c>
      <c r="Q5" s="701">
        <v>0</v>
      </c>
      <c r="R5" s="3"/>
      <c r="S5" s="41">
        <v>0</v>
      </c>
      <c r="T5" s="41">
        <v>0</v>
      </c>
    </row>
    <row r="6" spans="1:23" ht="12" customHeight="1">
      <c r="A6" s="150"/>
      <c r="B6" s="149"/>
      <c r="C6" s="141"/>
      <c r="F6" s="120"/>
      <c r="G6" s="120"/>
      <c r="H6" s="120"/>
      <c r="I6" s="137" t="s">
        <v>134</v>
      </c>
      <c r="J6" s="560">
        <v>0</v>
      </c>
      <c r="K6" s="313">
        <v>0</v>
      </c>
      <c r="L6" s="313">
        <v>0</v>
      </c>
      <c r="M6" s="383">
        <v>0</v>
      </c>
      <c r="N6" s="313">
        <v>0</v>
      </c>
      <c r="O6" s="313">
        <v>0</v>
      </c>
      <c r="P6" s="313">
        <v>0</v>
      </c>
      <c r="Q6" s="701">
        <v>0</v>
      </c>
      <c r="R6" s="3"/>
      <c r="S6" s="41">
        <v>0</v>
      </c>
      <c r="T6" s="41">
        <v>0</v>
      </c>
    </row>
    <row r="7" spans="1:23" ht="12" customHeight="1">
      <c r="A7" s="150"/>
      <c r="B7" s="149" t="s">
        <v>212</v>
      </c>
      <c r="C7" s="141"/>
      <c r="F7" s="120"/>
      <c r="G7" s="120"/>
      <c r="H7" s="120"/>
      <c r="I7" s="387" t="s">
        <v>136</v>
      </c>
      <c r="J7" s="561">
        <v>0</v>
      </c>
      <c r="K7" s="314">
        <v>0</v>
      </c>
      <c r="L7" s="314">
        <v>0</v>
      </c>
      <c r="M7" s="384">
        <v>0</v>
      </c>
      <c r="N7" s="314">
        <v>0</v>
      </c>
      <c r="O7" s="314">
        <v>0</v>
      </c>
      <c r="P7" s="314">
        <v>0</v>
      </c>
      <c r="Q7" s="702">
        <v>0</v>
      </c>
      <c r="R7" s="3"/>
      <c r="S7" s="41">
        <v>0</v>
      </c>
      <c r="T7" s="41">
        <v>0</v>
      </c>
    </row>
    <row r="8" spans="1:23" ht="12" customHeight="1">
      <c r="A8" s="150"/>
      <c r="B8" s="149" t="s">
        <v>213</v>
      </c>
      <c r="C8" s="141"/>
      <c r="F8" s="120"/>
      <c r="G8" s="120"/>
      <c r="H8" s="120"/>
      <c r="I8" s="137" t="s">
        <v>140</v>
      </c>
      <c r="J8" s="560">
        <v>2002.2637145240001</v>
      </c>
      <c r="K8" s="314">
        <v>1934.829700106</v>
      </c>
      <c r="L8" s="314">
        <v>1855.436836224</v>
      </c>
      <c r="M8" s="384">
        <v>1883.2764188450001</v>
      </c>
      <c r="N8" s="313">
        <v>1896.6635576040001</v>
      </c>
      <c r="O8" s="314">
        <v>1928.551437998</v>
      </c>
      <c r="P8" s="314">
        <v>1643.2136930950001</v>
      </c>
      <c r="Q8" s="702">
        <v>1632.4537110209999</v>
      </c>
      <c r="R8" s="3"/>
      <c r="S8" s="41">
        <f>IF(Q8/M8&lt;0,"n.a.",IF(M8&gt;0,ROUND(Q8,4)/ROUND(M8,4)-1,IF(M8&lt;0,"n.a.")))</f>
        <v>-0.13318422086104831</v>
      </c>
      <c r="T8" s="41">
        <f>IF(Q8/P8&lt;0,"n.a.",IF(P8&gt;0,ROUND(Q8,4)/ROUND(P8,4)-1,IF(P8&lt;0,"n.a.")))</f>
        <v>-6.5481440423725834E-3</v>
      </c>
    </row>
    <row r="9" spans="1:23" ht="12" customHeight="1">
      <c r="A9" s="150"/>
      <c r="B9" s="149"/>
      <c r="C9" s="141"/>
      <c r="F9" s="120"/>
      <c r="G9" s="120"/>
      <c r="H9" s="120"/>
      <c r="I9" s="137" t="s">
        <v>137</v>
      </c>
      <c r="J9" s="560">
        <v>53.271268773000003</v>
      </c>
      <c r="K9" s="313">
        <v>51.062863591000003</v>
      </c>
      <c r="L9" s="313">
        <v>48.712735209000002</v>
      </c>
      <c r="M9" s="383">
        <v>46.413113441</v>
      </c>
      <c r="N9" s="313">
        <v>44.090354902000001</v>
      </c>
      <c r="O9" s="313">
        <v>41.739145870999998</v>
      </c>
      <c r="P9" s="313">
        <v>38.802642759999998</v>
      </c>
      <c r="Q9" s="701">
        <v>35.950251051000002</v>
      </c>
      <c r="R9" s="3"/>
      <c r="S9" s="41">
        <f>IF(Q9/M9&lt;0,"n.a.",IF(M9&gt;0,ROUND(Q9,4)/ROUND(M9,4)-1,IF(M9&lt;0,"n.a.")))</f>
        <v>-0.22542773484210277</v>
      </c>
      <c r="T9" s="41">
        <f>IF(Q9/P9&lt;0,"n.a.",IF(P9&gt;0,ROUND(Q9,4)/ROUND(P9,4)-1,IF(P9&lt;0,"n.a.")))</f>
        <v>-7.3507960806750039E-2</v>
      </c>
    </row>
    <row r="10" spans="1:23" ht="12" customHeight="1">
      <c r="A10" s="140"/>
      <c r="B10" s="149" t="s">
        <v>171</v>
      </c>
      <c r="C10" s="141"/>
      <c r="F10" s="120"/>
      <c r="G10" s="120"/>
      <c r="H10" s="120"/>
      <c r="I10" s="137" t="s">
        <v>138</v>
      </c>
      <c r="J10" s="560">
        <v>1202.124752773</v>
      </c>
      <c r="K10" s="313">
        <v>1180.2760386949999</v>
      </c>
      <c r="L10" s="313">
        <v>1084.7646944170001</v>
      </c>
      <c r="M10" s="383">
        <v>1024.9360681119999</v>
      </c>
      <c r="N10" s="313">
        <v>797.47915306599998</v>
      </c>
      <c r="O10" s="313">
        <v>805.17502445800005</v>
      </c>
      <c r="P10" s="313">
        <v>852.53836897999997</v>
      </c>
      <c r="Q10" s="701">
        <v>904.53983146899998</v>
      </c>
      <c r="R10" s="3"/>
      <c r="S10" s="41">
        <f>IF(Q10/M10&lt;0,"n.a.",IF(M10&gt;0,ROUND(Q10,4)/ROUND(M10,4)-1,IF(M10&lt;0,"n.a.")))</f>
        <v>-0.11746712795070824</v>
      </c>
      <c r="T10" s="41">
        <f>IF(Q10/P10&lt;0,"n.a.",IF(P10&gt;0,ROUND(Q10,4)/ROUND(P10,4)-1,IF(P10&lt;0,"n.a.")))</f>
        <v>6.0995962176014551E-2</v>
      </c>
    </row>
    <row r="11" spans="1:23" ht="12" customHeight="1">
      <c r="A11" s="140"/>
      <c r="B11" s="149" t="s">
        <v>166</v>
      </c>
      <c r="C11" s="141"/>
      <c r="F11" s="125"/>
      <c r="G11" s="125"/>
      <c r="H11" s="125"/>
      <c r="I11" s="138" t="s">
        <v>139</v>
      </c>
      <c r="J11" s="562">
        <v>3240.637983396</v>
      </c>
      <c r="K11" s="441">
        <v>3375.5211587519998</v>
      </c>
      <c r="L11" s="441">
        <v>3225.6761027910002</v>
      </c>
      <c r="M11" s="566">
        <v>3174.4004701939998</v>
      </c>
      <c r="N11" s="654">
        <v>3006.65410767</v>
      </c>
      <c r="O11" s="654">
        <v>2763.0547462989998</v>
      </c>
      <c r="P11" s="654">
        <v>2284.827248565</v>
      </c>
      <c r="Q11" s="703">
        <v>2149.6971603729999</v>
      </c>
      <c r="R11" s="3"/>
      <c r="S11" s="56">
        <f>IF(Q11/M11&lt;0,"n.a.",IF(M11&gt;0,ROUND(Q11,4)/ROUND(M11,4)-1,IF(M11&lt;0,"n.a.")))</f>
        <v>-0.32280214799613349</v>
      </c>
      <c r="T11" s="56">
        <f>IF(Q11/P11&lt;0,"n.a.",IF(P11&gt;0,ROUND(Q11,4)/ROUND(P11,4)-1,IF(P11&lt;0,"n.a.")))</f>
        <v>-5.9142328137550271E-2</v>
      </c>
    </row>
    <row r="12" spans="1:23" ht="12" customHeight="1">
      <c r="A12" s="140"/>
      <c r="B12" s="149" t="s">
        <v>222</v>
      </c>
      <c r="C12" s="141"/>
      <c r="F12" s="240" t="s">
        <v>220</v>
      </c>
      <c r="G12" s="96"/>
      <c r="H12" s="96"/>
      <c r="I12" s="96"/>
      <c r="R12" s="3"/>
    </row>
    <row r="13" spans="1:23" ht="12" customHeight="1">
      <c r="A13" s="140"/>
      <c r="B13" s="149"/>
      <c r="C13" s="141"/>
      <c r="F13" s="240"/>
      <c r="G13" s="96"/>
      <c r="H13" s="96"/>
      <c r="I13" s="96"/>
      <c r="J13" s="74"/>
      <c r="K13" s="74"/>
      <c r="L13" s="74"/>
      <c r="M13" s="74"/>
      <c r="N13" s="74"/>
      <c r="O13" s="698"/>
      <c r="P13" s="74"/>
      <c r="Q13" s="74"/>
      <c r="R13" s="74"/>
      <c r="W13" s="231"/>
    </row>
    <row r="14" spans="1:23" ht="21.75" customHeight="1">
      <c r="A14" s="140"/>
      <c r="B14" s="140" t="s">
        <v>173</v>
      </c>
      <c r="C14" s="141"/>
      <c r="F14" s="93"/>
      <c r="G14" s="93"/>
      <c r="H14" s="93"/>
      <c r="I14" s="93"/>
      <c r="O14" s="74"/>
      <c r="P14" s="74"/>
      <c r="R14" s="3"/>
    </row>
    <row r="15" spans="1:23" s="7" customFormat="1" ht="19.5" customHeight="1">
      <c r="A15" s="140"/>
      <c r="B15" s="142"/>
      <c r="C15" s="149" t="s">
        <v>40</v>
      </c>
      <c r="D15" s="1"/>
      <c r="F15" s="133" t="s">
        <v>124</v>
      </c>
      <c r="G15" s="92"/>
      <c r="H15" s="93"/>
      <c r="I15" s="93"/>
      <c r="J15" s="1"/>
      <c r="K15" s="1"/>
      <c r="L15" s="1"/>
      <c r="M15" s="1"/>
      <c r="N15" s="1"/>
      <c r="O15" s="1"/>
      <c r="P15" s="1"/>
      <c r="Q15" s="1"/>
      <c r="R15" s="3"/>
      <c r="S15" s="1"/>
      <c r="T15" s="1"/>
    </row>
    <row r="16" spans="1:23" s="7" customFormat="1" ht="12" customHeight="1">
      <c r="A16" s="140"/>
      <c r="B16" s="140"/>
      <c r="C16" s="149" t="s">
        <v>41</v>
      </c>
      <c r="D16" s="1"/>
      <c r="F16" s="95"/>
      <c r="G16" s="94"/>
      <c r="H16" s="94"/>
      <c r="I16" s="94"/>
      <c r="J16" s="851" t="s">
        <v>219</v>
      </c>
      <c r="K16" s="852"/>
      <c r="L16" s="852"/>
      <c r="M16" s="853"/>
      <c r="N16" s="838" t="s">
        <v>237</v>
      </c>
      <c r="O16" s="838"/>
      <c r="P16" s="838"/>
      <c r="Q16" s="838"/>
      <c r="R16" s="3"/>
      <c r="S16" s="852" t="s">
        <v>218</v>
      </c>
      <c r="T16" s="852"/>
    </row>
    <row r="17" spans="1:22" s="3" customFormat="1" ht="13.5" customHeight="1">
      <c r="A17" s="140"/>
      <c r="B17" s="140"/>
      <c r="C17" s="149"/>
      <c r="D17" s="1"/>
      <c r="F17" s="95" t="s">
        <v>122</v>
      </c>
      <c r="G17" s="115"/>
      <c r="H17" s="115"/>
      <c r="I17" s="115"/>
      <c r="J17" s="352">
        <v>45382</v>
      </c>
      <c r="K17" s="302">
        <v>45473</v>
      </c>
      <c r="L17" s="302">
        <v>45565</v>
      </c>
      <c r="M17" s="317">
        <v>45657</v>
      </c>
      <c r="N17" s="302">
        <v>45747</v>
      </c>
      <c r="O17" s="302">
        <v>45838</v>
      </c>
      <c r="P17" s="302">
        <v>45930</v>
      </c>
      <c r="Q17" s="302">
        <v>46022</v>
      </c>
      <c r="S17" s="276" t="s">
        <v>23</v>
      </c>
      <c r="T17" s="276" t="s">
        <v>24</v>
      </c>
      <c r="V17" s="231"/>
    </row>
    <row r="18" spans="1:22" ht="12" customHeight="1">
      <c r="A18" s="140"/>
      <c r="B18" s="140" t="s">
        <v>176</v>
      </c>
      <c r="C18" s="149"/>
      <c r="F18" s="136" t="s">
        <v>125</v>
      </c>
      <c r="G18" s="136"/>
      <c r="H18" s="136"/>
      <c r="I18" s="136"/>
      <c r="J18" s="563">
        <f t="shared" ref="J18:P18" si="1">SUM(J19:J21)</f>
        <v>6498.2977194659998</v>
      </c>
      <c r="K18" s="315">
        <f t="shared" si="1"/>
        <v>6541.6897611439999</v>
      </c>
      <c r="L18" s="315">
        <f t="shared" si="1"/>
        <v>6214.5903686410002</v>
      </c>
      <c r="M18" s="385">
        <f t="shared" si="1"/>
        <v>6129.026070592</v>
      </c>
      <c r="N18" s="315">
        <f t="shared" si="1"/>
        <v>5744.8871732420002</v>
      </c>
      <c r="O18" s="315">
        <f t="shared" si="1"/>
        <v>5538.5203546260009</v>
      </c>
      <c r="P18" s="315">
        <f t="shared" si="1"/>
        <v>4789.3818629870002</v>
      </c>
      <c r="Q18" s="704">
        <f>SUM(Q19:Q21)</f>
        <v>4722.6409539139995</v>
      </c>
      <c r="R18" s="3"/>
      <c r="S18" s="301">
        <f>IF(Q18/M18&lt;0,"n.a.",IF(M18&gt;0,ROUND(Q18,4)/ROUND(M18,4)-1,IF(M18&lt;0,"n.a.")))</f>
        <v>-0.22946306265525618</v>
      </c>
      <c r="T18" s="301">
        <f>IF(Q18/P18&lt;0,"n.a.",IF(P18&gt;0,ROUND(Q18,4)/ROUND(P18,4)-1,IF(P18&lt;0,"n.a.")))</f>
        <v>-1.3935180236932188E-2</v>
      </c>
    </row>
    <row r="19" spans="1:22" ht="12" customHeight="1">
      <c r="A19" s="140"/>
      <c r="B19" s="140"/>
      <c r="C19" s="149" t="s">
        <v>33</v>
      </c>
      <c r="F19" s="120"/>
      <c r="G19" s="120" t="s">
        <v>126</v>
      </c>
      <c r="H19" s="120"/>
      <c r="I19" s="120"/>
      <c r="J19" s="560">
        <v>5925.1502246849996</v>
      </c>
      <c r="K19" s="313">
        <v>6221.5759581829998</v>
      </c>
      <c r="L19" s="313">
        <v>5959.8149530410001</v>
      </c>
      <c r="M19" s="383">
        <v>6031.4464261069998</v>
      </c>
      <c r="N19" s="313">
        <v>5647.6523493530003</v>
      </c>
      <c r="O19" s="313">
        <v>5203.3007926890004</v>
      </c>
      <c r="P19" s="313">
        <v>4220.751739581</v>
      </c>
      <c r="Q19" s="701">
        <v>4349.5473046309999</v>
      </c>
      <c r="R19" s="407"/>
      <c r="S19" s="41">
        <f t="shared" ref="S19:S24" si="2">IF(Q19/M19&lt;0,"n.a.",IF(M19&gt;0,ROUND(Q19,4)/ROUND(M19,4)-1,IF(M19&lt;0,"n.a.")))</f>
        <v>-0.27885501892216102</v>
      </c>
      <c r="T19" s="41">
        <f t="shared" ref="T19:T24" si="3">IF(Q19/P19&lt;0,"n.a.",IF(P19&gt;0,ROUND(Q19,4)/ROUND(P19,4)-1,IF(P19&lt;0,"n.a.")))</f>
        <v>3.0514848812357442E-2</v>
      </c>
      <c r="V19" s="191"/>
    </row>
    <row r="20" spans="1:22" ht="12" customHeight="1">
      <c r="A20" s="140"/>
      <c r="B20" s="140"/>
      <c r="C20" s="149" t="s">
        <v>29</v>
      </c>
      <c r="F20" s="120"/>
      <c r="G20" s="120" t="s">
        <v>127</v>
      </c>
      <c r="H20" s="120"/>
      <c r="I20" s="120"/>
      <c r="J20" s="560">
        <v>513.45940069899996</v>
      </c>
      <c r="K20" s="313">
        <v>268.06057093800001</v>
      </c>
      <c r="L20" s="313">
        <v>202.24974073300001</v>
      </c>
      <c r="M20" s="383">
        <v>50.110034904000003</v>
      </c>
      <c r="N20" s="313">
        <v>50.452538959000002</v>
      </c>
      <c r="O20" s="313">
        <v>240.213621093</v>
      </c>
      <c r="P20" s="313">
        <v>503.94519875499998</v>
      </c>
      <c r="Q20" s="701">
        <v>307.46337602699998</v>
      </c>
      <c r="R20" s="407"/>
      <c r="S20" s="41">
        <f t="shared" si="2"/>
        <v>5.1357693075234483</v>
      </c>
      <c r="T20" s="41">
        <f t="shared" si="3"/>
        <v>-0.38988723377065604</v>
      </c>
      <c r="V20" s="191"/>
    </row>
    <row r="21" spans="1:22" ht="12" customHeight="1">
      <c r="A21" s="140"/>
      <c r="B21" s="140"/>
      <c r="C21" s="149" t="s">
        <v>30</v>
      </c>
      <c r="F21" s="120"/>
      <c r="G21" s="120" t="s">
        <v>128</v>
      </c>
      <c r="H21" s="120"/>
      <c r="I21" s="120"/>
      <c r="J21" s="560">
        <f t="shared" ref="J21:Q21" si="4">SUM(J22:J24)</f>
        <v>59.688094081999999</v>
      </c>
      <c r="K21" s="313">
        <f t="shared" si="4"/>
        <v>52.053232023</v>
      </c>
      <c r="L21" s="313">
        <f t="shared" si="4"/>
        <v>52.525674866999992</v>
      </c>
      <c r="M21" s="383">
        <f t="shared" si="4"/>
        <v>47.469609580999993</v>
      </c>
      <c r="N21" s="313">
        <f t="shared" si="4"/>
        <v>46.782284930000003</v>
      </c>
      <c r="O21" s="313">
        <f t="shared" si="4"/>
        <v>95.005940844000008</v>
      </c>
      <c r="P21" s="313">
        <f t="shared" si="4"/>
        <v>64.684924651000003</v>
      </c>
      <c r="Q21" s="701">
        <f t="shared" si="4"/>
        <v>65.630273255999995</v>
      </c>
      <c r="R21" s="407"/>
      <c r="S21" s="41">
        <f t="shared" si="2"/>
        <v>0.38257537455550517</v>
      </c>
      <c r="T21" s="41">
        <f t="shared" si="3"/>
        <v>1.4615466669964716E-2</v>
      </c>
      <c r="V21" s="191"/>
    </row>
    <row r="22" spans="1:22" ht="12" customHeight="1">
      <c r="A22" s="140"/>
      <c r="B22" s="140"/>
      <c r="C22" s="149" t="s">
        <v>31</v>
      </c>
      <c r="F22" s="122"/>
      <c r="G22" s="122"/>
      <c r="H22" s="122" t="s">
        <v>129</v>
      </c>
      <c r="I22" s="122"/>
      <c r="J22" s="564">
        <v>43.071422026999997</v>
      </c>
      <c r="K22" s="316">
        <v>35.363691932000002</v>
      </c>
      <c r="L22" s="316">
        <v>36.034418492999997</v>
      </c>
      <c r="M22" s="386">
        <v>32.164110172999997</v>
      </c>
      <c r="N22" s="316">
        <v>32.213760563000001</v>
      </c>
      <c r="O22" s="316">
        <v>80.770809658000005</v>
      </c>
      <c r="P22" s="316">
        <v>50.396541593000002</v>
      </c>
      <c r="Q22" s="705">
        <v>42.934192211999999</v>
      </c>
      <c r="R22" s="446"/>
      <c r="S22" s="447">
        <f t="shared" si="2"/>
        <v>0.33484848013779334</v>
      </c>
      <c r="T22" s="447">
        <f t="shared" si="3"/>
        <v>-0.14807179069975107</v>
      </c>
    </row>
    <row r="23" spans="1:22" ht="12" customHeight="1">
      <c r="A23" s="140"/>
      <c r="B23" s="140"/>
      <c r="C23" s="149"/>
      <c r="F23" s="122"/>
      <c r="G23" s="122"/>
      <c r="H23" s="122" t="s">
        <v>130</v>
      </c>
      <c r="I23" s="122"/>
      <c r="J23" s="564">
        <v>2.9724702029999999</v>
      </c>
      <c r="K23" s="316">
        <v>2.8167333160000001</v>
      </c>
      <c r="L23" s="316">
        <v>2.6450580000000001</v>
      </c>
      <c r="M23" s="386">
        <v>2.6458903309999999</v>
      </c>
      <c r="N23" s="316">
        <v>2.1137483449999999</v>
      </c>
      <c r="O23" s="316">
        <v>2.1705784349999999</v>
      </c>
      <c r="P23" s="316">
        <v>2.0958632060000002</v>
      </c>
      <c r="Q23" s="705">
        <v>2.2642219639999999</v>
      </c>
      <c r="R23" s="446"/>
      <c r="S23" s="447">
        <f t="shared" si="2"/>
        <v>-0.14426093200801238</v>
      </c>
      <c r="T23" s="447">
        <f t="shared" si="3"/>
        <v>8.0299632616060101E-2</v>
      </c>
    </row>
    <row r="24" spans="1:22" ht="12" customHeight="1">
      <c r="A24" s="140"/>
      <c r="B24" s="140" t="s">
        <v>181</v>
      </c>
      <c r="C24" s="149"/>
      <c r="F24" s="139"/>
      <c r="G24" s="139"/>
      <c r="H24" s="139" t="s">
        <v>131</v>
      </c>
      <c r="I24" s="139"/>
      <c r="J24" s="564">
        <v>13.644201852</v>
      </c>
      <c r="K24" s="316">
        <v>13.872806775000001</v>
      </c>
      <c r="L24" s="316">
        <v>13.846198374</v>
      </c>
      <c r="M24" s="386">
        <v>12.659609077000001</v>
      </c>
      <c r="N24" s="316">
        <v>12.454776022000001</v>
      </c>
      <c r="O24" s="316">
        <v>12.064552751000001</v>
      </c>
      <c r="P24" s="316">
        <v>12.192519852</v>
      </c>
      <c r="Q24" s="705">
        <v>20.431859079999999</v>
      </c>
      <c r="R24" s="446"/>
      <c r="S24" s="448">
        <f t="shared" si="2"/>
        <v>0.61394514834591929</v>
      </c>
      <c r="T24" s="448">
        <f t="shared" si="3"/>
        <v>0.67577609185974974</v>
      </c>
    </row>
    <row r="25" spans="1:22" ht="12" customHeight="1">
      <c r="A25" s="140"/>
      <c r="B25" s="140"/>
      <c r="C25" s="149" t="s">
        <v>32</v>
      </c>
      <c r="F25" s="189" t="s">
        <v>132</v>
      </c>
      <c r="G25" s="189"/>
      <c r="H25" s="189"/>
      <c r="I25" s="189"/>
      <c r="J25" s="565">
        <f t="shared" ref="J25:Q25" si="5">J21/J18</f>
        <v>9.1851892078137799E-3</v>
      </c>
      <c r="K25" s="440">
        <f t="shared" si="5"/>
        <v>7.9571538736341752E-3</v>
      </c>
      <c r="L25" s="440">
        <f t="shared" si="5"/>
        <v>8.4519930922633355E-3</v>
      </c>
      <c r="M25" s="567">
        <f t="shared" si="5"/>
        <v>7.745049382114135E-3</v>
      </c>
      <c r="N25" s="655">
        <f t="shared" si="5"/>
        <v>8.1432904631962427E-3</v>
      </c>
      <c r="O25" s="655">
        <f t="shared" si="5"/>
        <v>1.7153668265324173E-2</v>
      </c>
      <c r="P25" s="655">
        <f t="shared" si="5"/>
        <v>1.3505902536378227E-2</v>
      </c>
      <c r="Q25" s="706">
        <f t="shared" si="5"/>
        <v>1.3896943235036185E-2</v>
      </c>
      <c r="R25" s="3"/>
      <c r="S25" s="470">
        <f>Q25-M25</f>
        <v>6.1518938529220501E-3</v>
      </c>
      <c r="T25" s="470">
        <f>Q25-P25</f>
        <v>3.9104069865795836E-4</v>
      </c>
    </row>
    <row r="26" spans="1:22" ht="12" customHeight="1">
      <c r="A26" s="140"/>
      <c r="B26" s="140"/>
      <c r="C26" s="149" t="s">
        <v>34</v>
      </c>
      <c r="F26" s="240"/>
      <c r="S26" s="3"/>
      <c r="T26" s="3"/>
    </row>
    <row r="27" spans="1:22" ht="12" customHeight="1">
      <c r="A27" s="140"/>
      <c r="B27" s="140"/>
      <c r="C27" s="149" t="s">
        <v>35</v>
      </c>
      <c r="F27" s="153"/>
      <c r="S27" s="3"/>
      <c r="T27" s="3"/>
    </row>
    <row r="28" spans="1:22" ht="12" customHeight="1">
      <c r="A28" s="140"/>
      <c r="B28" s="140"/>
      <c r="C28" s="149"/>
      <c r="F28" s="153"/>
      <c r="S28" s="3"/>
      <c r="T28" s="3"/>
    </row>
    <row r="29" spans="1:22" ht="12" customHeight="1">
      <c r="A29" s="140"/>
      <c r="B29" s="140"/>
      <c r="C29" s="149"/>
      <c r="F29" s="153"/>
      <c r="G29" s="7"/>
      <c r="H29" s="7"/>
      <c r="I29" s="7"/>
      <c r="S29" s="3"/>
      <c r="T29" s="3"/>
    </row>
    <row r="30" spans="1:22" ht="12" customHeight="1">
      <c r="A30" s="140"/>
      <c r="B30" s="140" t="s">
        <v>185</v>
      </c>
      <c r="C30" s="149"/>
      <c r="F30" s="7"/>
      <c r="G30" s="7"/>
      <c r="H30" s="7"/>
      <c r="I30" s="7"/>
      <c r="N30" s="191"/>
      <c r="S30" s="3"/>
      <c r="T30" s="3"/>
    </row>
    <row r="31" spans="1:22" s="7" customFormat="1" ht="12" customHeight="1">
      <c r="A31" s="140"/>
      <c r="B31" s="140"/>
      <c r="C31" s="149" t="s">
        <v>147</v>
      </c>
      <c r="D31" s="1"/>
      <c r="J31" s="1"/>
      <c r="K31" s="1"/>
      <c r="L31" s="1"/>
      <c r="M31" s="1"/>
      <c r="N31" s="191"/>
      <c r="O31" s="1"/>
      <c r="P31" s="1"/>
      <c r="Q31" s="1"/>
      <c r="S31" s="3"/>
      <c r="T31" s="3"/>
    </row>
    <row r="32" spans="1:22" s="7" customFormat="1" ht="12" customHeight="1">
      <c r="A32" s="140"/>
      <c r="B32" s="140"/>
      <c r="C32" s="149" t="s">
        <v>36</v>
      </c>
      <c r="D32" s="1"/>
      <c r="F32" s="1"/>
      <c r="G32" s="1"/>
      <c r="H32" s="1"/>
      <c r="I32" s="1"/>
      <c r="J32" s="582"/>
      <c r="K32" s="1"/>
      <c r="L32" s="1"/>
      <c r="M32" s="1"/>
      <c r="N32" s="191"/>
      <c r="O32" s="1"/>
      <c r="P32" s="1"/>
      <c r="Q32" s="1"/>
      <c r="S32" s="3"/>
      <c r="T32" s="345"/>
    </row>
    <row r="33" spans="1:17" s="7" customFormat="1" ht="12" customHeight="1">
      <c r="A33" s="140"/>
      <c r="B33" s="140"/>
      <c r="C33" s="149"/>
      <c r="D33" s="1"/>
      <c r="F33" s="1"/>
      <c r="G33" s="1"/>
      <c r="H33" s="1"/>
      <c r="I33" s="1"/>
      <c r="J33" s="1"/>
      <c r="K33" s="1"/>
      <c r="L33" s="1"/>
      <c r="M33" s="1"/>
      <c r="N33" s="1"/>
      <c r="O33" s="1"/>
      <c r="P33" s="1"/>
      <c r="Q33" s="1"/>
    </row>
    <row r="34" spans="1:17" s="7" customFormat="1" ht="12" customHeight="1">
      <c r="A34" s="140"/>
      <c r="B34" s="140" t="s">
        <v>188</v>
      </c>
      <c r="C34" s="149"/>
      <c r="D34" s="1"/>
      <c r="F34" s="1"/>
      <c r="G34" s="1"/>
      <c r="H34" s="1"/>
      <c r="I34" s="1"/>
      <c r="J34" s="582"/>
      <c r="K34" s="1"/>
      <c r="L34" s="1"/>
      <c r="M34" s="1"/>
      <c r="N34" s="582"/>
      <c r="O34" s="1"/>
      <c r="P34" s="1"/>
      <c r="Q34" s="1"/>
    </row>
    <row r="35" spans="1:17" s="7" customFormat="1" ht="12" customHeight="1">
      <c r="A35" s="140"/>
      <c r="B35" s="140"/>
      <c r="C35" s="149" t="s">
        <v>37</v>
      </c>
      <c r="D35" s="1"/>
      <c r="F35" s="1"/>
      <c r="G35" s="1"/>
      <c r="H35" s="1"/>
      <c r="I35" s="1"/>
      <c r="J35" s="583"/>
    </row>
    <row r="36" spans="1:17" s="7" customFormat="1" ht="12" customHeight="1">
      <c r="A36" s="140"/>
      <c r="B36" s="140"/>
      <c r="C36" s="149" t="s">
        <v>38</v>
      </c>
      <c r="D36" s="1"/>
      <c r="F36" s="1"/>
      <c r="G36" s="1"/>
      <c r="H36" s="1"/>
      <c r="I36" s="1"/>
    </row>
    <row r="37" spans="1:17" s="7" customFormat="1" ht="12" customHeight="1">
      <c r="A37" s="25"/>
      <c r="B37" s="1"/>
      <c r="C37" s="1"/>
      <c r="D37" s="1"/>
      <c r="F37" s="1"/>
      <c r="G37" s="1"/>
      <c r="H37" s="1"/>
      <c r="I37" s="1"/>
    </row>
    <row r="38" spans="1:17" s="7" customFormat="1" ht="12" customHeight="1">
      <c r="A38" s="25"/>
      <c r="B38" s="1"/>
      <c r="C38" s="1"/>
      <c r="D38" s="1"/>
      <c r="F38" s="1"/>
      <c r="G38" s="1"/>
      <c r="H38" s="1"/>
      <c r="I38" s="1"/>
    </row>
    <row r="39" spans="1:17" s="7" customFormat="1" ht="12" customHeight="1">
      <c r="A39" s="25"/>
      <c r="B39" s="1"/>
      <c r="C39" s="1"/>
      <c r="D39" s="1"/>
      <c r="F39" s="1"/>
      <c r="G39" s="1"/>
      <c r="H39" s="1"/>
      <c r="I39" s="1"/>
    </row>
    <row r="40" spans="1:17" s="7" customFormat="1" ht="12" customHeight="1">
      <c r="A40" s="25"/>
      <c r="B40" s="1"/>
      <c r="C40" s="1"/>
      <c r="D40" s="1"/>
      <c r="F40" s="1"/>
      <c r="G40" s="1"/>
      <c r="H40" s="1"/>
      <c r="I40" s="1"/>
    </row>
    <row r="41" spans="1:17" s="7" customFormat="1" ht="12" customHeight="1">
      <c r="A41" s="25"/>
      <c r="B41" s="1"/>
      <c r="C41" s="1"/>
      <c r="D41" s="1"/>
      <c r="F41" s="1"/>
      <c r="G41" s="1"/>
      <c r="H41" s="1"/>
      <c r="I41" s="1"/>
    </row>
    <row r="42" spans="1:17" ht="14.25">
      <c r="A42" s="25"/>
    </row>
    <row r="43" spans="1:17" ht="14.25">
      <c r="A43" s="25"/>
    </row>
    <row r="44" spans="1:17" ht="14.25">
      <c r="A44" s="25"/>
    </row>
    <row r="45" spans="1:17" ht="14.25">
      <c r="A45" s="25"/>
    </row>
    <row r="46" spans="1:17" ht="14.25">
      <c r="A46" s="25"/>
    </row>
    <row r="47" spans="1:17" ht="14.25">
      <c r="A47" s="25"/>
    </row>
    <row r="48" spans="1:17"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6">
    <mergeCell ref="S2:T2"/>
    <mergeCell ref="S16:T16"/>
    <mergeCell ref="J2:M2"/>
    <mergeCell ref="J16:M16"/>
    <mergeCell ref="N2:Q2"/>
    <mergeCell ref="N16:Q16"/>
  </mergeCells>
  <phoneticPr fontId="7" type="noConversion"/>
  <hyperlinks>
    <hyperlink ref="B5" location="FH!A1" display="재무현황" xr:uid="{77DCC867-92F4-49A6-AE7A-00B661094241}"/>
    <hyperlink ref="B7" location="FS!A1" display="요약재무상태표 (Selected Balance sheet)" xr:uid="{A4B955CF-E169-477A-9A24-560B04F29C25}"/>
    <hyperlink ref="C15" location="Stability!A1" display="재무 안정성 (Financial Stability)" xr:uid="{7F182161-5EF8-4F64-9B27-9C422B9C9948}"/>
    <hyperlink ref="C16" location="Productivity!A1" display="생산성 / 경영효율 (Productivity / Operating Efficiency)" xr:uid="{17E2B340-7FDB-499B-8D0D-81A259CBE796}"/>
    <hyperlink ref="C20" location="'Premium Income by P.T.(GA+SA)'!A1" display="상품별 수입보험료 (Premium Income)" xr:uid="{07329C13-FA55-448D-A49A-A64F1478B558}"/>
    <hyperlink ref="C21" location="'Initial P. by P.T.'!A1" display="상품별 초회보험료 (Initial Premium)" xr:uid="{E455655C-9D18-415B-8FBB-A4E8C39DE25B}"/>
    <hyperlink ref="C22" location="'First-year P. by P.T.'!A1" display="상품별 초년도보험료 (First Year Premium)" xr:uid="{A976A08E-6F06-417D-965F-E364473BE080}"/>
    <hyperlink ref="C26" location="'Premium Income by D.C.(GA+SA)'!A1" display="채널별 수입보험료 (Premium Income)" xr:uid="{71AB9487-AB2F-4705-B8E8-4009C0482174}"/>
    <hyperlink ref="C27" location="'First-year P. by D.C'!A1" display="채널별 초년도보험료 (First Year Premium)" xr:uid="{779AF2FF-31FD-4716-BC55-3CC12C742F80}"/>
    <hyperlink ref="C31" location="'&gt;Loan'!A1" display="대출 (Loan)/ 자산건전성 (Asset Quality of Loan)" xr:uid="{435F7C7C-84A1-417A-802B-2757A2A7E975}"/>
    <hyperlink ref="C32" location="'&gt;Bond'!A1" display="채권 (Bond)" xr:uid="{ACC06A47-DD27-42E4-B7C7-5851821EAAC2}"/>
    <hyperlink ref="C35" location="'BS  K-IFRS'!A1" display="재무상태표 (Balance Sheet - KIFRS)" xr:uid="{C3E10473-D4BA-4896-866E-87C76E3A632C}"/>
    <hyperlink ref="C36" location="'IS  K-IFRS'!A1" display="손익계산서 (Income Statement - KIFRS)" xr:uid="{E6417479-011B-4B5D-AD9C-760E9DF282BB}"/>
    <hyperlink ref="B8" location="FS!A1" display="요약손익계산서 (Selected Income Statement)" xr:uid="{52EC8173-40D1-4805-A8A6-6237FA49DE16}"/>
    <hyperlink ref="B10" location="CSM!A1" display="RA, CSM, BEL Movement" xr:uid="{F3F41BB7-A641-4D4D-936B-09E516AB2A04}"/>
    <hyperlink ref="B11" location="CSM!A1" display="신계약 CSM (New Business CSM)" xr:uid="{72AFBEE7-0809-4BBF-913C-530EB6191F39}"/>
    <hyperlink ref="B13" location="'Sources of Margin'!A1" display="이원별손익" xr:uid="{6AC5D68D-A346-4EBE-B0C4-FE144BB91E54}"/>
    <hyperlink ref="B12" location="CSM!A1" display="신계약 CSM 배수 (New Business CSM Margin)" xr:uid="{FDD0172B-B157-4518-901F-3900AF119D38}"/>
    <hyperlink ref="C19" location="'APE by P.T'!A1" display="상품별 APE (Annualized Premium Equivalent (APE))" xr:uid="{68ED6571-38C3-48D7-B503-14254CC6A48F}"/>
    <hyperlink ref="C25" location="'APE by D.C'!A1" display="채널별 APE (Annualized Premium Equivalent (APE))" xr:uid="{0616AD14-0B03-4EB5-87EF-23BD76BF72E2}"/>
  </hyperlinks>
  <pageMargins left="0.19685039370078741" right="0.19685039370078741"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5" width="1.7109375" style="1" customWidth="1"/>
    <col min="6" max="7" width="2.7109375" style="1" customWidth="1"/>
    <col min="8" max="8" width="29.7109375" style="1" customWidth="1"/>
    <col min="9" max="16" width="10.7109375" style="1" customWidth="1"/>
    <col min="17" max="17" width="4.85546875" style="1" customWidth="1"/>
    <col min="18" max="19" width="10.7109375" style="1" customWidth="1"/>
    <col min="20" max="21" width="11.85546875" style="1" bestFit="1" customWidth="1"/>
    <col min="22" max="16384" width="9.140625" style="1"/>
  </cols>
  <sheetData>
    <row r="1" spans="1:21" s="3" customFormat="1" ht="24" customHeight="1">
      <c r="A1" s="6"/>
      <c r="F1" s="92" t="s">
        <v>133</v>
      </c>
      <c r="L1" s="515"/>
      <c r="P1" s="515"/>
    </row>
    <row r="2" spans="1:21" ht="19.5" customHeight="1">
      <c r="A2" s="140"/>
      <c r="B2" s="141"/>
      <c r="C2" s="141"/>
      <c r="F2" s="133" t="s">
        <v>144</v>
      </c>
      <c r="G2" s="92"/>
      <c r="H2" s="92"/>
      <c r="I2" s="3"/>
      <c r="J2" s="3"/>
      <c r="K2" s="3"/>
      <c r="L2" s="3"/>
      <c r="M2" s="3"/>
      <c r="N2" s="3"/>
      <c r="O2" s="3"/>
      <c r="P2" s="3"/>
      <c r="Q2" s="3"/>
    </row>
    <row r="3" spans="1:21" ht="12" customHeight="1">
      <c r="A3" s="140" t="s">
        <v>27</v>
      </c>
      <c r="B3" s="141"/>
      <c r="C3" s="141"/>
      <c r="F3" s="94" t="s">
        <v>205</v>
      </c>
      <c r="G3" s="94"/>
      <c r="H3" s="94"/>
      <c r="I3" s="851" t="s">
        <v>219</v>
      </c>
      <c r="J3" s="852"/>
      <c r="K3" s="852"/>
      <c r="L3" s="853"/>
      <c r="M3" s="838" t="s">
        <v>237</v>
      </c>
      <c r="N3" s="838"/>
      <c r="O3" s="838"/>
      <c r="P3" s="838"/>
      <c r="Q3" s="3"/>
      <c r="R3" s="852" t="s">
        <v>218</v>
      </c>
      <c r="S3" s="852"/>
    </row>
    <row r="4" spans="1:21" ht="12" customHeight="1">
      <c r="A4" s="140"/>
      <c r="B4" s="141"/>
      <c r="C4" s="141"/>
      <c r="F4" s="250" t="s">
        <v>168</v>
      </c>
      <c r="G4" s="250"/>
      <c r="H4" s="250"/>
      <c r="I4" s="352">
        <v>45382</v>
      </c>
      <c r="J4" s="302">
        <v>45473</v>
      </c>
      <c r="K4" s="302">
        <v>45565</v>
      </c>
      <c r="L4" s="317">
        <v>45657</v>
      </c>
      <c r="M4" s="302">
        <v>45747</v>
      </c>
      <c r="N4" s="302">
        <v>45838</v>
      </c>
      <c r="O4" s="302">
        <v>45930</v>
      </c>
      <c r="P4" s="302">
        <v>46022</v>
      </c>
      <c r="Q4" s="3"/>
      <c r="R4" s="304" t="s">
        <v>23</v>
      </c>
      <c r="S4" s="304" t="s">
        <v>24</v>
      </c>
      <c r="T4" s="120"/>
      <c r="U4" s="231"/>
    </row>
    <row r="5" spans="1:21" ht="12" customHeight="1">
      <c r="A5" s="150"/>
      <c r="B5" s="140" t="s">
        <v>155</v>
      </c>
      <c r="C5" s="140"/>
      <c r="F5" s="283" t="s">
        <v>154</v>
      </c>
      <c r="G5" s="284"/>
      <c r="H5" s="284"/>
      <c r="I5" s="568">
        <f t="shared" ref="I5:P5" si="0">SUM(I6:I10)</f>
        <v>1315.158409553</v>
      </c>
      <c r="J5" s="308">
        <f t="shared" si="0"/>
        <v>1248.0951046229998</v>
      </c>
      <c r="K5" s="308">
        <f t="shared" si="0"/>
        <v>1243.53505864</v>
      </c>
      <c r="L5" s="388">
        <f t="shared" si="0"/>
        <v>1233.1530063790001</v>
      </c>
      <c r="M5" s="308">
        <f t="shared" si="0"/>
        <v>1145.219631149</v>
      </c>
      <c r="N5" s="308">
        <f t="shared" si="0"/>
        <v>771.97100234300001</v>
      </c>
      <c r="O5" s="308">
        <f t="shared" si="0"/>
        <v>765.87848636299998</v>
      </c>
      <c r="P5" s="639">
        <f t="shared" si="0"/>
        <v>756.088823381</v>
      </c>
      <c r="Q5" s="3"/>
      <c r="R5" s="346">
        <f>IF(P5/L5&lt;0,"n.a.",IF(L5&gt;0,ROUND(P5,4)/ROUND(L5,4)-1,IF(L5&lt;0,"n.a.")))</f>
        <v>-0.38686537680239197</v>
      </c>
      <c r="S5" s="346">
        <f>IF(P5/O5&lt;0,"n.a.",IF(O5&gt;0,ROUND(P5,4)/ROUND(O5,4)-1,IF(O5&lt;0,"n.a.")))</f>
        <v>-1.2782314688295937E-2</v>
      </c>
      <c r="T5" s="120"/>
    </row>
    <row r="6" spans="1:21" ht="12" customHeight="1">
      <c r="A6" s="150"/>
      <c r="B6" s="149"/>
      <c r="C6" s="141"/>
      <c r="F6" s="285"/>
      <c r="G6" s="286" t="s">
        <v>206</v>
      </c>
      <c r="H6" s="286"/>
      <c r="I6" s="569">
        <v>0</v>
      </c>
      <c r="J6" s="309">
        <v>0</v>
      </c>
      <c r="K6" s="309">
        <v>0</v>
      </c>
      <c r="L6" s="389">
        <v>0</v>
      </c>
      <c r="M6" s="309">
        <v>0</v>
      </c>
      <c r="N6" s="309">
        <v>0</v>
      </c>
      <c r="O6" s="309">
        <v>0</v>
      </c>
      <c r="P6" s="640">
        <v>0</v>
      </c>
      <c r="Q6" s="3"/>
      <c r="R6" s="152">
        <v>0</v>
      </c>
      <c r="S6" s="152">
        <v>0</v>
      </c>
      <c r="T6" s="120"/>
    </row>
    <row r="7" spans="1:21" ht="12" customHeight="1">
      <c r="A7" s="150"/>
      <c r="B7" s="149" t="s">
        <v>212</v>
      </c>
      <c r="C7" s="141"/>
      <c r="F7" s="285"/>
      <c r="G7" s="286" t="s">
        <v>207</v>
      </c>
      <c r="H7" s="286"/>
      <c r="I7" s="569">
        <v>64.652822499999999</v>
      </c>
      <c r="J7" s="309">
        <v>66.118311599999998</v>
      </c>
      <c r="K7" s="309">
        <v>67.666591900000014</v>
      </c>
      <c r="L7" s="389">
        <v>68.220510900000008</v>
      </c>
      <c r="M7" s="309">
        <v>50.185481500000002</v>
      </c>
      <c r="N7" s="309">
        <v>0</v>
      </c>
      <c r="O7" s="309">
        <v>0</v>
      </c>
      <c r="P7" s="640">
        <v>0</v>
      </c>
      <c r="Q7" s="3"/>
      <c r="R7" s="152">
        <f>IF(P7/L7&lt;0,"n.a.",IF(L7&gt;0,ROUND(P7,4)/ROUND(L7,4)-1,IF(L7&lt;0,"n.a.")))</f>
        <v>-1</v>
      </c>
      <c r="S7" s="152">
        <v>0</v>
      </c>
      <c r="T7" s="120"/>
    </row>
    <row r="8" spans="1:21" ht="12" customHeight="1">
      <c r="A8" s="150"/>
      <c r="B8" s="149" t="s">
        <v>213</v>
      </c>
      <c r="C8" s="141"/>
      <c r="F8" s="285"/>
      <c r="G8" s="286" t="s">
        <v>208</v>
      </c>
      <c r="H8" s="286"/>
      <c r="I8" s="569">
        <v>473.245293</v>
      </c>
      <c r="J8" s="309">
        <v>430.02658489999999</v>
      </c>
      <c r="K8" s="309">
        <v>415.04581869999998</v>
      </c>
      <c r="L8" s="389">
        <v>417.2378607</v>
      </c>
      <c r="M8" s="309">
        <v>234.44564389999999</v>
      </c>
      <c r="N8" s="309">
        <v>117.6827608</v>
      </c>
      <c r="O8" s="309">
        <v>107.52411410000001</v>
      </c>
      <c r="P8" s="640">
        <v>85.610374800000002</v>
      </c>
      <c r="Q8" s="3"/>
      <c r="R8" s="152">
        <f t="shared" ref="R8:R16" si="1">IF(P8/L8&lt;0,"n.a.",IF(L8&gt;0,ROUND(P8,4)/ROUND(L8,4)-1,IF(L8&lt;0,"n.a.")))</f>
        <v>-0.79481633859244338</v>
      </c>
      <c r="S8" s="152">
        <f t="shared" ref="S8:S13" si="2">IF(P8/O8&lt;0,"n.a.",IF(O8&gt;0,ROUND(P8,4)/ROUND(O8,4)-1,IF(O8&lt;0,"n.a.")))</f>
        <v>-0.20380268237539312</v>
      </c>
    </row>
    <row r="9" spans="1:21" ht="12" customHeight="1">
      <c r="A9" s="150"/>
      <c r="B9" s="149"/>
      <c r="C9" s="141"/>
      <c r="F9" s="285"/>
      <c r="G9" s="286" t="s">
        <v>209</v>
      </c>
      <c r="H9" s="286"/>
      <c r="I9" s="569">
        <v>136.54059009400001</v>
      </c>
      <c r="J9" s="309">
        <v>136.79251477000003</v>
      </c>
      <c r="K9" s="309">
        <v>120.8739235</v>
      </c>
      <c r="L9" s="389">
        <v>120.49304650000001</v>
      </c>
      <c r="M9" s="309">
        <v>90.182146500000002</v>
      </c>
      <c r="N9" s="309">
        <v>50.087048500000002</v>
      </c>
      <c r="O9" s="309">
        <v>50.130216500000003</v>
      </c>
      <c r="P9" s="640">
        <v>50.113340000000001</v>
      </c>
      <c r="Q9" s="3"/>
      <c r="R9" s="152">
        <f t="shared" si="1"/>
        <v>-0.5840978314092935</v>
      </c>
      <c r="S9" s="152">
        <f t="shared" si="2"/>
        <v>-3.371221339631969E-4</v>
      </c>
    </row>
    <row r="10" spans="1:21" ht="12" customHeight="1">
      <c r="A10" s="140"/>
      <c r="B10" s="149" t="s">
        <v>171</v>
      </c>
      <c r="C10" s="141"/>
      <c r="F10" s="287"/>
      <c r="G10" s="288" t="s">
        <v>210</v>
      </c>
      <c r="H10" s="288"/>
      <c r="I10" s="570">
        <v>640.71970395899996</v>
      </c>
      <c r="J10" s="310">
        <v>615.1576933529999</v>
      </c>
      <c r="K10" s="310">
        <v>639.94872453999994</v>
      </c>
      <c r="L10" s="390">
        <v>627.20158827900002</v>
      </c>
      <c r="M10" s="310">
        <v>770.40635924900005</v>
      </c>
      <c r="N10" s="310">
        <v>604.20119304299999</v>
      </c>
      <c r="O10" s="310">
        <v>608.224155763</v>
      </c>
      <c r="P10" s="641">
        <v>620.36510858099996</v>
      </c>
      <c r="Q10" s="3"/>
      <c r="R10" s="347">
        <f t="shared" si="1"/>
        <v>-1.0900004081622283E-2</v>
      </c>
      <c r="S10" s="347">
        <f t="shared" si="2"/>
        <v>1.9961224824661672E-2</v>
      </c>
    </row>
    <row r="11" spans="1:21" ht="12" customHeight="1">
      <c r="A11" s="140"/>
      <c r="B11" s="149" t="s">
        <v>166</v>
      </c>
      <c r="C11" s="141"/>
      <c r="F11" s="285" t="s">
        <v>153</v>
      </c>
      <c r="G11" s="286"/>
      <c r="H11" s="286"/>
      <c r="I11" s="571">
        <f t="shared" ref="I11:P11" si="3">SUM(I12:I16)</f>
        <v>17774.449618530998</v>
      </c>
      <c r="J11" s="311">
        <f t="shared" si="3"/>
        <v>18463.75983073</v>
      </c>
      <c r="K11" s="311">
        <f t="shared" si="3"/>
        <v>18904.256323792</v>
      </c>
      <c r="L11" s="391">
        <f t="shared" si="3"/>
        <v>19638.445483</v>
      </c>
      <c r="M11" s="311">
        <f t="shared" si="3"/>
        <v>20436.131553473999</v>
      </c>
      <c r="N11" s="311">
        <f t="shared" si="3"/>
        <v>21214.100765717001</v>
      </c>
      <c r="O11" s="311">
        <f t="shared" si="3"/>
        <v>22569.502652649004</v>
      </c>
      <c r="P11" s="642">
        <f t="shared" si="3"/>
        <v>20364.397558992001</v>
      </c>
      <c r="Q11" s="3"/>
      <c r="R11" s="152">
        <f t="shared" si="1"/>
        <v>3.6965863718694036E-2</v>
      </c>
      <c r="S11" s="152">
        <f t="shared" si="2"/>
        <v>-9.7702866089291351E-2</v>
      </c>
    </row>
    <row r="12" spans="1:21" ht="12" customHeight="1">
      <c r="A12" s="140"/>
      <c r="B12" s="149" t="s">
        <v>222</v>
      </c>
      <c r="C12" s="141"/>
      <c r="F12" s="285" t="s">
        <v>21</v>
      </c>
      <c r="G12" s="286" t="s">
        <v>206</v>
      </c>
      <c r="H12" s="286"/>
      <c r="I12" s="569">
        <v>7325.7570828480002</v>
      </c>
      <c r="J12" s="309">
        <v>7672.5789101869996</v>
      </c>
      <c r="K12" s="309">
        <v>7945.8005743439999</v>
      </c>
      <c r="L12" s="389">
        <v>8498.6574604630005</v>
      </c>
      <c r="M12" s="309">
        <v>9200.7860448859992</v>
      </c>
      <c r="N12" s="309">
        <v>9358.9754559699995</v>
      </c>
      <c r="O12" s="309">
        <v>9581.8805071030001</v>
      </c>
      <c r="P12" s="640">
        <v>9063.9458270270006</v>
      </c>
      <c r="Q12" s="3"/>
      <c r="R12" s="152">
        <f>IF(P12/L12&lt;0,"n.a.",IF(L12&gt;0,ROUND(P12,4)/ROUND(L12,4)-1,IF(L12&lt;0,"n.a.")))</f>
        <v>6.6515011341497177E-2</v>
      </c>
      <c r="S12" s="152">
        <f t="shared" si="2"/>
        <v>-5.4053554518865066E-2</v>
      </c>
    </row>
    <row r="13" spans="1:21" ht="12" customHeight="1">
      <c r="A13" s="140"/>
      <c r="B13" s="149"/>
      <c r="C13" s="141"/>
      <c r="F13" s="285"/>
      <c r="G13" s="286" t="s">
        <v>207</v>
      </c>
      <c r="H13" s="286"/>
      <c r="I13" s="569">
        <v>2897.4038187199999</v>
      </c>
      <c r="J13" s="309">
        <v>2932.7144989160001</v>
      </c>
      <c r="K13" s="309">
        <v>2961.9597096430002</v>
      </c>
      <c r="L13" s="389">
        <v>2978.355975638</v>
      </c>
      <c r="M13" s="309">
        <v>3042.5845528280001</v>
      </c>
      <c r="N13" s="309">
        <v>2916.1841018240002</v>
      </c>
      <c r="O13" s="309">
        <v>2958.221197669</v>
      </c>
      <c r="P13" s="640">
        <v>2943.2980745619998</v>
      </c>
      <c r="Q13" s="3"/>
      <c r="R13" s="152">
        <f t="shared" si="1"/>
        <v>-1.1770889712311217E-2</v>
      </c>
      <c r="S13" s="152">
        <f t="shared" si="2"/>
        <v>-5.0446193814038809E-3</v>
      </c>
    </row>
    <row r="14" spans="1:21" ht="12" customHeight="1">
      <c r="A14" s="140"/>
      <c r="B14" s="140" t="s">
        <v>173</v>
      </c>
      <c r="C14" s="141"/>
      <c r="F14" s="285"/>
      <c r="G14" s="286" t="s">
        <v>208</v>
      </c>
      <c r="H14" s="286"/>
      <c r="I14" s="569">
        <v>1923.6241058999999</v>
      </c>
      <c r="J14" s="309">
        <v>2067.7865975999998</v>
      </c>
      <c r="K14" s="309">
        <v>2272.1855500000001</v>
      </c>
      <c r="L14" s="389">
        <v>2349.6783924000001</v>
      </c>
      <c r="M14" s="309">
        <v>2382.7671123</v>
      </c>
      <c r="N14" s="309">
        <v>2400.0527132000002</v>
      </c>
      <c r="O14" s="309">
        <v>2305.5588406000002</v>
      </c>
      <c r="P14" s="640">
        <v>229.757400561</v>
      </c>
      <c r="Q14" s="3"/>
      <c r="R14" s="152">
        <f t="shared" si="1"/>
        <v>-0.90221751197951172</v>
      </c>
      <c r="S14" s="152">
        <f t="shared" ref="S14:S16" si="4">IF(P14/O14&lt;0,"n.a.",IF(O14&gt;0,ROUND(P14,4)/ROUND(O14,4)-1,IF(O14&lt;0,"n.a.")))</f>
        <v>-0.90034632818733573</v>
      </c>
    </row>
    <row r="15" spans="1:21" ht="12" customHeight="1">
      <c r="A15" s="140"/>
      <c r="B15" s="142"/>
      <c r="C15" s="149" t="s">
        <v>40</v>
      </c>
      <c r="F15" s="285"/>
      <c r="G15" s="286" t="s">
        <v>209</v>
      </c>
      <c r="H15" s="286"/>
      <c r="I15" s="569">
        <v>1989.6425127919999</v>
      </c>
      <c r="J15" s="309">
        <v>2098.1255201089998</v>
      </c>
      <c r="K15" s="309">
        <v>2061.2155507540001</v>
      </c>
      <c r="L15" s="389">
        <v>1851.8732575190002</v>
      </c>
      <c r="M15" s="309">
        <v>1962.387414201</v>
      </c>
      <c r="N15" s="309">
        <v>1593.668016785</v>
      </c>
      <c r="O15" s="309">
        <v>1538.71461591</v>
      </c>
      <c r="P15" s="640">
        <v>1499.6577988680001</v>
      </c>
      <c r="Q15" s="3"/>
      <c r="R15" s="152">
        <f t="shared" si="1"/>
        <v>-0.19019416717115589</v>
      </c>
      <c r="S15" s="152">
        <f t="shared" si="4"/>
        <v>-2.5382744792309175E-2</v>
      </c>
    </row>
    <row r="16" spans="1:21" ht="12" customHeight="1">
      <c r="A16" s="140"/>
      <c r="B16" s="140"/>
      <c r="C16" s="149" t="s">
        <v>41</v>
      </c>
      <c r="F16" s="287"/>
      <c r="G16" s="288" t="s">
        <v>210</v>
      </c>
      <c r="H16" s="288"/>
      <c r="I16" s="570">
        <v>3638.0220982709998</v>
      </c>
      <c r="J16" s="310">
        <v>3692.5543039180002</v>
      </c>
      <c r="K16" s="310">
        <v>3663.094939051</v>
      </c>
      <c r="L16" s="390">
        <v>3959.8803969800001</v>
      </c>
      <c r="M16" s="310">
        <v>3847.6064292589999</v>
      </c>
      <c r="N16" s="310">
        <v>4945.2204779379999</v>
      </c>
      <c r="O16" s="310">
        <v>6185.1274913670004</v>
      </c>
      <c r="P16" s="641">
        <v>6627.7384579740001</v>
      </c>
      <c r="Q16" s="3"/>
      <c r="R16" s="347">
        <f t="shared" si="1"/>
        <v>0.67372188816611733</v>
      </c>
      <c r="S16" s="347">
        <f t="shared" si="4"/>
        <v>7.156052967380222E-2</v>
      </c>
    </row>
    <row r="17" spans="1:19" ht="12" customHeight="1">
      <c r="A17" s="140"/>
      <c r="B17" s="140"/>
      <c r="C17" s="149"/>
      <c r="F17" s="285" t="s">
        <v>152</v>
      </c>
      <c r="G17" s="286"/>
      <c r="H17" s="286"/>
      <c r="I17" s="571">
        <f t="shared" ref="I17:P17" si="5">SUM(I18:I22)</f>
        <v>0</v>
      </c>
      <c r="J17" s="311">
        <f t="shared" si="5"/>
        <v>0</v>
      </c>
      <c r="K17" s="311">
        <f t="shared" si="5"/>
        <v>0</v>
      </c>
      <c r="L17" s="391">
        <f t="shared" si="5"/>
        <v>0</v>
      </c>
      <c r="M17" s="311">
        <f t="shared" si="5"/>
        <v>0</v>
      </c>
      <c r="N17" s="311">
        <f t="shared" si="5"/>
        <v>0</v>
      </c>
      <c r="O17" s="311">
        <f t="shared" si="5"/>
        <v>0</v>
      </c>
      <c r="P17" s="642">
        <f t="shared" si="5"/>
        <v>0</v>
      </c>
      <c r="Q17" s="3"/>
      <c r="R17" s="348">
        <v>0</v>
      </c>
      <c r="S17" s="348">
        <v>0</v>
      </c>
    </row>
    <row r="18" spans="1:19" ht="12" customHeight="1">
      <c r="A18" s="140"/>
      <c r="B18" s="140" t="s">
        <v>176</v>
      </c>
      <c r="C18" s="149"/>
      <c r="F18" s="285"/>
      <c r="G18" s="286" t="s">
        <v>206</v>
      </c>
      <c r="H18" s="286"/>
      <c r="I18" s="569">
        <v>0</v>
      </c>
      <c r="J18" s="309">
        <v>0</v>
      </c>
      <c r="K18" s="309">
        <v>0</v>
      </c>
      <c r="L18" s="389">
        <v>0</v>
      </c>
      <c r="M18" s="309">
        <v>0</v>
      </c>
      <c r="N18" s="309">
        <v>0</v>
      </c>
      <c r="O18" s="309">
        <v>0</v>
      </c>
      <c r="P18" s="640">
        <v>0</v>
      </c>
      <c r="Q18" s="3"/>
      <c r="R18" s="152">
        <v>0</v>
      </c>
      <c r="S18" s="152">
        <v>0</v>
      </c>
    </row>
    <row r="19" spans="1:19" ht="12" customHeight="1">
      <c r="A19" s="140"/>
      <c r="B19" s="140"/>
      <c r="C19" s="149" t="s">
        <v>33</v>
      </c>
      <c r="F19" s="285"/>
      <c r="G19" s="286" t="s">
        <v>207</v>
      </c>
      <c r="H19" s="286"/>
      <c r="I19" s="569">
        <v>0</v>
      </c>
      <c r="J19" s="309">
        <v>0</v>
      </c>
      <c r="K19" s="309">
        <v>0</v>
      </c>
      <c r="L19" s="389">
        <v>0</v>
      </c>
      <c r="M19" s="309">
        <v>0</v>
      </c>
      <c r="N19" s="309">
        <v>0</v>
      </c>
      <c r="O19" s="309">
        <v>0</v>
      </c>
      <c r="P19" s="640">
        <v>0</v>
      </c>
      <c r="Q19" s="3"/>
      <c r="R19" s="152">
        <v>0</v>
      </c>
      <c r="S19" s="152">
        <v>0</v>
      </c>
    </row>
    <row r="20" spans="1:19" ht="12" customHeight="1">
      <c r="A20" s="140"/>
      <c r="B20" s="140"/>
      <c r="C20" s="149" t="s">
        <v>29</v>
      </c>
      <c r="F20" s="285"/>
      <c r="G20" s="286" t="s">
        <v>208</v>
      </c>
      <c r="H20" s="286"/>
      <c r="I20" s="569">
        <v>0</v>
      </c>
      <c r="J20" s="309">
        <v>0</v>
      </c>
      <c r="K20" s="309">
        <v>0</v>
      </c>
      <c r="L20" s="389">
        <v>0</v>
      </c>
      <c r="M20" s="309">
        <v>0</v>
      </c>
      <c r="N20" s="309">
        <v>0</v>
      </c>
      <c r="O20" s="309">
        <v>0</v>
      </c>
      <c r="P20" s="640">
        <v>0</v>
      </c>
      <c r="Q20" s="3"/>
      <c r="R20" s="152">
        <v>0</v>
      </c>
      <c r="S20" s="152">
        <v>0</v>
      </c>
    </row>
    <row r="21" spans="1:19" ht="12" customHeight="1">
      <c r="A21" s="140"/>
      <c r="B21" s="140"/>
      <c r="C21" s="149" t="s">
        <v>30</v>
      </c>
      <c r="F21" s="285"/>
      <c r="G21" s="286" t="s">
        <v>209</v>
      </c>
      <c r="H21" s="286"/>
      <c r="I21" s="569">
        <v>0</v>
      </c>
      <c r="J21" s="309">
        <v>0</v>
      </c>
      <c r="K21" s="309">
        <v>0</v>
      </c>
      <c r="L21" s="389">
        <v>0</v>
      </c>
      <c r="M21" s="309">
        <v>0</v>
      </c>
      <c r="N21" s="309">
        <v>0</v>
      </c>
      <c r="O21" s="309">
        <v>0</v>
      </c>
      <c r="P21" s="640">
        <v>0</v>
      </c>
      <c r="Q21" s="3"/>
      <c r="R21" s="152">
        <v>0</v>
      </c>
      <c r="S21" s="152">
        <v>0</v>
      </c>
    </row>
    <row r="22" spans="1:19" ht="12" customHeight="1">
      <c r="A22" s="140"/>
      <c r="B22" s="140"/>
      <c r="C22" s="149" t="s">
        <v>31</v>
      </c>
      <c r="F22" s="289"/>
      <c r="G22" s="290" t="s">
        <v>210</v>
      </c>
      <c r="H22" s="290"/>
      <c r="I22" s="572">
        <v>0</v>
      </c>
      <c r="J22" s="312">
        <v>0</v>
      </c>
      <c r="K22" s="312">
        <v>0</v>
      </c>
      <c r="L22" s="392">
        <v>0</v>
      </c>
      <c r="M22" s="312">
        <v>0</v>
      </c>
      <c r="N22" s="312">
        <v>0</v>
      </c>
      <c r="O22" s="312">
        <v>0</v>
      </c>
      <c r="P22" s="643">
        <v>0</v>
      </c>
      <c r="Q22" s="3"/>
      <c r="R22" s="307">
        <v>0</v>
      </c>
      <c r="S22" s="307">
        <v>0</v>
      </c>
    </row>
    <row r="23" spans="1:19" ht="12" customHeight="1">
      <c r="A23" s="140"/>
      <c r="B23" s="140"/>
      <c r="C23" s="149"/>
      <c r="F23" s="289" t="s">
        <v>117</v>
      </c>
      <c r="G23" s="290"/>
      <c r="H23" s="290"/>
      <c r="I23" s="573">
        <f t="shared" ref="I23:P23" si="6">SUM(I17,I11,I5)</f>
        <v>19089.608028084</v>
      </c>
      <c r="J23" s="442">
        <f t="shared" si="6"/>
        <v>19711.854935353</v>
      </c>
      <c r="K23" s="442">
        <f t="shared" si="6"/>
        <v>20147.791382431998</v>
      </c>
      <c r="L23" s="574">
        <f t="shared" si="6"/>
        <v>20871.598489379001</v>
      </c>
      <c r="M23" s="638">
        <f t="shared" si="6"/>
        <v>21581.351184622999</v>
      </c>
      <c r="N23" s="638">
        <f t="shared" si="6"/>
        <v>21986.071768060003</v>
      </c>
      <c r="O23" s="638">
        <f t="shared" si="6"/>
        <v>23335.381139012003</v>
      </c>
      <c r="P23" s="644">
        <f t="shared" si="6"/>
        <v>21120.486382373001</v>
      </c>
      <c r="Q23" s="3"/>
      <c r="R23" s="349">
        <f>IF(P23/L23&lt;0,"n.a.",IF(L23&gt;0,ROUND(P23,4)/ROUND(L23,4)-1,IF(L23&lt;0,"n.a.")))</f>
        <v>1.1924716738873631E-2</v>
      </c>
      <c r="S23" s="349">
        <f>IF(P23/O23&lt;0,"n.a.",IF(O23&gt;0,ROUND(P23,4)/ROUND(O23,4)-1,IF(O23&lt;0,"n.a.")))</f>
        <v>-9.4915728631489893E-2</v>
      </c>
    </row>
    <row r="24" spans="1:19" ht="12" customHeight="1">
      <c r="A24" s="140"/>
      <c r="B24" s="140" t="s">
        <v>181</v>
      </c>
      <c r="C24" s="149"/>
      <c r="F24" s="674"/>
      <c r="G24" s="657"/>
      <c r="H24" s="657"/>
      <c r="I24" s="657"/>
      <c r="J24" s="597"/>
      <c r="Q24" s="3"/>
    </row>
    <row r="25" spans="1:19" ht="12" customHeight="1">
      <c r="A25" s="140"/>
      <c r="B25" s="140"/>
      <c r="C25" s="149" t="s">
        <v>32</v>
      </c>
      <c r="F25" s="765"/>
      <c r="G25" s="766"/>
      <c r="H25" s="597"/>
      <c r="I25" s="597"/>
      <c r="J25" s="597"/>
      <c r="Q25" s="3"/>
    </row>
    <row r="26" spans="1:19" ht="12" customHeight="1">
      <c r="A26" s="140"/>
      <c r="B26" s="140"/>
      <c r="C26" s="149" t="s">
        <v>34</v>
      </c>
      <c r="F26" s="190"/>
      <c r="G26" s="7"/>
      <c r="Q26" s="3"/>
    </row>
    <row r="27" spans="1:19" ht="12" customHeight="1">
      <c r="A27" s="140"/>
      <c r="B27" s="140"/>
      <c r="C27" s="149" t="s">
        <v>35</v>
      </c>
      <c r="F27" s="190"/>
      <c r="G27" s="7"/>
      <c r="Q27" s="3"/>
    </row>
    <row r="28" spans="1:19" ht="12" customHeight="1">
      <c r="A28" s="140"/>
      <c r="B28" s="140"/>
      <c r="C28" s="149"/>
      <c r="F28" s="190"/>
      <c r="G28" s="7"/>
    </row>
    <row r="29" spans="1:19" s="7" customFormat="1" ht="12" customHeight="1">
      <c r="A29" s="140"/>
      <c r="B29" s="140"/>
      <c r="C29" s="149"/>
      <c r="D29" s="1"/>
      <c r="F29" s="1"/>
      <c r="H29" s="1"/>
      <c r="N29" s="1"/>
      <c r="O29" s="1"/>
    </row>
    <row r="30" spans="1:19" s="7" customFormat="1" ht="12" customHeight="1">
      <c r="A30" s="140"/>
      <c r="B30" s="140" t="s">
        <v>185</v>
      </c>
      <c r="C30" s="149"/>
      <c r="D30" s="1"/>
      <c r="F30" s="1"/>
      <c r="H30" s="1"/>
      <c r="N30" s="1"/>
      <c r="O30" s="1"/>
    </row>
    <row r="31" spans="1:19" ht="14.25">
      <c r="A31" s="140"/>
      <c r="B31" s="140"/>
      <c r="C31" s="149" t="s">
        <v>147</v>
      </c>
      <c r="G31" s="7"/>
      <c r="L31" s="7"/>
      <c r="P31" s="7"/>
    </row>
    <row r="32" spans="1:19" ht="14.25">
      <c r="A32" s="140"/>
      <c r="B32" s="140"/>
      <c r="C32" s="149" t="s">
        <v>36</v>
      </c>
      <c r="G32" s="7"/>
      <c r="L32" s="7"/>
      <c r="P32" s="7"/>
    </row>
    <row r="33" spans="1:16" ht="14.25">
      <c r="A33" s="140"/>
      <c r="B33" s="140"/>
      <c r="C33" s="149"/>
      <c r="G33" s="7"/>
      <c r="L33" s="7"/>
      <c r="P33" s="7"/>
    </row>
    <row r="34" spans="1:16" ht="14.25">
      <c r="A34" s="140"/>
      <c r="B34" s="140" t="s">
        <v>188</v>
      </c>
      <c r="C34" s="149"/>
      <c r="G34" s="7"/>
    </row>
    <row r="35" spans="1:16" ht="14.25">
      <c r="A35" s="140"/>
      <c r="B35" s="140"/>
      <c r="C35" s="149" t="s">
        <v>37</v>
      </c>
      <c r="G35" s="7"/>
    </row>
    <row r="36" spans="1:16" ht="14.25">
      <c r="A36" s="140"/>
      <c r="B36" s="140"/>
      <c r="C36" s="149" t="s">
        <v>38</v>
      </c>
      <c r="L36" s="7"/>
      <c r="P36" s="7"/>
    </row>
    <row r="37" spans="1:16" ht="14.25">
      <c r="A37" s="25"/>
      <c r="L37" s="7"/>
      <c r="P37" s="7"/>
    </row>
    <row r="38" spans="1:16" ht="14.25">
      <c r="A38" s="25"/>
      <c r="L38" s="7"/>
      <c r="P38" s="7"/>
    </row>
    <row r="39" spans="1:16" ht="14.25">
      <c r="A39" s="25"/>
      <c r="L39" s="7"/>
      <c r="P39" s="7"/>
    </row>
    <row r="40" spans="1:16" ht="14.25">
      <c r="A40" s="25"/>
      <c r="L40" s="7"/>
      <c r="P40" s="7"/>
    </row>
    <row r="41" spans="1:16" ht="14.25">
      <c r="A41" s="25"/>
    </row>
    <row r="42" spans="1:16" ht="14.25">
      <c r="A42" s="25"/>
    </row>
    <row r="43" spans="1:16" ht="14.25">
      <c r="A43" s="25"/>
      <c r="F43" s="69"/>
    </row>
    <row r="44" spans="1:16" ht="14.25">
      <c r="A44" s="25"/>
      <c r="F44" s="69"/>
    </row>
    <row r="45" spans="1:16" ht="14.25">
      <c r="A45" s="25"/>
      <c r="F45" s="69"/>
    </row>
    <row r="46" spans="1:16" ht="14.25">
      <c r="A46" s="25"/>
      <c r="F46" s="69"/>
    </row>
    <row r="47" spans="1:16" ht="14.25">
      <c r="A47" s="25"/>
      <c r="F47" s="69"/>
    </row>
    <row r="48" spans="1:16" ht="14.25">
      <c r="A48" s="25"/>
      <c r="F48" s="69"/>
    </row>
    <row r="49" spans="1:6">
      <c r="F49" s="69"/>
    </row>
    <row r="50" spans="1:6">
      <c r="F50" s="69"/>
    </row>
    <row r="51" spans="1:6">
      <c r="F51" s="69"/>
    </row>
    <row r="52" spans="1:6">
      <c r="F52" s="69"/>
    </row>
    <row r="53" spans="1:6">
      <c r="F53" s="69"/>
    </row>
    <row r="54" spans="1:6">
      <c r="F54" s="69"/>
    </row>
    <row r="55" spans="1:6">
      <c r="F55" s="69"/>
    </row>
    <row r="56" spans="1:6">
      <c r="F56" s="69"/>
    </row>
    <row r="57" spans="1:6">
      <c r="F57" s="69"/>
    </row>
    <row r="58" spans="1:6">
      <c r="F58" s="69"/>
    </row>
    <row r="59" spans="1:6">
      <c r="F59" s="69"/>
    </row>
    <row r="60" spans="1:6">
      <c r="F60" s="69"/>
    </row>
    <row r="61" spans="1:6">
      <c r="F61" s="69"/>
    </row>
    <row r="64" spans="1:6"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3">
    <mergeCell ref="R3:S3"/>
    <mergeCell ref="I3:L3"/>
    <mergeCell ref="M3:P3"/>
  </mergeCells>
  <phoneticPr fontId="7" type="noConversion"/>
  <hyperlinks>
    <hyperlink ref="B5" location="FH!A1" display="재무현황" xr:uid="{4903D421-7DA3-495D-98A2-A1B45F1C1E66}"/>
    <hyperlink ref="B7" location="FS!A1" display="요약재무상태표 (Selected Balance sheet)" xr:uid="{B499FDB4-418E-429D-B031-8158B1F69809}"/>
    <hyperlink ref="C15" location="Stability!A1" display="재무 안정성 (Financial Stability)" xr:uid="{707F0A0C-0BC2-4A6B-B024-2012C7CC3227}"/>
    <hyperlink ref="C16" location="Productivity!A1" display="생산성 / 경영효율 (Productivity / Operating Efficiency)" xr:uid="{7C3EC72A-4696-4765-A758-E9D9D9866236}"/>
    <hyperlink ref="C20" location="'Premium Income by P.T.(GA+SA)'!A1" display="상품별 수입보험료 (Premium Income)" xr:uid="{AE0793F6-411A-4A23-B59D-2906F2C9549F}"/>
    <hyperlink ref="C21" location="'Initial P. by P.T.'!A1" display="상품별 초회보험료 (Initial Premium)" xr:uid="{0B12DCA6-1713-4D36-9823-90F41EE051D8}"/>
    <hyperlink ref="C22" location="'First-year P. by P.T.'!A1" display="상품별 초년도보험료 (First Year Premium)" xr:uid="{3FBB7F2F-6E59-4E99-B072-0DA0A7EB65C1}"/>
    <hyperlink ref="C26" location="'Premium Income by D.C.(GA+SA)'!A1" display="채널별 수입보험료 (Premium Income)" xr:uid="{078F517A-F4FB-46A9-B17A-8B7CC8A8A98D}"/>
    <hyperlink ref="C27" location="'First-year P. by D.C'!A1" display="채널별 초년도보험료 (First Year Premium)" xr:uid="{F7CEBDD2-BFAF-409B-A089-989EEBF51C13}"/>
    <hyperlink ref="C31" location="'&gt;Loan'!A1" display="대출 (Loan)/ 자산건전성 (Asset Quality of Loan)" xr:uid="{0C4F9151-E93E-481A-8D47-C765DC7F9C59}"/>
    <hyperlink ref="C32" location="'&gt;Bond'!A1" display="채권 (Bond)" xr:uid="{7D306555-B17E-4920-90A5-0BD0AB3B440A}"/>
    <hyperlink ref="C35" location="'BS  K-IFRS'!A1" display="재무상태표 (Balance Sheet - KIFRS)" xr:uid="{D257E10B-2F8F-4AC7-B96D-125AE227573C}"/>
    <hyperlink ref="C36" location="'IS  K-IFRS'!A1" display="손익계산서 (Income Statement - KIFRS)" xr:uid="{D4676CD0-9ABC-4FAE-8057-2630C9865F95}"/>
    <hyperlink ref="B8" location="FS!A1" display="요약손익계산서 (Selected Income Statement)" xr:uid="{B0E6F849-E6C4-462F-90C7-35FEB3A0CB98}"/>
    <hyperlink ref="B10" location="CSM!A1" display="RA, CSM, BEL Movement" xr:uid="{7728B3C0-7312-40AB-836C-E8B68CE4603E}"/>
    <hyperlink ref="B11" location="CSM!A1" display="신계약 CSM (New Business CSM)" xr:uid="{3A5C3405-B5FB-4367-9FEA-96C7C39654BB}"/>
    <hyperlink ref="B13" location="'Sources of Margin'!A1" display="이원별손익" xr:uid="{C7646994-5867-4E70-9EBC-8AF793EF076C}"/>
    <hyperlink ref="B12" location="CSM!A1" display="신계약 CSM 배수 (New Business CSM Margin)" xr:uid="{8663BB7B-7316-41A9-880B-2A1ACB08D7EF}"/>
    <hyperlink ref="C19" location="'APE by P.T'!A1" display="상품별 APE (Annualized Premium Equivalent (APE))" xr:uid="{5A067733-5561-4CD5-82E8-3919229A7A1D}"/>
    <hyperlink ref="C25" location="'APE by D.C'!A1" display="채널별 APE (Annualized Premium Equivalent (APE))" xr:uid="{A7FB556F-B82F-4A3D-ABDD-3A49C450527F}"/>
  </hyperlinks>
  <pageMargins left="0.19685039370078741" right="0.19685039370078741" top="0.74803149606299213" bottom="0.74803149606299213"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97B7-3670-4C22-A560-79B27BB3BBE3}">
  <sheetPr>
    <pageSetUpPr autoPageBreaks="0" fitToPage="1"/>
  </sheetPr>
  <dimension ref="A1:AKN58"/>
  <sheetViews>
    <sheetView showGridLines="0" zoomScale="70" zoomScaleNormal="70" zoomScaleSheetLayoutView="85" workbookViewId="0">
      <selection sqref="A1:C1"/>
    </sheetView>
  </sheetViews>
  <sheetFormatPr defaultRowHeight="16.5"/>
  <cols>
    <col min="1" max="1" width="119.7109375" style="227" customWidth="1"/>
    <col min="2" max="3" width="23.140625" style="227" customWidth="1"/>
    <col min="4" max="4" width="20.7109375" style="226" customWidth="1"/>
    <col min="5" max="976" width="9.140625" style="226"/>
    <col min="977" max="980" width="12.85546875" customWidth="1"/>
  </cols>
  <sheetData>
    <row r="1" spans="1:4" ht="19.899999999999999" customHeight="1">
      <c r="A1" s="857" t="s">
        <v>246</v>
      </c>
      <c r="B1" s="857"/>
      <c r="C1" s="857"/>
    </row>
    <row r="2" spans="1:4" ht="17.25">
      <c r="A2" s="217"/>
      <c r="B2" s="218"/>
      <c r="C2" s="218"/>
    </row>
    <row r="3" spans="1:4" ht="15.6" customHeight="1">
      <c r="A3" s="858" t="s">
        <v>271</v>
      </c>
      <c r="B3" s="858"/>
      <c r="C3" s="858"/>
    </row>
    <row r="4" spans="1:4" ht="15.6" customHeight="1">
      <c r="A4" s="858" t="s">
        <v>247</v>
      </c>
      <c r="B4" s="858"/>
      <c r="C4" s="858"/>
    </row>
    <row r="5" spans="1:4" ht="15.6" customHeight="1">
      <c r="A5" s="219"/>
      <c r="B5" s="220"/>
      <c r="C5" s="221" t="s">
        <v>142</v>
      </c>
    </row>
    <row r="6" spans="1:4">
      <c r="A6" s="244"/>
      <c r="B6" s="245" t="s">
        <v>150</v>
      </c>
      <c r="C6" s="245" t="s">
        <v>150</v>
      </c>
    </row>
    <row r="7" spans="1:4">
      <c r="A7" s="242"/>
      <c r="B7" s="243" t="s">
        <v>268</v>
      </c>
      <c r="C7" s="243" t="s">
        <v>228</v>
      </c>
    </row>
    <row r="8" spans="1:4" ht="16.5" customHeight="1">
      <c r="A8" s="769" t="s">
        <v>249</v>
      </c>
      <c r="B8" s="811" t="s">
        <v>330</v>
      </c>
      <c r="C8" s="811" t="s">
        <v>330</v>
      </c>
    </row>
    <row r="9" spans="1:4" ht="16.5" customHeight="1">
      <c r="A9" s="767" t="s">
        <v>388</v>
      </c>
      <c r="B9" s="588">
        <v>250369675528</v>
      </c>
      <c r="C9" s="588">
        <v>269107843866</v>
      </c>
      <c r="D9" s="246"/>
    </row>
    <row r="10" spans="1:4" ht="16.5" customHeight="1">
      <c r="A10" s="767" t="s">
        <v>387</v>
      </c>
      <c r="B10" s="588">
        <v>33879553349342</v>
      </c>
      <c r="C10" s="588">
        <v>33054888112272</v>
      </c>
      <c r="D10" s="246"/>
    </row>
    <row r="11" spans="1:4" ht="16.5" customHeight="1">
      <c r="A11" s="767" t="s">
        <v>309</v>
      </c>
      <c r="B11" s="588">
        <v>5383256354415</v>
      </c>
      <c r="C11" s="588">
        <v>5857335621093</v>
      </c>
      <c r="D11" s="246"/>
    </row>
    <row r="12" spans="1:4" ht="16.5" customHeight="1">
      <c r="A12" s="767" t="s">
        <v>250</v>
      </c>
      <c r="B12" s="588">
        <v>22837835416401</v>
      </c>
      <c r="C12" s="588">
        <v>20037393225611</v>
      </c>
      <c r="D12" s="246"/>
    </row>
    <row r="13" spans="1:4" ht="16.5" customHeight="1">
      <c r="A13" s="767" t="s">
        <v>310</v>
      </c>
      <c r="B13" s="588">
        <v>5630390869393</v>
      </c>
      <c r="C13" s="588">
        <v>7068086087690</v>
      </c>
      <c r="D13" s="246"/>
    </row>
    <row r="14" spans="1:4" ht="16.5" customHeight="1">
      <c r="A14" s="767" t="s">
        <v>311</v>
      </c>
      <c r="B14" s="588">
        <v>28070709133</v>
      </c>
      <c r="C14" s="588">
        <v>92073177878</v>
      </c>
      <c r="D14" s="246"/>
    </row>
    <row r="15" spans="1:4" ht="16.5" customHeight="1">
      <c r="A15" s="768" t="s">
        <v>312</v>
      </c>
      <c r="B15" s="588">
        <v>0</v>
      </c>
      <c r="C15" s="588">
        <v>51642754136</v>
      </c>
      <c r="D15" s="246"/>
    </row>
    <row r="16" spans="1:4" ht="16.5" customHeight="1">
      <c r="A16" s="767" t="s">
        <v>313</v>
      </c>
      <c r="B16" s="588">
        <v>91038644921</v>
      </c>
      <c r="C16" s="588">
        <v>91013598937</v>
      </c>
      <c r="D16" s="246"/>
    </row>
    <row r="17" spans="1:6" ht="16.5" customHeight="1">
      <c r="A17" s="767" t="s">
        <v>314</v>
      </c>
      <c r="B17" s="588">
        <v>296134885468</v>
      </c>
      <c r="C17" s="588">
        <v>307249469873</v>
      </c>
      <c r="D17" s="246"/>
    </row>
    <row r="18" spans="1:6" ht="16.5" customHeight="1">
      <c r="A18" s="767" t="s">
        <v>315</v>
      </c>
      <c r="B18" s="588">
        <v>27795714379</v>
      </c>
      <c r="C18" s="588">
        <v>18704735364</v>
      </c>
      <c r="D18" s="246"/>
    </row>
    <row r="19" spans="1:6" ht="16.5" customHeight="1">
      <c r="A19" s="767" t="s">
        <v>316</v>
      </c>
      <c r="B19" s="588">
        <v>353663061713</v>
      </c>
      <c r="C19" s="588">
        <v>304751849512</v>
      </c>
      <c r="D19" s="246"/>
    </row>
    <row r="20" spans="1:6" ht="16.5" customHeight="1">
      <c r="A20" s="767" t="s">
        <v>251</v>
      </c>
      <c r="B20" s="588">
        <v>3837577921</v>
      </c>
      <c r="C20" s="588">
        <v>0</v>
      </c>
      <c r="D20" s="246"/>
    </row>
    <row r="21" spans="1:6" ht="16.5" customHeight="1">
      <c r="A21" s="767" t="s">
        <v>317</v>
      </c>
      <c r="B21" s="588">
        <v>122123236540</v>
      </c>
      <c r="C21" s="588">
        <v>90436303282</v>
      </c>
      <c r="D21" s="246"/>
    </row>
    <row r="22" spans="1:6" ht="16.5" customHeight="1">
      <c r="A22" s="767" t="s">
        <v>252</v>
      </c>
      <c r="B22" s="588">
        <v>226337060555</v>
      </c>
      <c r="C22" s="588">
        <v>204472973663</v>
      </c>
      <c r="D22" s="246"/>
    </row>
    <row r="23" spans="1:6" ht="16.5" customHeight="1">
      <c r="A23" s="767" t="s">
        <v>253</v>
      </c>
      <c r="B23" s="588">
        <v>1365186697</v>
      </c>
      <c r="C23" s="588">
        <v>9842572567</v>
      </c>
      <c r="D23" s="246"/>
    </row>
    <row r="24" spans="1:6" ht="16.5" customHeight="1">
      <c r="A24" s="767" t="s">
        <v>318</v>
      </c>
      <c r="B24" s="588">
        <v>0</v>
      </c>
      <c r="C24" s="588">
        <v>0</v>
      </c>
      <c r="D24" s="246"/>
    </row>
    <row r="25" spans="1:6" ht="16.5" customHeight="1">
      <c r="A25" s="767" t="s">
        <v>319</v>
      </c>
      <c r="B25" s="588">
        <v>448681730589</v>
      </c>
      <c r="C25" s="588">
        <v>449126940456</v>
      </c>
      <c r="D25" s="246"/>
      <c r="F25" s="228"/>
    </row>
    <row r="26" spans="1:6" ht="16.5" customHeight="1">
      <c r="A26" s="769" t="s">
        <v>389</v>
      </c>
      <c r="B26" s="589">
        <v>35347237061940</v>
      </c>
      <c r="C26" s="589">
        <v>34546485304415.996</v>
      </c>
      <c r="D26" s="246"/>
    </row>
    <row r="27" spans="1:6" ht="16.5" customHeight="1">
      <c r="A27" s="769" t="s">
        <v>254</v>
      </c>
      <c r="B27" s="588" t="s">
        <v>330</v>
      </c>
      <c r="C27" s="588" t="s">
        <v>330</v>
      </c>
      <c r="D27" s="246"/>
    </row>
    <row r="28" spans="1:6" ht="16.5" customHeight="1">
      <c r="A28" s="767" t="s">
        <v>320</v>
      </c>
      <c r="B28" s="588">
        <v>28145078606219</v>
      </c>
      <c r="C28" s="588">
        <v>28221455749061</v>
      </c>
      <c r="D28" s="246"/>
    </row>
    <row r="29" spans="1:6" ht="16.5" customHeight="1">
      <c r="A29" s="767" t="s">
        <v>321</v>
      </c>
      <c r="B29" s="588">
        <v>9656170210</v>
      </c>
      <c r="C29" s="588">
        <v>11136160827</v>
      </c>
      <c r="D29" s="246"/>
    </row>
    <row r="30" spans="1:6" ht="16.5" customHeight="1">
      <c r="A30" s="767" t="s">
        <v>272</v>
      </c>
      <c r="B30" s="588">
        <v>3702749470978</v>
      </c>
      <c r="C30" s="588">
        <v>3469088291050</v>
      </c>
      <c r="D30" s="246"/>
    </row>
    <row r="31" spans="1:6" ht="16.5" customHeight="1">
      <c r="A31" s="767" t="s">
        <v>322</v>
      </c>
      <c r="B31" s="588">
        <v>1881172810767</v>
      </c>
      <c r="C31" s="588">
        <v>827099061575</v>
      </c>
      <c r="D31" s="246"/>
    </row>
    <row r="32" spans="1:6" ht="16.5" customHeight="1">
      <c r="A32" s="767" t="s">
        <v>255</v>
      </c>
      <c r="B32" s="588">
        <v>25515847022</v>
      </c>
      <c r="C32" s="588">
        <v>431893518</v>
      </c>
      <c r="D32" s="246"/>
    </row>
    <row r="33" spans="1:976" ht="16.5" customHeight="1">
      <c r="A33" s="767" t="s">
        <v>323</v>
      </c>
      <c r="B33" s="588">
        <v>1210212459653</v>
      </c>
      <c r="C33" s="588">
        <v>299129402659</v>
      </c>
      <c r="D33" s="246"/>
    </row>
    <row r="34" spans="1:976" ht="16.5" customHeight="1">
      <c r="A34" s="767" t="s">
        <v>324</v>
      </c>
      <c r="B34" s="588">
        <v>94741873817</v>
      </c>
      <c r="C34" s="588">
        <v>102596101617</v>
      </c>
      <c r="D34" s="246"/>
    </row>
    <row r="35" spans="1:976" ht="16.5" customHeight="1">
      <c r="A35" s="767" t="s">
        <v>325</v>
      </c>
      <c r="B35" s="588">
        <v>550702630275</v>
      </c>
      <c r="C35" s="588">
        <v>424941663781</v>
      </c>
      <c r="D35" s="246"/>
    </row>
    <row r="36" spans="1:976" ht="16.5" customHeight="1">
      <c r="A36" s="767" t="s">
        <v>326</v>
      </c>
      <c r="B36" s="588">
        <v>59705326143</v>
      </c>
      <c r="C36" s="588">
        <v>48592742125</v>
      </c>
      <c r="D36" s="246"/>
    </row>
    <row r="37" spans="1:976" ht="16.5" customHeight="1">
      <c r="A37" s="767" t="s">
        <v>256</v>
      </c>
      <c r="B37" s="588">
        <v>39704656726</v>
      </c>
      <c r="C37" s="588">
        <v>19720722325</v>
      </c>
      <c r="D37" s="246"/>
    </row>
    <row r="38" spans="1:976" ht="16.5" customHeight="1">
      <c r="A38" s="767" t="s">
        <v>257</v>
      </c>
      <c r="B38" s="588">
        <v>2822218288</v>
      </c>
      <c r="C38" s="588">
        <v>16301719511.999998</v>
      </c>
      <c r="D38" s="246"/>
    </row>
    <row r="39" spans="1:976" ht="16.5" customHeight="1">
      <c r="A39" s="767" t="s">
        <v>258</v>
      </c>
      <c r="B39" s="588" t="s">
        <v>330</v>
      </c>
      <c r="C39" s="588" t="s">
        <v>330</v>
      </c>
      <c r="D39" s="246"/>
    </row>
    <row r="40" spans="1:976" ht="16.5" customHeight="1">
      <c r="A40" s="767" t="s">
        <v>259</v>
      </c>
      <c r="B40" s="588">
        <v>0</v>
      </c>
      <c r="C40" s="588">
        <v>0</v>
      </c>
      <c r="D40" s="246"/>
    </row>
    <row r="41" spans="1:976" ht="16.5" customHeight="1">
      <c r="A41" s="767" t="s">
        <v>260</v>
      </c>
      <c r="B41" s="588">
        <v>17178451128.999998</v>
      </c>
      <c r="C41" s="588">
        <v>12570300288</v>
      </c>
      <c r="D41" s="246"/>
    </row>
    <row r="42" spans="1:976" ht="16.5" customHeight="1">
      <c r="A42" s="769" t="s">
        <v>390</v>
      </c>
      <c r="B42" s="589">
        <v>33798362384317</v>
      </c>
      <c r="C42" s="589">
        <v>32577372004638</v>
      </c>
      <c r="D42" s="246"/>
    </row>
    <row r="43" spans="1:976" ht="16.5" customHeight="1">
      <c r="A43" s="770" t="s">
        <v>261</v>
      </c>
      <c r="B43" s="588" t="s">
        <v>330</v>
      </c>
      <c r="C43" s="588" t="s">
        <v>330</v>
      </c>
      <c r="D43" s="247"/>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A43" s="228"/>
      <c r="BB43" s="228"/>
      <c r="BC43" s="228"/>
      <c r="BD43" s="228"/>
      <c r="BE43" s="228"/>
      <c r="BF43" s="228"/>
      <c r="BG43" s="228"/>
      <c r="BH43" s="228"/>
      <c r="BI43" s="228"/>
      <c r="BJ43" s="228"/>
      <c r="BK43" s="228"/>
      <c r="BL43" s="228"/>
      <c r="BM43" s="228"/>
      <c r="BN43" s="228"/>
      <c r="BO43" s="228"/>
      <c r="BP43" s="228"/>
      <c r="BQ43" s="228"/>
      <c r="BR43" s="228"/>
      <c r="BS43" s="228"/>
      <c r="BT43" s="228"/>
      <c r="BU43" s="228"/>
      <c r="BV43" s="228"/>
      <c r="BW43" s="228"/>
      <c r="BX43" s="228"/>
      <c r="BY43" s="228"/>
      <c r="BZ43" s="228"/>
      <c r="CA43" s="228"/>
      <c r="CB43" s="228"/>
      <c r="CC43" s="228"/>
      <c r="CD43" s="228"/>
      <c r="CE43" s="228"/>
      <c r="CF43" s="228"/>
      <c r="CG43" s="228"/>
      <c r="CH43" s="228"/>
      <c r="CI43" s="228"/>
      <c r="CJ43" s="228"/>
      <c r="CK43" s="228"/>
      <c r="CL43" s="228"/>
      <c r="CM43" s="228"/>
      <c r="CN43" s="228"/>
      <c r="CO43" s="228"/>
      <c r="CP43" s="228"/>
      <c r="CQ43" s="228"/>
      <c r="CR43" s="228"/>
      <c r="CS43" s="228"/>
      <c r="CT43" s="228"/>
      <c r="CU43" s="228"/>
      <c r="CV43" s="228"/>
      <c r="CW43" s="228"/>
      <c r="CX43" s="228"/>
      <c r="CY43" s="228"/>
      <c r="CZ43" s="228"/>
      <c r="DA43" s="228"/>
      <c r="DB43" s="228"/>
      <c r="DC43" s="228"/>
      <c r="DD43" s="228"/>
      <c r="DE43" s="228"/>
      <c r="DF43" s="228"/>
      <c r="DG43" s="228"/>
      <c r="DH43" s="228"/>
      <c r="DI43" s="228"/>
      <c r="DJ43" s="228"/>
      <c r="DK43" s="228"/>
      <c r="DL43" s="228"/>
      <c r="DM43" s="228"/>
      <c r="DN43" s="228"/>
      <c r="DO43" s="228"/>
      <c r="DP43" s="228"/>
      <c r="DQ43" s="228"/>
      <c r="DR43" s="228"/>
      <c r="DS43" s="228"/>
      <c r="DT43" s="228"/>
      <c r="DU43" s="228"/>
      <c r="DV43" s="228"/>
      <c r="DW43" s="228"/>
      <c r="DX43" s="228"/>
      <c r="DY43" s="228"/>
      <c r="DZ43" s="228"/>
      <c r="EA43" s="228"/>
      <c r="EB43" s="228"/>
      <c r="EC43" s="228"/>
      <c r="ED43" s="228"/>
      <c r="EE43" s="228"/>
      <c r="EF43" s="228"/>
      <c r="EG43" s="228"/>
      <c r="EH43" s="228"/>
      <c r="EI43" s="228"/>
      <c r="EJ43" s="228"/>
      <c r="EK43" s="228"/>
      <c r="EL43" s="228"/>
      <c r="EM43" s="228"/>
      <c r="EN43" s="228"/>
      <c r="EO43" s="228"/>
      <c r="EP43" s="228"/>
      <c r="EQ43" s="228"/>
      <c r="ER43" s="228"/>
      <c r="ES43" s="228"/>
      <c r="ET43" s="228"/>
      <c r="EU43" s="228"/>
      <c r="EV43" s="228"/>
      <c r="EW43" s="228"/>
      <c r="EX43" s="228"/>
      <c r="EY43" s="228"/>
      <c r="EZ43" s="228"/>
      <c r="FA43" s="228"/>
      <c r="FB43" s="228"/>
      <c r="FC43" s="228"/>
      <c r="FD43" s="228"/>
      <c r="FE43" s="228"/>
      <c r="FF43" s="228"/>
      <c r="FG43" s="228"/>
      <c r="FH43" s="228"/>
      <c r="FI43" s="228"/>
      <c r="FJ43" s="228"/>
      <c r="FK43" s="228"/>
      <c r="FL43" s="228"/>
      <c r="FM43" s="228"/>
      <c r="FN43" s="228"/>
      <c r="FO43" s="228"/>
      <c r="FP43" s="228"/>
      <c r="FQ43" s="228"/>
      <c r="FR43" s="228"/>
      <c r="FS43" s="228"/>
      <c r="FT43" s="228"/>
      <c r="FU43" s="228"/>
      <c r="FV43" s="228"/>
      <c r="FW43" s="228"/>
      <c r="FX43" s="228"/>
      <c r="FY43" s="228"/>
      <c r="FZ43" s="228"/>
      <c r="GA43" s="228"/>
      <c r="GB43" s="228"/>
      <c r="GC43" s="228"/>
      <c r="GD43" s="228"/>
      <c r="GE43" s="228"/>
      <c r="GF43" s="228"/>
      <c r="GG43" s="228"/>
      <c r="GH43" s="228"/>
      <c r="GI43" s="228"/>
      <c r="GJ43" s="228"/>
      <c r="GK43" s="228"/>
      <c r="GL43" s="228"/>
      <c r="GM43" s="228"/>
      <c r="GN43" s="228"/>
      <c r="GO43" s="228"/>
      <c r="GP43" s="228"/>
      <c r="GQ43" s="228"/>
      <c r="GR43" s="228"/>
      <c r="GS43" s="228"/>
      <c r="GT43" s="228"/>
      <c r="GU43" s="228"/>
      <c r="GV43" s="228"/>
      <c r="GW43" s="228"/>
      <c r="GX43" s="228"/>
      <c r="GY43" s="228"/>
      <c r="GZ43" s="228"/>
      <c r="HA43" s="228"/>
      <c r="HB43" s="228"/>
      <c r="HC43" s="228"/>
      <c r="HD43" s="228"/>
      <c r="HE43" s="228"/>
      <c r="HF43" s="228"/>
      <c r="HG43" s="228"/>
      <c r="HH43" s="228"/>
      <c r="HI43" s="228"/>
      <c r="HJ43" s="228"/>
      <c r="HK43" s="228"/>
      <c r="HL43" s="228"/>
      <c r="HM43" s="228"/>
      <c r="HN43" s="228"/>
      <c r="HO43" s="228"/>
      <c r="HP43" s="228"/>
      <c r="HQ43" s="228"/>
      <c r="HR43" s="228"/>
      <c r="HS43" s="228"/>
      <c r="HT43" s="228"/>
      <c r="HU43" s="228"/>
      <c r="HV43" s="228"/>
      <c r="HW43" s="228"/>
      <c r="HX43" s="228"/>
      <c r="HY43" s="228"/>
      <c r="HZ43" s="228"/>
      <c r="IA43" s="228"/>
      <c r="IB43" s="228"/>
      <c r="IC43" s="228"/>
      <c r="ID43" s="228"/>
      <c r="IE43" s="228"/>
      <c r="IF43" s="228"/>
      <c r="IG43" s="228"/>
      <c r="IH43" s="228"/>
      <c r="II43" s="228"/>
      <c r="IJ43" s="228"/>
      <c r="IK43" s="228"/>
      <c r="IL43" s="228"/>
      <c r="IM43" s="228"/>
      <c r="IN43" s="228"/>
      <c r="IO43" s="228"/>
      <c r="IP43" s="228"/>
      <c r="IQ43" s="228"/>
      <c r="IR43" s="228"/>
      <c r="IS43" s="228"/>
      <c r="IT43" s="228"/>
      <c r="IU43" s="228"/>
      <c r="IV43" s="228"/>
      <c r="IW43" s="228"/>
      <c r="IX43" s="228"/>
      <c r="IY43" s="228"/>
      <c r="IZ43" s="228"/>
      <c r="JA43" s="228"/>
      <c r="JB43" s="228"/>
      <c r="JC43" s="228"/>
      <c r="JD43" s="228"/>
      <c r="JE43" s="228"/>
      <c r="JF43" s="228"/>
      <c r="JG43" s="228"/>
      <c r="JH43" s="228"/>
      <c r="JI43" s="228"/>
      <c r="JJ43" s="228"/>
      <c r="JK43" s="228"/>
      <c r="JL43" s="228"/>
      <c r="JM43" s="228"/>
      <c r="JN43" s="228"/>
      <c r="JO43" s="228"/>
      <c r="JP43" s="228"/>
      <c r="JQ43" s="228"/>
      <c r="JR43" s="228"/>
      <c r="JS43" s="228"/>
      <c r="JT43" s="228"/>
      <c r="JU43" s="228"/>
      <c r="JV43" s="228"/>
      <c r="JW43" s="228"/>
      <c r="JX43" s="228"/>
      <c r="JY43" s="228"/>
      <c r="JZ43" s="228"/>
      <c r="KA43" s="228"/>
      <c r="KB43" s="228"/>
      <c r="KC43" s="228"/>
      <c r="KD43" s="228"/>
      <c r="KE43" s="228"/>
      <c r="KF43" s="228"/>
      <c r="KG43" s="228"/>
      <c r="KH43" s="228"/>
      <c r="KI43" s="228"/>
      <c r="KJ43" s="228"/>
      <c r="KK43" s="228"/>
      <c r="KL43" s="228"/>
      <c r="KM43" s="228"/>
      <c r="KN43" s="228"/>
      <c r="KO43" s="228"/>
      <c r="KP43" s="228"/>
      <c r="KQ43" s="228"/>
      <c r="KR43" s="228"/>
      <c r="KS43" s="228"/>
      <c r="KT43" s="228"/>
      <c r="KU43" s="228"/>
      <c r="KV43" s="228"/>
      <c r="KW43" s="228"/>
      <c r="KX43" s="228"/>
      <c r="KY43" s="228"/>
      <c r="KZ43" s="228"/>
      <c r="LA43" s="228"/>
      <c r="LB43" s="228"/>
      <c r="LC43" s="228"/>
      <c r="LD43" s="228"/>
      <c r="LE43" s="228"/>
      <c r="LF43" s="228"/>
      <c r="LG43" s="228"/>
      <c r="LH43" s="228"/>
      <c r="LI43" s="228"/>
      <c r="LJ43" s="228"/>
      <c r="LK43" s="228"/>
      <c r="LL43" s="228"/>
      <c r="LM43" s="228"/>
      <c r="LN43" s="228"/>
      <c r="LO43" s="228"/>
      <c r="LP43" s="228"/>
      <c r="LQ43" s="228"/>
      <c r="LR43" s="228"/>
      <c r="LS43" s="228"/>
      <c r="LT43" s="228"/>
      <c r="LU43" s="228"/>
      <c r="LV43" s="228"/>
      <c r="LW43" s="228"/>
      <c r="LX43" s="228"/>
      <c r="LY43" s="228"/>
      <c r="LZ43" s="228"/>
      <c r="MA43" s="228"/>
      <c r="MB43" s="228"/>
      <c r="MC43" s="228"/>
      <c r="MD43" s="228"/>
      <c r="ME43" s="228"/>
      <c r="MF43" s="228"/>
      <c r="MG43" s="228"/>
      <c r="MH43" s="228"/>
      <c r="MI43" s="228"/>
      <c r="MJ43" s="228"/>
      <c r="MK43" s="228"/>
      <c r="ML43" s="228"/>
      <c r="MM43" s="228"/>
      <c r="MN43" s="228"/>
      <c r="MO43" s="228"/>
      <c r="MP43" s="228"/>
      <c r="MQ43" s="228"/>
      <c r="MR43" s="228"/>
      <c r="MS43" s="228"/>
      <c r="MT43" s="228"/>
      <c r="MU43" s="228"/>
      <c r="MV43" s="228"/>
      <c r="MW43" s="228"/>
      <c r="MX43" s="228"/>
      <c r="MY43" s="228"/>
      <c r="MZ43" s="228"/>
      <c r="NA43" s="228"/>
      <c r="NB43" s="228"/>
      <c r="NC43" s="228"/>
      <c r="ND43" s="228"/>
      <c r="NE43" s="228"/>
      <c r="NF43" s="228"/>
      <c r="NG43" s="228"/>
      <c r="NH43" s="228"/>
      <c r="NI43" s="228"/>
      <c r="NJ43" s="228"/>
      <c r="NK43" s="228"/>
      <c r="NL43" s="228"/>
      <c r="NM43" s="228"/>
      <c r="NN43" s="228"/>
      <c r="NO43" s="228"/>
      <c r="NP43" s="228"/>
      <c r="NQ43" s="228"/>
      <c r="NR43" s="228"/>
      <c r="NS43" s="228"/>
      <c r="NT43" s="228"/>
      <c r="NU43" s="228"/>
      <c r="NV43" s="228"/>
      <c r="NW43" s="228"/>
      <c r="NX43" s="228"/>
      <c r="NY43" s="228"/>
      <c r="NZ43" s="228"/>
      <c r="OA43" s="228"/>
      <c r="OB43" s="228"/>
      <c r="OC43" s="228"/>
      <c r="OD43" s="228"/>
      <c r="OE43" s="228"/>
      <c r="OF43" s="228"/>
      <c r="OG43" s="228"/>
      <c r="OH43" s="228"/>
      <c r="OI43" s="228"/>
      <c r="OJ43" s="228"/>
      <c r="OK43" s="228"/>
      <c r="OL43" s="228"/>
      <c r="OM43" s="228"/>
      <c r="ON43" s="228"/>
      <c r="OO43" s="228"/>
      <c r="OP43" s="228"/>
      <c r="OQ43" s="228"/>
      <c r="OR43" s="228"/>
      <c r="OS43" s="228"/>
      <c r="OT43" s="228"/>
      <c r="OU43" s="228"/>
      <c r="OV43" s="228"/>
      <c r="OW43" s="228"/>
      <c r="OX43" s="228"/>
      <c r="OY43" s="228"/>
      <c r="OZ43" s="228"/>
      <c r="PA43" s="228"/>
      <c r="PB43" s="228"/>
      <c r="PC43" s="228"/>
      <c r="PD43" s="228"/>
      <c r="PE43" s="228"/>
      <c r="PF43" s="228"/>
      <c r="PG43" s="228"/>
      <c r="PH43" s="228"/>
      <c r="PI43" s="228"/>
      <c r="PJ43" s="228"/>
      <c r="PK43" s="228"/>
      <c r="PL43" s="228"/>
      <c r="PM43" s="228"/>
      <c r="PN43" s="228"/>
      <c r="PO43" s="228"/>
      <c r="PP43" s="228"/>
      <c r="PQ43" s="228"/>
      <c r="PR43" s="228"/>
      <c r="PS43" s="228"/>
      <c r="PT43" s="228"/>
      <c r="PU43" s="228"/>
      <c r="PV43" s="228"/>
      <c r="PW43" s="228"/>
      <c r="PX43" s="228"/>
      <c r="PY43" s="228"/>
      <c r="PZ43" s="228"/>
      <c r="QA43" s="228"/>
      <c r="QB43" s="228"/>
      <c r="QC43" s="228"/>
      <c r="QD43" s="228"/>
      <c r="QE43" s="228"/>
      <c r="QF43" s="228"/>
      <c r="QG43" s="228"/>
      <c r="QH43" s="228"/>
      <c r="QI43" s="228"/>
      <c r="QJ43" s="228"/>
      <c r="QK43" s="228"/>
      <c r="QL43" s="228"/>
      <c r="QM43" s="228"/>
      <c r="QN43" s="228"/>
      <c r="QO43" s="228"/>
      <c r="QP43" s="228"/>
      <c r="QQ43" s="228"/>
      <c r="QR43" s="228"/>
      <c r="QS43" s="228"/>
      <c r="QT43" s="228"/>
      <c r="QU43" s="228"/>
      <c r="QV43" s="228"/>
      <c r="QW43" s="228"/>
      <c r="QX43" s="228"/>
      <c r="QY43" s="228"/>
      <c r="QZ43" s="228"/>
      <c r="RA43" s="228"/>
      <c r="RB43" s="228"/>
      <c r="RC43" s="228"/>
      <c r="RD43" s="228"/>
      <c r="RE43" s="228"/>
      <c r="RF43" s="228"/>
      <c r="RG43" s="228"/>
      <c r="RH43" s="228"/>
      <c r="RI43" s="228"/>
      <c r="RJ43" s="228"/>
      <c r="RK43" s="228"/>
      <c r="RL43" s="228"/>
      <c r="RM43" s="228"/>
      <c r="RN43" s="228"/>
      <c r="RO43" s="228"/>
      <c r="RP43" s="228"/>
      <c r="RQ43" s="228"/>
      <c r="RR43" s="228"/>
      <c r="RS43" s="228"/>
      <c r="RT43" s="228"/>
      <c r="RU43" s="228"/>
      <c r="RV43" s="228"/>
      <c r="RW43" s="228"/>
      <c r="RX43" s="228"/>
      <c r="RY43" s="228"/>
      <c r="RZ43" s="228"/>
      <c r="SA43" s="228"/>
      <c r="SB43" s="228"/>
      <c r="SC43" s="228"/>
      <c r="SD43" s="228"/>
      <c r="SE43" s="228"/>
      <c r="SF43" s="228"/>
      <c r="SG43" s="228"/>
      <c r="SH43" s="228"/>
      <c r="SI43" s="228"/>
      <c r="SJ43" s="228"/>
      <c r="SK43" s="228"/>
      <c r="SL43" s="228"/>
      <c r="SM43" s="228"/>
      <c r="SN43" s="228"/>
      <c r="SO43" s="228"/>
      <c r="SP43" s="228"/>
      <c r="SQ43" s="228"/>
      <c r="SR43" s="228"/>
      <c r="SS43" s="228"/>
      <c r="ST43" s="228"/>
      <c r="SU43" s="228"/>
      <c r="SV43" s="228"/>
      <c r="SW43" s="228"/>
      <c r="SX43" s="228"/>
      <c r="SY43" s="228"/>
      <c r="SZ43" s="228"/>
      <c r="TA43" s="228"/>
      <c r="TB43" s="228"/>
      <c r="TC43" s="228"/>
      <c r="TD43" s="228"/>
      <c r="TE43" s="228"/>
      <c r="TF43" s="228"/>
      <c r="TG43" s="228"/>
      <c r="TH43" s="228"/>
      <c r="TI43" s="228"/>
      <c r="TJ43" s="228"/>
      <c r="TK43" s="228"/>
      <c r="TL43" s="228"/>
      <c r="TM43" s="228"/>
      <c r="TN43" s="228"/>
      <c r="TO43" s="228"/>
      <c r="TP43" s="228"/>
      <c r="TQ43" s="228"/>
      <c r="TR43" s="228"/>
      <c r="TS43" s="228"/>
      <c r="TT43" s="228"/>
      <c r="TU43" s="228"/>
      <c r="TV43" s="228"/>
      <c r="TW43" s="228"/>
      <c r="TX43" s="228"/>
      <c r="TY43" s="228"/>
      <c r="TZ43" s="228"/>
      <c r="UA43" s="228"/>
      <c r="UB43" s="228"/>
      <c r="UC43" s="228"/>
      <c r="UD43" s="228"/>
      <c r="UE43" s="228"/>
      <c r="UF43" s="228"/>
      <c r="UG43" s="228"/>
      <c r="UH43" s="228"/>
      <c r="UI43" s="228"/>
      <c r="UJ43" s="228"/>
      <c r="UK43" s="228"/>
      <c r="UL43" s="228"/>
      <c r="UM43" s="228"/>
      <c r="UN43" s="228"/>
      <c r="UO43" s="228"/>
      <c r="UP43" s="228"/>
      <c r="UQ43" s="228"/>
      <c r="UR43" s="228"/>
      <c r="US43" s="228"/>
      <c r="UT43" s="228"/>
      <c r="UU43" s="228"/>
      <c r="UV43" s="228"/>
      <c r="UW43" s="228"/>
      <c r="UX43" s="228"/>
      <c r="UY43" s="228"/>
      <c r="UZ43" s="228"/>
      <c r="VA43" s="228"/>
      <c r="VB43" s="228"/>
      <c r="VC43" s="228"/>
      <c r="VD43" s="228"/>
      <c r="VE43" s="228"/>
      <c r="VF43" s="228"/>
      <c r="VG43" s="228"/>
      <c r="VH43" s="228"/>
      <c r="VI43" s="228"/>
      <c r="VJ43" s="228"/>
      <c r="VK43" s="228"/>
      <c r="VL43" s="228"/>
      <c r="VM43" s="228"/>
      <c r="VN43" s="228"/>
      <c r="VO43" s="228"/>
      <c r="VP43" s="228"/>
      <c r="VQ43" s="228"/>
      <c r="VR43" s="228"/>
      <c r="VS43" s="228"/>
      <c r="VT43" s="228"/>
      <c r="VU43" s="228"/>
      <c r="VV43" s="228"/>
      <c r="VW43" s="228"/>
      <c r="VX43" s="228"/>
      <c r="VY43" s="228"/>
      <c r="VZ43" s="228"/>
      <c r="WA43" s="228"/>
      <c r="WB43" s="228"/>
      <c r="WC43" s="228"/>
      <c r="WD43" s="228"/>
      <c r="WE43" s="228"/>
      <c r="WF43" s="228"/>
      <c r="WG43" s="228"/>
      <c r="WH43" s="228"/>
      <c r="WI43" s="228"/>
      <c r="WJ43" s="228"/>
      <c r="WK43" s="228"/>
      <c r="WL43" s="228"/>
      <c r="WM43" s="228"/>
      <c r="WN43" s="228"/>
      <c r="WO43" s="228"/>
      <c r="WP43" s="228"/>
      <c r="WQ43" s="228"/>
      <c r="WR43" s="228"/>
      <c r="WS43" s="228"/>
      <c r="WT43" s="228"/>
      <c r="WU43" s="228"/>
      <c r="WV43" s="228"/>
      <c r="WW43" s="228"/>
      <c r="WX43" s="228"/>
      <c r="WY43" s="228"/>
      <c r="WZ43" s="228"/>
      <c r="XA43" s="228"/>
      <c r="XB43" s="228"/>
      <c r="XC43" s="228"/>
      <c r="XD43" s="228"/>
      <c r="XE43" s="228"/>
      <c r="XF43" s="228"/>
      <c r="XG43" s="228"/>
      <c r="XH43" s="228"/>
      <c r="XI43" s="228"/>
      <c r="XJ43" s="228"/>
      <c r="XK43" s="228"/>
      <c r="XL43" s="228"/>
      <c r="XM43" s="228"/>
      <c r="XN43" s="228"/>
      <c r="XO43" s="228"/>
      <c r="XP43" s="228"/>
      <c r="XQ43" s="228"/>
      <c r="XR43" s="228"/>
      <c r="XS43" s="228"/>
      <c r="XT43" s="228"/>
      <c r="XU43" s="228"/>
      <c r="XV43" s="228"/>
      <c r="XW43" s="228"/>
      <c r="XX43" s="228"/>
      <c r="XY43" s="228"/>
      <c r="XZ43" s="228"/>
      <c r="YA43" s="228"/>
      <c r="YB43" s="228"/>
      <c r="YC43" s="228"/>
      <c r="YD43" s="228"/>
      <c r="YE43" s="228"/>
      <c r="YF43" s="228"/>
      <c r="YG43" s="228"/>
      <c r="YH43" s="228"/>
      <c r="YI43" s="228"/>
      <c r="YJ43" s="228"/>
      <c r="YK43" s="228"/>
      <c r="YL43" s="228"/>
      <c r="YM43" s="228"/>
      <c r="YN43" s="228"/>
      <c r="YO43" s="228"/>
      <c r="YP43" s="228"/>
      <c r="YQ43" s="228"/>
      <c r="YR43" s="228"/>
      <c r="YS43" s="228"/>
      <c r="YT43" s="228"/>
      <c r="YU43" s="228"/>
      <c r="YV43" s="228"/>
      <c r="YW43" s="228"/>
      <c r="YX43" s="228"/>
      <c r="YY43" s="228"/>
      <c r="YZ43" s="228"/>
      <c r="ZA43" s="228"/>
      <c r="ZB43" s="228"/>
      <c r="ZC43" s="228"/>
      <c r="ZD43" s="228"/>
      <c r="ZE43" s="228"/>
      <c r="ZF43" s="228"/>
      <c r="ZG43" s="228"/>
      <c r="ZH43" s="228"/>
      <c r="ZI43" s="228"/>
      <c r="ZJ43" s="228"/>
      <c r="ZK43" s="228"/>
      <c r="ZL43" s="228"/>
      <c r="ZM43" s="228"/>
      <c r="ZN43" s="228"/>
      <c r="ZO43" s="228"/>
      <c r="ZP43" s="228"/>
      <c r="ZQ43" s="228"/>
      <c r="ZR43" s="228"/>
      <c r="ZS43" s="228"/>
      <c r="ZT43" s="228"/>
      <c r="ZU43" s="228"/>
      <c r="ZV43" s="228"/>
      <c r="ZW43" s="228"/>
      <c r="ZX43" s="228"/>
      <c r="ZY43" s="228"/>
      <c r="ZZ43" s="228"/>
      <c r="AAA43" s="228"/>
      <c r="AAB43" s="228"/>
      <c r="AAC43" s="228"/>
      <c r="AAD43" s="228"/>
      <c r="AAE43" s="228"/>
      <c r="AAF43" s="228"/>
      <c r="AAG43" s="228"/>
      <c r="AAH43" s="228"/>
      <c r="AAI43" s="228"/>
      <c r="AAJ43" s="228"/>
      <c r="AAK43" s="228"/>
      <c r="AAL43" s="228"/>
      <c r="AAM43" s="228"/>
      <c r="AAN43" s="228"/>
      <c r="AAO43" s="228"/>
      <c r="AAP43" s="228"/>
      <c r="AAQ43" s="228"/>
      <c r="AAR43" s="228"/>
      <c r="AAS43" s="228"/>
      <c r="AAT43" s="228"/>
      <c r="AAU43" s="228"/>
      <c r="AAV43" s="228"/>
      <c r="AAW43" s="228"/>
      <c r="AAX43" s="228"/>
      <c r="AAY43" s="228"/>
      <c r="AAZ43" s="228"/>
      <c r="ABA43" s="228"/>
      <c r="ABB43" s="228"/>
      <c r="ABC43" s="228"/>
      <c r="ABD43" s="228"/>
      <c r="ABE43" s="228"/>
      <c r="ABF43" s="228"/>
      <c r="ABG43" s="228"/>
      <c r="ABH43" s="228"/>
      <c r="ABI43" s="228"/>
      <c r="ABJ43" s="228"/>
      <c r="ABK43" s="228"/>
      <c r="ABL43" s="228"/>
      <c r="ABM43" s="228"/>
      <c r="ABN43" s="228"/>
      <c r="ABO43" s="228"/>
      <c r="ABP43" s="228"/>
      <c r="ABQ43" s="228"/>
      <c r="ABR43" s="228"/>
      <c r="ABS43" s="228"/>
      <c r="ABT43" s="228"/>
      <c r="ABU43" s="228"/>
      <c r="ABV43" s="228"/>
      <c r="ABW43" s="228"/>
      <c r="ABX43" s="228"/>
      <c r="ABY43" s="228"/>
      <c r="ABZ43" s="228"/>
      <c r="ACA43" s="228"/>
      <c r="ACB43" s="228"/>
      <c r="ACC43" s="228"/>
      <c r="ACD43" s="228"/>
      <c r="ACE43" s="228"/>
      <c r="ACF43" s="228"/>
      <c r="ACG43" s="228"/>
      <c r="ACH43" s="228"/>
      <c r="ACI43" s="228"/>
      <c r="ACJ43" s="228"/>
      <c r="ACK43" s="228"/>
      <c r="ACL43" s="228"/>
      <c r="ACM43" s="228"/>
      <c r="ACN43" s="228"/>
      <c r="ACO43" s="228"/>
      <c r="ACP43" s="228"/>
      <c r="ACQ43" s="228"/>
      <c r="ACR43" s="228"/>
      <c r="ACS43" s="228"/>
      <c r="ACT43" s="228"/>
      <c r="ACU43" s="228"/>
      <c r="ACV43" s="228"/>
      <c r="ACW43" s="228"/>
      <c r="ACX43" s="228"/>
      <c r="ACY43" s="228"/>
      <c r="ACZ43" s="228"/>
      <c r="ADA43" s="228"/>
      <c r="ADB43" s="228"/>
      <c r="ADC43" s="228"/>
      <c r="ADD43" s="228"/>
      <c r="ADE43" s="228"/>
      <c r="ADF43" s="228"/>
      <c r="ADG43" s="228"/>
      <c r="ADH43" s="228"/>
      <c r="ADI43" s="228"/>
      <c r="ADJ43" s="228"/>
      <c r="ADK43" s="228"/>
      <c r="ADL43" s="228"/>
      <c r="ADM43" s="228"/>
      <c r="ADN43" s="228"/>
      <c r="ADO43" s="228"/>
      <c r="ADP43" s="228"/>
      <c r="ADQ43" s="228"/>
      <c r="ADR43" s="228"/>
      <c r="ADS43" s="228"/>
      <c r="ADT43" s="228"/>
      <c r="ADU43" s="228"/>
      <c r="ADV43" s="228"/>
      <c r="ADW43" s="228"/>
      <c r="ADX43" s="228"/>
      <c r="ADY43" s="228"/>
      <c r="ADZ43" s="228"/>
      <c r="AEA43" s="228"/>
      <c r="AEB43" s="228"/>
      <c r="AEC43" s="228"/>
      <c r="AED43" s="228"/>
      <c r="AEE43" s="228"/>
      <c r="AEF43" s="228"/>
      <c r="AEG43" s="228"/>
      <c r="AEH43" s="228"/>
      <c r="AEI43" s="228"/>
      <c r="AEJ43" s="228"/>
      <c r="AEK43" s="228"/>
      <c r="AEL43" s="228"/>
      <c r="AEM43" s="228"/>
      <c r="AEN43" s="228"/>
      <c r="AEO43" s="228"/>
      <c r="AEP43" s="228"/>
      <c r="AEQ43" s="228"/>
      <c r="AER43" s="228"/>
      <c r="AES43" s="228"/>
      <c r="AET43" s="228"/>
      <c r="AEU43" s="228"/>
      <c r="AEV43" s="228"/>
      <c r="AEW43" s="228"/>
      <c r="AEX43" s="228"/>
      <c r="AEY43" s="228"/>
      <c r="AEZ43" s="228"/>
      <c r="AFA43" s="228"/>
      <c r="AFB43" s="228"/>
      <c r="AFC43" s="228"/>
      <c r="AFD43" s="228"/>
      <c r="AFE43" s="228"/>
      <c r="AFF43" s="228"/>
      <c r="AFG43" s="228"/>
      <c r="AFH43" s="228"/>
      <c r="AFI43" s="228"/>
      <c r="AFJ43" s="228"/>
      <c r="AFK43" s="228"/>
      <c r="AFL43" s="228"/>
      <c r="AFM43" s="228"/>
      <c r="AFN43" s="228"/>
      <c r="AFO43" s="228"/>
      <c r="AFP43" s="228"/>
      <c r="AFQ43" s="228"/>
      <c r="AFR43" s="228"/>
      <c r="AFS43" s="228"/>
      <c r="AFT43" s="228"/>
      <c r="AFU43" s="228"/>
      <c r="AFV43" s="228"/>
      <c r="AFW43" s="228"/>
      <c r="AFX43" s="228"/>
      <c r="AFY43" s="228"/>
      <c r="AFZ43" s="228"/>
      <c r="AGA43" s="228"/>
      <c r="AGB43" s="228"/>
      <c r="AGC43" s="228"/>
      <c r="AGD43" s="228"/>
      <c r="AGE43" s="228"/>
      <c r="AGF43" s="228"/>
      <c r="AGG43" s="228"/>
      <c r="AGH43" s="228"/>
      <c r="AGI43" s="228"/>
      <c r="AGJ43" s="228"/>
      <c r="AGK43" s="228"/>
      <c r="AGL43" s="228"/>
      <c r="AGM43" s="228"/>
      <c r="AGN43" s="228"/>
      <c r="AGO43" s="228"/>
      <c r="AGP43" s="228"/>
      <c r="AGQ43" s="228"/>
      <c r="AGR43" s="228"/>
      <c r="AGS43" s="228"/>
      <c r="AGT43" s="228"/>
      <c r="AGU43" s="228"/>
      <c r="AGV43" s="228"/>
      <c r="AGW43" s="228"/>
      <c r="AGX43" s="228"/>
      <c r="AGY43" s="228"/>
      <c r="AGZ43" s="228"/>
      <c r="AHA43" s="228"/>
      <c r="AHB43" s="228"/>
      <c r="AHC43" s="228"/>
      <c r="AHD43" s="228"/>
      <c r="AHE43" s="228"/>
      <c r="AHF43" s="228"/>
      <c r="AHG43" s="228"/>
      <c r="AHH43" s="228"/>
      <c r="AHI43" s="228"/>
      <c r="AHJ43" s="228"/>
      <c r="AHK43" s="228"/>
      <c r="AHL43" s="228"/>
      <c r="AHM43" s="228"/>
      <c r="AHN43" s="228"/>
      <c r="AHO43" s="228"/>
      <c r="AHP43" s="228"/>
      <c r="AHQ43" s="228"/>
      <c r="AHR43" s="228"/>
      <c r="AHS43" s="228"/>
      <c r="AHT43" s="228"/>
      <c r="AHU43" s="228"/>
      <c r="AHV43" s="228"/>
      <c r="AHW43" s="228"/>
      <c r="AHX43" s="228"/>
      <c r="AHY43" s="228"/>
      <c r="AHZ43" s="228"/>
      <c r="AIA43" s="228"/>
      <c r="AIB43" s="228"/>
      <c r="AIC43" s="228"/>
      <c r="AID43" s="228"/>
      <c r="AIE43" s="228"/>
      <c r="AIF43" s="228"/>
      <c r="AIG43" s="228"/>
      <c r="AIH43" s="228"/>
      <c r="AII43" s="228"/>
      <c r="AIJ43" s="228"/>
      <c r="AIK43" s="228"/>
      <c r="AIL43" s="228"/>
      <c r="AIM43" s="228"/>
      <c r="AIN43" s="228"/>
      <c r="AIO43" s="228"/>
      <c r="AIP43" s="228"/>
      <c r="AIQ43" s="228"/>
      <c r="AIR43" s="228"/>
      <c r="AIS43" s="228"/>
      <c r="AIT43" s="228"/>
      <c r="AIU43" s="228"/>
      <c r="AIV43" s="228"/>
      <c r="AIW43" s="228"/>
      <c r="AIX43" s="228"/>
      <c r="AIY43" s="228"/>
      <c r="AIZ43" s="228"/>
      <c r="AJA43" s="228"/>
      <c r="AJB43" s="228"/>
      <c r="AJC43" s="228"/>
      <c r="AJD43" s="228"/>
      <c r="AJE43" s="228"/>
      <c r="AJF43" s="228"/>
      <c r="AJG43" s="228"/>
      <c r="AJH43" s="228"/>
      <c r="AJI43" s="228"/>
      <c r="AJJ43" s="228"/>
      <c r="AJK43" s="228"/>
      <c r="AJL43" s="228"/>
      <c r="AJM43" s="228"/>
      <c r="AJN43" s="228"/>
      <c r="AJO43" s="228"/>
      <c r="AJP43" s="228"/>
      <c r="AJQ43" s="228"/>
      <c r="AJR43" s="228"/>
      <c r="AJS43" s="228"/>
      <c r="AJT43" s="228"/>
      <c r="AJU43" s="228"/>
      <c r="AJV43" s="228"/>
      <c r="AJW43" s="228"/>
      <c r="AJX43" s="228"/>
      <c r="AJY43" s="228"/>
      <c r="AJZ43" s="228"/>
      <c r="AKA43" s="228"/>
      <c r="AKB43" s="228"/>
      <c r="AKC43" s="228"/>
      <c r="AKD43" s="228"/>
      <c r="AKE43" s="228"/>
      <c r="AKF43" s="228"/>
      <c r="AKG43" s="228"/>
      <c r="AKH43" s="228"/>
      <c r="AKI43" s="228"/>
      <c r="AKJ43" s="228"/>
      <c r="AKK43" s="228"/>
      <c r="AKL43" s="228"/>
      <c r="AKM43" s="228"/>
      <c r="AKN43" s="228"/>
    </row>
    <row r="44" spans="1:976" ht="16.5" customHeight="1">
      <c r="A44" s="767" t="s">
        <v>327</v>
      </c>
      <c r="B44" s="588">
        <v>806792925000</v>
      </c>
      <c r="C44" s="588">
        <v>806792925000</v>
      </c>
      <c r="D44" s="246"/>
    </row>
    <row r="45" spans="1:976" ht="16.5" customHeight="1">
      <c r="A45" s="767" t="s">
        <v>392</v>
      </c>
      <c r="B45" s="588">
        <v>463680391349</v>
      </c>
      <c r="C45" s="588">
        <v>463680391349</v>
      </c>
      <c r="D45" s="246"/>
    </row>
    <row r="46" spans="1:976" ht="16.5" customHeight="1">
      <c r="A46" s="767" t="s">
        <v>328</v>
      </c>
      <c r="B46" s="588">
        <v>0</v>
      </c>
      <c r="C46" s="588">
        <v>344567360747</v>
      </c>
      <c r="D46" s="246"/>
    </row>
    <row r="47" spans="1:976" ht="16.5" customHeight="1">
      <c r="A47" s="767" t="s">
        <v>393</v>
      </c>
      <c r="B47" s="588">
        <v>-116906314396</v>
      </c>
      <c r="C47" s="588">
        <v>-60260611553</v>
      </c>
      <c r="D47" s="246"/>
    </row>
    <row r="48" spans="1:976" ht="16.5" customHeight="1">
      <c r="A48" s="767" t="s">
        <v>394</v>
      </c>
      <c r="B48" s="588">
        <v>-1223673605446</v>
      </c>
      <c r="C48" s="588">
        <v>-1103071819897</v>
      </c>
      <c r="D48" s="246"/>
    </row>
    <row r="49" spans="1:4" ht="16.5" customHeight="1">
      <c r="A49" s="767" t="s">
        <v>395</v>
      </c>
      <c r="B49" s="588">
        <v>1618981281116</v>
      </c>
      <c r="C49" s="588">
        <v>1517405054132</v>
      </c>
      <c r="D49" s="246"/>
    </row>
    <row r="50" spans="1:4" ht="16.5" customHeight="1">
      <c r="A50" s="769" t="s">
        <v>391</v>
      </c>
      <c r="B50" s="589">
        <v>1548874677623</v>
      </c>
      <c r="C50" s="589">
        <v>1969113299778</v>
      </c>
      <c r="D50" s="246"/>
    </row>
    <row r="51" spans="1:4" ht="16.5" customHeight="1">
      <c r="A51" s="771" t="s">
        <v>329</v>
      </c>
      <c r="B51" s="689">
        <v>35347237061940</v>
      </c>
      <c r="C51" s="689">
        <v>34546485304415.996</v>
      </c>
      <c r="D51" s="246"/>
    </row>
    <row r="52" spans="1:4" ht="16.5" customHeight="1">
      <c r="A52" s="772"/>
      <c r="D52" s="336"/>
    </row>
    <row r="53" spans="1:4" ht="16.5" customHeight="1">
      <c r="D53" s="336"/>
    </row>
    <row r="54" spans="1:4" ht="16.5" customHeight="1">
      <c r="D54" s="336"/>
    </row>
    <row r="55" spans="1:4" ht="16.5" customHeight="1">
      <c r="D55" s="336"/>
    </row>
    <row r="56" spans="1:4" ht="16.5" customHeight="1">
      <c r="D56" s="336"/>
    </row>
    <row r="57" spans="1:4">
      <c r="D57" s="336"/>
    </row>
    <row r="58" spans="1:4">
      <c r="D58" s="336"/>
    </row>
  </sheetData>
  <mergeCells count="3">
    <mergeCell ref="A1:C1"/>
    <mergeCell ref="A3:C3"/>
    <mergeCell ref="A4:C4"/>
  </mergeCells>
  <phoneticPr fontId="7" type="noConversion"/>
  <conditionalFormatting sqref="B6:C6">
    <cfRule type="containsText" dxfId="1" priority="15" operator="containsText" text="FALSE">
      <formula>NOT(ISERROR(SEARCH("FALSE",B6)))</formula>
    </cfRule>
  </conditionalFormatting>
  <pageMargins left="0.19685039370078741" right="0.19685039370078741" top="0.74803149606299213" bottom="0.74803149606299213" header="0.31496062992125984" footer="0.31496062992125984"/>
  <pageSetup paperSize="9" scale="5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80FA-BE1E-4C6C-A4A8-0EF02944E336}">
  <sheetPr>
    <pageSetUpPr autoPageBreaks="0" fitToPage="1"/>
  </sheetPr>
  <dimension ref="A1:ALH63"/>
  <sheetViews>
    <sheetView showGridLines="0" zoomScale="70" zoomScaleNormal="70" zoomScaleSheetLayoutView="85" workbookViewId="0">
      <selection sqref="A1:C1"/>
    </sheetView>
  </sheetViews>
  <sheetFormatPr defaultRowHeight="16.5"/>
  <cols>
    <col min="1" max="1" width="123" style="230" customWidth="1"/>
    <col min="2" max="3" width="23.140625" style="230" customWidth="1"/>
    <col min="4" max="6" width="9.140625" style="228"/>
    <col min="7" max="7" width="18.85546875" style="228" bestFit="1" customWidth="1"/>
    <col min="8" max="8" width="12.5703125" style="228" bestFit="1" customWidth="1"/>
    <col min="9" max="992" width="9.140625" style="228"/>
    <col min="993" max="997" width="12.85546875" customWidth="1"/>
  </cols>
  <sheetData>
    <row r="1" spans="1:996" ht="20.25">
      <c r="A1" s="857" t="s">
        <v>245</v>
      </c>
      <c r="B1" s="857"/>
      <c r="C1" s="857"/>
    </row>
    <row r="2" spans="1:996" ht="13.5">
      <c r="A2" s="223"/>
      <c r="B2" s="222"/>
      <c r="C2" s="222"/>
    </row>
    <row r="3" spans="1:996" ht="16.5" customHeight="1">
      <c r="A3" s="858" t="s">
        <v>269</v>
      </c>
      <c r="B3" s="858"/>
      <c r="C3" s="858"/>
    </row>
    <row r="4" spans="1:996" ht="16.5" customHeight="1">
      <c r="A4" s="858" t="s">
        <v>270</v>
      </c>
      <c r="B4" s="858"/>
      <c r="C4" s="858"/>
    </row>
    <row r="5" spans="1:996">
      <c r="A5" s="224"/>
      <c r="B5" s="225"/>
      <c r="C5" s="221" t="s">
        <v>142</v>
      </c>
    </row>
    <row r="6" spans="1:996">
      <c r="A6" s="248"/>
      <c r="B6" s="245" t="s">
        <v>215</v>
      </c>
      <c r="C6" s="245" t="s">
        <v>215</v>
      </c>
    </row>
    <row r="7" spans="1:996" s="229" customFormat="1" ht="16.5" customHeight="1">
      <c r="A7" s="242"/>
      <c r="B7" s="241" t="s">
        <v>268</v>
      </c>
      <c r="C7" s="241" t="s">
        <v>228</v>
      </c>
      <c r="ALE7"/>
      <c r="ALF7"/>
      <c r="ALG7"/>
      <c r="ALH7"/>
    </row>
    <row r="8" spans="1:996" s="226" customFormat="1" ht="16.5" customHeight="1">
      <c r="A8" s="812" t="s">
        <v>331</v>
      </c>
      <c r="B8" s="816">
        <v>113770813598</v>
      </c>
      <c r="C8" s="816">
        <v>274408160826.00003</v>
      </c>
      <c r="ALE8"/>
      <c r="ALF8"/>
      <c r="ALG8"/>
      <c r="ALH8"/>
    </row>
    <row r="9" spans="1:996" s="226" customFormat="1" ht="16.5" customHeight="1">
      <c r="A9" s="813" t="s">
        <v>332</v>
      </c>
      <c r="B9" s="817">
        <v>1263500592617</v>
      </c>
      <c r="C9" s="817">
        <v>1233613962236</v>
      </c>
      <c r="ALE9"/>
      <c r="ALF9"/>
      <c r="ALG9"/>
      <c r="ALH9"/>
    </row>
    <row r="10" spans="1:996" s="226" customFormat="1" ht="16.5" customHeight="1">
      <c r="A10" s="814" t="s">
        <v>333</v>
      </c>
      <c r="B10" s="818">
        <v>1224494056943</v>
      </c>
      <c r="C10" s="818">
        <v>1186510718065</v>
      </c>
      <c r="ALE10"/>
      <c r="ALF10"/>
      <c r="ALG10"/>
      <c r="ALH10"/>
    </row>
    <row r="11" spans="1:996" s="226" customFormat="1" ht="16.5" customHeight="1">
      <c r="A11" s="814" t="s">
        <v>334</v>
      </c>
      <c r="B11" s="818">
        <v>583593168293</v>
      </c>
      <c r="C11" s="818">
        <v>563420052699</v>
      </c>
      <c r="ALE11"/>
      <c r="ALF11"/>
      <c r="ALG11"/>
      <c r="ALH11"/>
    </row>
    <row r="12" spans="1:996" s="226" customFormat="1" ht="16.5" customHeight="1">
      <c r="A12" s="814" t="s">
        <v>335</v>
      </c>
      <c r="B12" s="818">
        <v>18814493251</v>
      </c>
      <c r="C12" s="818">
        <v>15250489199</v>
      </c>
      <c r="ALE12"/>
      <c r="ALF12"/>
      <c r="ALG12"/>
      <c r="ALH12"/>
    </row>
    <row r="13" spans="1:996" s="226" customFormat="1" ht="16.5" customHeight="1">
      <c r="A13" s="814" t="s">
        <v>336</v>
      </c>
      <c r="B13" s="818">
        <v>163115578763</v>
      </c>
      <c r="C13" s="818">
        <v>155866101444</v>
      </c>
      <c r="ALE13"/>
      <c r="ALF13"/>
      <c r="ALG13"/>
      <c r="ALH13"/>
    </row>
    <row r="14" spans="1:996" s="226" customFormat="1" ht="16.5" customHeight="1">
      <c r="A14" s="814" t="s">
        <v>337</v>
      </c>
      <c r="B14" s="818">
        <v>24423818821</v>
      </c>
      <c r="C14" s="818">
        <v>25534207638</v>
      </c>
      <c r="ALE14"/>
      <c r="ALF14"/>
      <c r="ALG14"/>
      <c r="ALH14"/>
    </row>
    <row r="15" spans="1:996" s="229" customFormat="1" ht="16.5" customHeight="1">
      <c r="A15" s="814" t="s">
        <v>338</v>
      </c>
      <c r="B15" s="818">
        <v>43633318541</v>
      </c>
      <c r="C15" s="818">
        <v>47226724373</v>
      </c>
      <c r="ALE15"/>
      <c r="ALF15"/>
      <c r="ALG15"/>
      <c r="ALH15"/>
    </row>
    <row r="16" spans="1:996" s="229" customFormat="1" ht="16.5" customHeight="1">
      <c r="A16" s="814" t="s">
        <v>339</v>
      </c>
      <c r="B16" s="818">
        <v>246751369186</v>
      </c>
      <c r="C16" s="818">
        <v>259986546864</v>
      </c>
      <c r="ALE16"/>
      <c r="ALF16"/>
      <c r="ALG16"/>
      <c r="ALH16"/>
    </row>
    <row r="17" spans="1:996" s="229" customFormat="1" ht="16.5" customHeight="1">
      <c r="A17" s="814" t="s">
        <v>340</v>
      </c>
      <c r="B17" s="818">
        <v>158986610172</v>
      </c>
      <c r="C17" s="818">
        <v>131964346710.99998</v>
      </c>
      <c r="ALE17"/>
      <c r="ALF17"/>
      <c r="ALG17"/>
      <c r="ALH17"/>
    </row>
    <row r="18" spans="1:996" ht="16.5" customHeight="1">
      <c r="A18" s="814" t="s">
        <v>341</v>
      </c>
      <c r="B18" s="818">
        <v>-14824300084</v>
      </c>
      <c r="C18" s="818">
        <v>-12737750863</v>
      </c>
    </row>
    <row r="19" spans="1:996" ht="16.5" customHeight="1">
      <c r="A19" s="814" t="s">
        <v>342</v>
      </c>
      <c r="B19" s="818">
        <v>39006535674</v>
      </c>
      <c r="C19" s="818">
        <v>47103244171</v>
      </c>
    </row>
    <row r="20" spans="1:996" ht="16.5" customHeight="1">
      <c r="A20" s="813" t="s">
        <v>343</v>
      </c>
      <c r="B20" s="817">
        <v>1149729779019</v>
      </c>
      <c r="C20" s="817">
        <v>959205801410</v>
      </c>
    </row>
    <row r="21" spans="1:996" ht="16.5" customHeight="1">
      <c r="A21" s="814" t="s">
        <v>344</v>
      </c>
      <c r="B21" s="818">
        <v>1094261825134</v>
      </c>
      <c r="C21" s="818">
        <v>883828068783</v>
      </c>
    </row>
    <row r="22" spans="1:996" ht="16.5" customHeight="1">
      <c r="A22" s="814" t="s">
        <v>345</v>
      </c>
      <c r="B22" s="818">
        <v>626575273153</v>
      </c>
      <c r="C22" s="818">
        <v>545943617115.00006</v>
      </c>
    </row>
    <row r="23" spans="1:996" ht="16.5" customHeight="1">
      <c r="A23" s="814" t="s">
        <v>346</v>
      </c>
      <c r="B23" s="818">
        <v>18387092959</v>
      </c>
      <c r="C23" s="818">
        <v>18748584422</v>
      </c>
    </row>
    <row r="24" spans="1:996" ht="16.5" customHeight="1">
      <c r="A24" s="814" t="s">
        <v>347</v>
      </c>
      <c r="B24" s="818">
        <v>158302638261</v>
      </c>
      <c r="C24" s="818">
        <v>152744541066</v>
      </c>
    </row>
    <row r="25" spans="1:996" ht="16.5" customHeight="1">
      <c r="A25" s="814" t="s">
        <v>348</v>
      </c>
      <c r="B25" s="818">
        <v>22232968861</v>
      </c>
      <c r="C25" s="818">
        <v>21942794456</v>
      </c>
    </row>
    <row r="26" spans="1:996">
      <c r="A26" s="814" t="s">
        <v>349</v>
      </c>
      <c r="B26" s="818">
        <v>88283328060</v>
      </c>
      <c r="C26" s="818">
        <v>21347201827</v>
      </c>
    </row>
    <row r="27" spans="1:996">
      <c r="A27" s="814" t="s">
        <v>350</v>
      </c>
      <c r="B27" s="818">
        <v>25821121435</v>
      </c>
      <c r="C27" s="818">
        <v>22425020191</v>
      </c>
    </row>
    <row r="28" spans="1:996">
      <c r="A28" s="814" t="s">
        <v>340</v>
      </c>
      <c r="B28" s="818">
        <v>158986610172</v>
      </c>
      <c r="C28" s="818">
        <v>131964346710.99998</v>
      </c>
    </row>
    <row r="29" spans="1:996">
      <c r="A29" s="814" t="s">
        <v>351</v>
      </c>
      <c r="B29" s="818">
        <v>-14824300084</v>
      </c>
      <c r="C29" s="818">
        <v>-12737750863</v>
      </c>
    </row>
    <row r="30" spans="1:996">
      <c r="A30" s="814" t="s">
        <v>352</v>
      </c>
      <c r="B30" s="818">
        <v>10497092317</v>
      </c>
      <c r="C30" s="818">
        <v>-18550286142</v>
      </c>
    </row>
    <row r="31" spans="1:996">
      <c r="A31" s="814" t="s">
        <v>353</v>
      </c>
      <c r="B31" s="818">
        <v>20958794083</v>
      </c>
      <c r="C31" s="818">
        <v>41345518245</v>
      </c>
    </row>
    <row r="32" spans="1:996">
      <c r="A32" s="814" t="s">
        <v>354</v>
      </c>
      <c r="B32" s="818">
        <v>34509159802</v>
      </c>
      <c r="C32" s="818">
        <v>34032214382</v>
      </c>
    </row>
    <row r="33" spans="1:3">
      <c r="A33" s="813" t="s">
        <v>355</v>
      </c>
      <c r="B33" s="817">
        <v>85040865586</v>
      </c>
      <c r="C33" s="817">
        <v>93649997229</v>
      </c>
    </row>
    <row r="34" spans="1:3">
      <c r="A34" s="813" t="s">
        <v>356</v>
      </c>
      <c r="B34" s="817">
        <v>2311095712590</v>
      </c>
      <c r="C34" s="817">
        <v>2265833601837</v>
      </c>
    </row>
    <row r="35" spans="1:3">
      <c r="A35" s="814" t="s">
        <v>357</v>
      </c>
      <c r="B35" s="818">
        <v>184674730</v>
      </c>
      <c r="C35" s="818">
        <v>514922805.99999994</v>
      </c>
    </row>
    <row r="36" spans="1:3">
      <c r="A36" s="814" t="s">
        <v>358</v>
      </c>
      <c r="B36" s="818">
        <v>16114057115.000002</v>
      </c>
      <c r="C36" s="818">
        <v>7142640596</v>
      </c>
    </row>
    <row r="37" spans="1:3">
      <c r="A37" s="814" t="s">
        <v>359</v>
      </c>
      <c r="B37" s="818">
        <v>1076352564601</v>
      </c>
      <c r="C37" s="818">
        <v>995307446197</v>
      </c>
    </row>
    <row r="38" spans="1:3">
      <c r="A38" s="814" t="s">
        <v>360</v>
      </c>
      <c r="B38" s="818">
        <v>5560894914</v>
      </c>
      <c r="C38" s="818">
        <v>4685062997</v>
      </c>
    </row>
    <row r="39" spans="1:3">
      <c r="A39" s="814" t="s">
        <v>361</v>
      </c>
      <c r="B39" s="818">
        <v>730852271058</v>
      </c>
      <c r="C39" s="818">
        <v>441283376890</v>
      </c>
    </row>
    <row r="40" spans="1:3">
      <c r="A40" s="814" t="s">
        <v>362</v>
      </c>
      <c r="B40" s="818">
        <v>101875996042</v>
      </c>
      <c r="C40" s="818">
        <v>105392535686</v>
      </c>
    </row>
    <row r="41" spans="1:3">
      <c r="A41" s="814" t="s">
        <v>363</v>
      </c>
      <c r="B41" s="818">
        <v>167539115</v>
      </c>
      <c r="C41" s="818">
        <v>89875585</v>
      </c>
    </row>
    <row r="42" spans="1:3">
      <c r="A42" s="814" t="s">
        <v>364</v>
      </c>
      <c r="B42" s="818">
        <v>9024979638</v>
      </c>
      <c r="C42" s="818">
        <v>0</v>
      </c>
    </row>
    <row r="43" spans="1:3">
      <c r="A43" s="814" t="s">
        <v>365</v>
      </c>
      <c r="B43" s="818">
        <v>209738400492</v>
      </c>
      <c r="C43" s="818">
        <v>613192810803</v>
      </c>
    </row>
    <row r="44" spans="1:3">
      <c r="A44" s="814" t="s">
        <v>366</v>
      </c>
      <c r="B44" s="818">
        <v>98074105311</v>
      </c>
      <c r="C44" s="818">
        <v>29526806323</v>
      </c>
    </row>
    <row r="45" spans="1:3">
      <c r="A45" s="814" t="s">
        <v>367</v>
      </c>
      <c r="B45" s="818">
        <v>45448274267</v>
      </c>
      <c r="C45" s="818">
        <v>50216641715</v>
      </c>
    </row>
    <row r="46" spans="1:3">
      <c r="A46" s="814" t="s">
        <v>368</v>
      </c>
      <c r="B46" s="818">
        <v>17701955307</v>
      </c>
      <c r="C46" s="818">
        <v>18481482239</v>
      </c>
    </row>
    <row r="47" spans="1:3">
      <c r="A47" s="813" t="s">
        <v>369</v>
      </c>
      <c r="B47" s="817">
        <v>2226054847004</v>
      </c>
      <c r="C47" s="817">
        <v>2172183604608.0002</v>
      </c>
    </row>
    <row r="48" spans="1:3">
      <c r="A48" s="814" t="s">
        <v>370</v>
      </c>
      <c r="B48" s="818">
        <v>1299400924980</v>
      </c>
      <c r="C48" s="818">
        <v>954222661894</v>
      </c>
    </row>
    <row r="49" spans="1:7">
      <c r="A49" s="814" t="s">
        <v>371</v>
      </c>
      <c r="B49" s="818">
        <v>173622258942</v>
      </c>
      <c r="C49" s="818">
        <v>132245571549</v>
      </c>
    </row>
    <row r="50" spans="1:7">
      <c r="A50" s="814" t="s">
        <v>372</v>
      </c>
      <c r="B50" s="818">
        <v>249467689587</v>
      </c>
      <c r="C50" s="818">
        <v>336269979945</v>
      </c>
      <c r="G50" s="791"/>
    </row>
    <row r="51" spans="1:7">
      <c r="A51" s="814" t="s">
        <v>373</v>
      </c>
      <c r="B51" s="818">
        <v>14782310115</v>
      </c>
      <c r="C51" s="818">
        <v>4020868656</v>
      </c>
      <c r="G51" s="791"/>
    </row>
    <row r="52" spans="1:7">
      <c r="A52" s="814" t="s">
        <v>374</v>
      </c>
      <c r="B52" s="818">
        <v>0</v>
      </c>
      <c r="C52" s="818">
        <v>0</v>
      </c>
    </row>
    <row r="53" spans="1:7">
      <c r="A53" s="814" t="s">
        <v>375</v>
      </c>
      <c r="B53" s="818">
        <v>0</v>
      </c>
      <c r="C53" s="818">
        <v>9594390906</v>
      </c>
    </row>
    <row r="54" spans="1:7">
      <c r="A54" s="814" t="s">
        <v>376</v>
      </c>
      <c r="B54" s="818">
        <v>108244799611</v>
      </c>
      <c r="C54" s="818">
        <v>3271418419</v>
      </c>
    </row>
    <row r="55" spans="1:7">
      <c r="A55" s="814" t="s">
        <v>377</v>
      </c>
      <c r="B55" s="818">
        <v>310861556718</v>
      </c>
      <c r="C55" s="818">
        <v>662711083752</v>
      </c>
    </row>
    <row r="56" spans="1:7">
      <c r="A56" s="814" t="s">
        <v>378</v>
      </c>
      <c r="B56" s="818">
        <v>3545587033</v>
      </c>
      <c r="C56" s="818">
        <v>4454766395</v>
      </c>
    </row>
    <row r="57" spans="1:7">
      <c r="A57" s="814" t="s">
        <v>379</v>
      </c>
      <c r="B57" s="818">
        <v>66129720018</v>
      </c>
      <c r="C57" s="818">
        <v>65392863092</v>
      </c>
    </row>
    <row r="58" spans="1:7">
      <c r="A58" s="813" t="s">
        <v>380</v>
      </c>
      <c r="B58" s="817">
        <v>198811679184</v>
      </c>
      <c r="C58" s="817">
        <v>368058158055</v>
      </c>
    </row>
    <row r="59" spans="1:7">
      <c r="A59" s="813" t="s">
        <v>381</v>
      </c>
      <c r="B59" s="817">
        <v>14881987359</v>
      </c>
      <c r="C59" s="817">
        <v>29240173301</v>
      </c>
    </row>
    <row r="60" spans="1:7">
      <c r="A60" s="813" t="s">
        <v>382</v>
      </c>
      <c r="B60" s="817">
        <v>38265376002</v>
      </c>
      <c r="C60" s="817">
        <v>26244147320</v>
      </c>
    </row>
    <row r="61" spans="1:7">
      <c r="A61" s="813" t="s">
        <v>383</v>
      </c>
      <c r="B61" s="817">
        <v>175428290541</v>
      </c>
      <c r="C61" s="817">
        <v>371054184036</v>
      </c>
    </row>
    <row r="62" spans="1:7">
      <c r="A62" s="813" t="s">
        <v>384</v>
      </c>
      <c r="B62" s="817">
        <v>50934653997</v>
      </c>
      <c r="C62" s="817">
        <v>56760749775</v>
      </c>
    </row>
    <row r="63" spans="1:7">
      <c r="A63" s="815" t="s">
        <v>385</v>
      </c>
      <c r="B63" s="819">
        <v>124493636544</v>
      </c>
      <c r="C63" s="819">
        <v>314293434261</v>
      </c>
    </row>
  </sheetData>
  <mergeCells count="3">
    <mergeCell ref="A1:C1"/>
    <mergeCell ref="A3:C3"/>
    <mergeCell ref="A4:C4"/>
  </mergeCells>
  <phoneticPr fontId="7" type="noConversion"/>
  <conditionalFormatting sqref="B6:C6">
    <cfRule type="containsText" dxfId="0" priority="1" operator="containsText" text="FALSE">
      <formula>NOT(ISERROR(SEARCH("FALSE",B6)))</formula>
    </cfRule>
  </conditionalFormatting>
  <pageMargins left="0.19685039370078741" right="0.19685039370078741"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19</vt:i4>
      </vt:variant>
      <vt:variant>
        <vt:lpstr>이름 지정된 범위</vt:lpstr>
      </vt:variant>
      <vt:variant>
        <vt:i4>19</vt:i4>
      </vt:variant>
    </vt:vector>
  </HeadingPairs>
  <TitlesOfParts>
    <vt:vector size="38" baseType="lpstr">
      <vt:lpstr>Cover</vt:lpstr>
      <vt:lpstr>FH</vt:lpstr>
      <vt:lpstr>FS</vt:lpstr>
      <vt:lpstr>CSM</vt:lpstr>
      <vt:lpstr>Stability</vt:lpstr>
      <vt:lpstr>Productivity</vt:lpstr>
      <vt:lpstr>APE by P.T</vt:lpstr>
      <vt:lpstr>Premium Income by P.T.(GA+SA)</vt:lpstr>
      <vt:lpstr>Premium Income by P.T.</vt:lpstr>
      <vt:lpstr>Initial P. by P.T.</vt:lpstr>
      <vt:lpstr>First-year P. by P.T.</vt:lpstr>
      <vt:lpstr>APE by D.C</vt:lpstr>
      <vt:lpstr>Premium Income by D.C.(GA+SA)</vt:lpstr>
      <vt:lpstr>Premium Income by D.C.</vt:lpstr>
      <vt:lpstr>First-year P. by D.C</vt:lpstr>
      <vt:lpstr>&gt;Loan</vt:lpstr>
      <vt:lpstr>&gt;Bond</vt:lpstr>
      <vt:lpstr>BS  K-IFRS</vt:lpstr>
      <vt:lpstr>IS  K-IFRS</vt:lpstr>
      <vt:lpstr>'&gt;Bond'!Print_Area</vt:lpstr>
      <vt:lpstr>'&gt;Loan'!Print_Area</vt:lpstr>
      <vt:lpstr>'APE by D.C'!Print_Area</vt:lpstr>
      <vt:lpstr>'APE by P.T'!Print_Area</vt:lpstr>
      <vt:lpstr>'BS  K-IFRS'!Print_Area</vt:lpstr>
      <vt:lpstr>Cover!Print_Area</vt:lpstr>
      <vt:lpstr>CSM!Print_Area</vt:lpstr>
      <vt:lpstr>FH!Print_Area</vt:lpstr>
      <vt:lpstr>'First-year P. by D.C'!Print_Area</vt:lpstr>
      <vt:lpstr>'First-year P. by P.T.'!Print_Area</vt:lpstr>
      <vt:lpstr>FS!Print_Area</vt:lpstr>
      <vt:lpstr>'Initial P. by P.T.'!Print_Area</vt:lpstr>
      <vt:lpstr>'IS  K-IFRS'!Print_Area</vt:lpstr>
      <vt:lpstr>'Premium Income by D.C.'!Print_Area</vt:lpstr>
      <vt:lpstr>'Premium Income by D.C.(GA+SA)'!Print_Area</vt:lpstr>
      <vt:lpstr>'Premium Income by P.T.'!Print_Area</vt:lpstr>
      <vt:lpstr>'Premium Income by P.T.(GA+SA)'!Print_Area</vt:lpstr>
      <vt:lpstr>Productivity!Print_Area</vt:lpstr>
      <vt:lpstr>Stability!Print_Area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TONGYANG</dc:creator>
  <cp:lastModifiedBy>master</cp:lastModifiedBy>
  <cp:lastPrinted>2026-02-05T23:21:08Z</cp:lastPrinted>
  <dcterms:created xsi:type="dcterms:W3CDTF">2013-12-23T05:35:48Z</dcterms:created>
  <dcterms:modified xsi:type="dcterms:W3CDTF">2026-02-08T23:40:09Z</dcterms:modified>
</cp:coreProperties>
</file>