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6"/>
  <workbookPr showInkAnnotation="0" defaultThemeVersion="124226"/>
  <mc:AlternateContent xmlns:mc="http://schemas.openxmlformats.org/markup-compatibility/2006">
    <mc:Choice Requires="x15">
      <x15ac:absPath xmlns:x15ac="http://schemas.microsoft.com/office/spreadsheetml/2010/11/ac" url="C:\Users\45116\Desktop\업무\실적발표\2026\2Q\Factsheet\Final\"/>
    </mc:Choice>
  </mc:AlternateContent>
  <xr:revisionPtr revIDLastSave="0" documentId="13_ncr:1_{39C1648E-0E28-4748-A5A3-CDCDF0884DCF}" xr6:coauthVersionLast="36" xr6:coauthVersionMax="36" xr10:uidLastSave="{00000000-0000-0000-0000-000000000000}"/>
  <bookViews>
    <workbookView xWindow="0" yWindow="0" windowWidth="9540" windowHeight="2775" tabRatio="872" xr2:uid="{00000000-000D-0000-FFFF-FFFF00000000}"/>
  </bookViews>
  <sheets>
    <sheet name="Cover" sheetId="21" r:id="rId1"/>
    <sheet name="FH" sheetId="10" r:id="rId2"/>
    <sheet name="FS" sheetId="8" r:id="rId3"/>
    <sheet name="CSM" sheetId="47" r:id="rId4"/>
    <sheet name="Stability" sheetId="50" r:id="rId5"/>
    <sheet name="Productivity" sheetId="19" r:id="rId6"/>
    <sheet name="APE by P.T" sheetId="11" r:id="rId7"/>
    <sheet name="Premium Income by P.T.(GA+SA)" sheetId="42" r:id="rId8"/>
    <sheet name="Premium Income by P.T." sheetId="38" r:id="rId9"/>
    <sheet name="Initial P. by P.T." sheetId="35" r:id="rId10"/>
    <sheet name="First-year P. by P.T." sheetId="36" r:id="rId11"/>
    <sheet name="APE by D.C" sheetId="12" r:id="rId12"/>
    <sheet name="Premium Income by D.C.(GA+SA)" sheetId="43" r:id="rId13"/>
    <sheet name="Premium Income by D.C." sheetId="39" r:id="rId14"/>
    <sheet name="First-year P. by D.C" sheetId="40" r:id="rId15"/>
    <sheet name="&gt;Loan" sheetId="15" r:id="rId16"/>
    <sheet name="&gt;Bond" sheetId="16" r:id="rId17"/>
    <sheet name="BS  K-IFRS" sheetId="53" r:id="rId18"/>
    <sheet name="IS  K-IFRS" sheetId="54" r:id="rId19"/>
  </sheets>
  <definedNames>
    <definedName name="_xlnm._FilterDatabase" localSheetId="17" hidden="1">'BS  K-IFRS'!#REF!</definedName>
    <definedName name="_xlnm._FilterDatabase" localSheetId="3" hidden="1">CSM!#REF!</definedName>
    <definedName name="_xlnm._FilterDatabase" localSheetId="18" hidden="1">'IS  K-IFRS'!#REF!</definedName>
    <definedName name="_xlnm.Print_Area" localSheetId="16">'&gt;Bond'!$F$1:$S$24</definedName>
    <definedName name="_xlnm.Print_Area" localSheetId="15">'&gt;Loan'!$F$1:$T$26</definedName>
    <definedName name="_xlnm.Print_Area" localSheetId="11">'APE by D.C'!$F$1:$P$29</definedName>
    <definedName name="_xlnm.Print_Area" localSheetId="6">'APE by P.T'!$G$1:$P$27</definedName>
    <definedName name="_xlnm.Print_Area" localSheetId="17">'BS  K-IFRS'!$A$1:$C$46</definedName>
    <definedName name="_xlnm.Print_Area" localSheetId="0">Cover!$A$1:$H$44</definedName>
    <definedName name="_xlnm.Print_Area" localSheetId="3">CSM!$F$1:$W$52</definedName>
    <definedName name="_xlnm.Print_Area" localSheetId="1">FH!$F$1:$M$32</definedName>
    <definedName name="_xlnm.Print_Area" localSheetId="14">'First-year P. by D.C'!$D$1:$P$30</definedName>
    <definedName name="_xlnm.Print_Area" localSheetId="10">'First-year P. by P.T.'!$G$1:$P$27</definedName>
    <definedName name="_xlnm.Print_Area" localSheetId="2">FS!$F$1:$V$53</definedName>
    <definedName name="_xlnm.Print_Area" localSheetId="9">'Initial P. by P.T.'!$G$1:$P$27</definedName>
    <definedName name="_xlnm.Print_Area" localSheetId="18">'IS  K-IFRS'!$A$1:$C$56</definedName>
    <definedName name="_xlnm.Print_Area" localSheetId="13">'Premium Income by D.C.'!$F$1:$P$58</definedName>
    <definedName name="_xlnm.Print_Area" localSheetId="12">'Premium Income by D.C.(GA+SA)'!$F$1:$P$29</definedName>
    <definedName name="_xlnm.Print_Area" localSheetId="8">'Premium Income by P.T.'!$G$1:$P$54</definedName>
    <definedName name="_xlnm.Print_Area" localSheetId="7">'Premium Income by P.T.(GA+SA)'!$G$1:$P$27</definedName>
    <definedName name="_xlnm.Print_Area" localSheetId="5">Productivity!$F$1:$T$23</definedName>
    <definedName name="_xlnm.Print_Area" localSheetId="4">Stability!$F$1:$T$27</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50" l="1"/>
  <c r="O6" i="50"/>
  <c r="T37" i="8" l="1"/>
  <c r="S52" i="8"/>
  <c r="S51" i="8"/>
  <c r="S50" i="8"/>
  <c r="S49" i="8"/>
  <c r="S48" i="8"/>
  <c r="S47" i="8"/>
  <c r="S46" i="8"/>
  <c r="S45" i="8"/>
  <c r="S44" i="8"/>
  <c r="S43" i="8"/>
  <c r="S42" i="8"/>
  <c r="S41" i="8"/>
  <c r="S39" i="8"/>
  <c r="T38" i="8"/>
  <c r="S37" i="8"/>
  <c r="V37" i="8"/>
  <c r="U37" i="8" l="1"/>
  <c r="T48" i="8"/>
  <c r="T47" i="8"/>
  <c r="T46" i="8"/>
  <c r="T45" i="8"/>
  <c r="T44" i="8"/>
  <c r="T43" i="8"/>
  <c r="T39" i="8"/>
  <c r="U39" i="8" s="1"/>
  <c r="S40" i="8"/>
  <c r="S38" i="8"/>
  <c r="U38" i="8" s="1"/>
  <c r="U27" i="8" l="1"/>
  <c r="U10" i="8"/>
  <c r="V40" i="8"/>
  <c r="V39" i="8"/>
  <c r="V38" i="8"/>
  <c r="V8" i="8"/>
  <c r="V7" i="8"/>
  <c r="V6" i="8"/>
  <c r="V5" i="8"/>
  <c r="V4" i="8"/>
  <c r="U4" i="8"/>
  <c r="O10" i="10"/>
  <c r="R23" i="16" l="1"/>
  <c r="S23" i="16"/>
  <c r="S16" i="16"/>
  <c r="S15" i="16"/>
  <c r="S14" i="16"/>
  <c r="S13" i="16"/>
  <c r="S12" i="16"/>
  <c r="S11" i="16"/>
  <c r="S10" i="16"/>
  <c r="S9" i="16"/>
  <c r="S8" i="16"/>
  <c r="S5" i="16"/>
  <c r="R16" i="16"/>
  <c r="R14" i="16"/>
  <c r="R13" i="16"/>
  <c r="R12" i="16"/>
  <c r="R11" i="16"/>
  <c r="R10" i="16"/>
  <c r="R9" i="16"/>
  <c r="R8" i="16"/>
  <c r="R5" i="16"/>
  <c r="N17" i="16"/>
  <c r="N11" i="16"/>
  <c r="N5" i="16"/>
  <c r="S25" i="15"/>
  <c r="T25" i="15"/>
  <c r="T24" i="15"/>
  <c r="T23" i="15"/>
  <c r="T22" i="15"/>
  <c r="T21" i="15"/>
  <c r="T20" i="15"/>
  <c r="T19" i="15"/>
  <c r="T18" i="15"/>
  <c r="S24" i="15"/>
  <c r="S23" i="15"/>
  <c r="S22" i="15"/>
  <c r="S21" i="15"/>
  <c r="S20" i="15"/>
  <c r="S19" i="15"/>
  <c r="S18" i="15"/>
  <c r="T11" i="15"/>
  <c r="T10" i="15"/>
  <c r="T9" i="15"/>
  <c r="T8" i="15"/>
  <c r="T4" i="15"/>
  <c r="S11" i="15"/>
  <c r="S10" i="15"/>
  <c r="S9" i="15"/>
  <c r="S8" i="15"/>
  <c r="S4" i="15"/>
  <c r="N23" i="16" l="1"/>
  <c r="S8" i="19" l="1"/>
  <c r="S5" i="19"/>
  <c r="T19" i="19"/>
  <c r="T22" i="19" l="1"/>
  <c r="S22" i="19"/>
  <c r="S21" i="19"/>
  <c r="S20" i="19"/>
  <c r="S19" i="19"/>
  <c r="S18" i="19"/>
  <c r="S17" i="19"/>
  <c r="S15" i="19"/>
  <c r="S14" i="19"/>
  <c r="S12" i="19"/>
  <c r="S11" i="19"/>
  <c r="T5" i="19"/>
  <c r="T6" i="19" l="1"/>
  <c r="S6" i="19"/>
  <c r="O15" i="40" l="1"/>
  <c r="N58" i="39"/>
  <c r="N57" i="39"/>
  <c r="M58" i="39"/>
  <c r="M57" i="39"/>
  <c r="L58" i="39"/>
  <c r="L57" i="39"/>
  <c r="K57" i="39"/>
  <c r="K58" i="39"/>
  <c r="J58" i="39"/>
  <c r="J55" i="39"/>
  <c r="J57" i="39"/>
  <c r="J6" i="39"/>
  <c r="N24" i="39"/>
  <c r="M24" i="39"/>
  <c r="L24" i="39"/>
  <c r="K24" i="39"/>
  <c r="J24" i="39"/>
  <c r="O24" i="39" s="1"/>
  <c r="N23" i="39"/>
  <c r="P23" i="39" s="1"/>
  <c r="M23" i="39"/>
  <c r="M20" i="39" s="1"/>
  <c r="L23" i="39"/>
  <c r="K23" i="39"/>
  <c r="J23" i="39"/>
  <c r="N21" i="39"/>
  <c r="M21" i="39"/>
  <c r="L21" i="39"/>
  <c r="K21" i="39"/>
  <c r="K20" i="39" s="1"/>
  <c r="J21" i="39"/>
  <c r="O21" i="39" s="1"/>
  <c r="N19" i="39"/>
  <c r="M19" i="39"/>
  <c r="L19" i="39"/>
  <c r="K19" i="39"/>
  <c r="O19" i="39" s="1"/>
  <c r="J19" i="39"/>
  <c r="N18" i="39"/>
  <c r="M18" i="39"/>
  <c r="L18" i="39"/>
  <c r="P18" i="39" s="1"/>
  <c r="K18" i="39"/>
  <c r="J18" i="39"/>
  <c r="O18" i="39" s="1"/>
  <c r="N16" i="39"/>
  <c r="P16" i="39" s="1"/>
  <c r="M16" i="39"/>
  <c r="L16" i="39"/>
  <c r="K16" i="39"/>
  <c r="J16" i="39"/>
  <c r="O16" i="39" s="1"/>
  <c r="N14" i="39"/>
  <c r="M14" i="39"/>
  <c r="L14" i="39"/>
  <c r="K14" i="39"/>
  <c r="J14" i="39"/>
  <c r="O14" i="39" s="1"/>
  <c r="N13" i="39"/>
  <c r="M13" i="39"/>
  <c r="L13" i="39"/>
  <c r="P13" i="39" s="1"/>
  <c r="K13" i="39"/>
  <c r="O13" i="39" s="1"/>
  <c r="J13" i="39"/>
  <c r="N11" i="39"/>
  <c r="M11" i="39"/>
  <c r="L11" i="39"/>
  <c r="K11" i="39"/>
  <c r="J11" i="39"/>
  <c r="O11" i="39" s="1"/>
  <c r="N9" i="39"/>
  <c r="P9" i="39" s="1"/>
  <c r="M9" i="39"/>
  <c r="L9" i="39"/>
  <c r="K9" i="39"/>
  <c r="J9" i="39"/>
  <c r="N8" i="39"/>
  <c r="M8" i="39"/>
  <c r="L8" i="39"/>
  <c r="K8" i="39"/>
  <c r="J8" i="39"/>
  <c r="J5" i="39" s="1"/>
  <c r="N6" i="39"/>
  <c r="M6" i="39"/>
  <c r="L6" i="39"/>
  <c r="K6" i="39"/>
  <c r="P19" i="39"/>
  <c r="J5" i="12"/>
  <c r="K5" i="39" l="1"/>
  <c r="K7" i="39" s="1"/>
  <c r="O23" i="39"/>
  <c r="P24" i="39"/>
  <c r="P21" i="39"/>
  <c r="J20" i="39"/>
  <c r="O20" i="39" s="1"/>
  <c r="L15" i="39"/>
  <c r="K15" i="39"/>
  <c r="K17" i="39" s="1"/>
  <c r="M15" i="39"/>
  <c r="M17" i="39" s="1"/>
  <c r="K10" i="39"/>
  <c r="K12" i="39" s="1"/>
  <c r="P14" i="39"/>
  <c r="M10" i="39"/>
  <c r="M12" i="39" s="1"/>
  <c r="O8" i="39"/>
  <c r="M5" i="39"/>
  <c r="M7" i="39" s="1"/>
  <c r="P8" i="39"/>
  <c r="N5" i="39"/>
  <c r="P5" i="39" s="1"/>
  <c r="O9" i="39"/>
  <c r="L5" i="39"/>
  <c r="P11" i="39"/>
  <c r="O5" i="39"/>
  <c r="L7" i="39"/>
  <c r="K22" i="39"/>
  <c r="J10" i="39"/>
  <c r="L20" i="39"/>
  <c r="N10" i="39"/>
  <c r="N12" i="39" s="1"/>
  <c r="J15" i="39"/>
  <c r="O15" i="39" s="1"/>
  <c r="N7" i="39"/>
  <c r="M22" i="39"/>
  <c r="L17" i="39"/>
  <c r="N15" i="39"/>
  <c r="P15" i="39" s="1"/>
  <c r="N20" i="39"/>
  <c r="N22" i="39" s="1"/>
  <c r="L10" i="39"/>
  <c r="P6" i="39"/>
  <c r="J7" i="39"/>
  <c r="O7" i="39" s="1"/>
  <c r="O6" i="39"/>
  <c r="J22" i="39" l="1"/>
  <c r="O10" i="39"/>
  <c r="J12" i="39"/>
  <c r="O12" i="39" s="1"/>
  <c r="P20" i="39"/>
  <c r="P10" i="39"/>
  <c r="L12" i="39"/>
  <c r="J17" i="39"/>
  <c r="O17" i="39" s="1"/>
  <c r="P7" i="39"/>
  <c r="N17" i="39"/>
  <c r="P17" i="39" s="1"/>
  <c r="L22" i="39"/>
  <c r="O22" i="39"/>
  <c r="P22" i="39" l="1"/>
  <c r="P12" i="39"/>
  <c r="P27" i="11" l="1"/>
  <c r="N29" i="40"/>
  <c r="M29" i="40"/>
  <c r="L29" i="40"/>
  <c r="K29" i="40"/>
  <c r="J29" i="40"/>
  <c r="P28" i="40"/>
  <c r="O28" i="40"/>
  <c r="P27" i="40"/>
  <c r="O27" i="40"/>
  <c r="P26" i="40"/>
  <c r="O26" i="40"/>
  <c r="P25" i="40"/>
  <c r="O25" i="40"/>
  <c r="N19" i="40"/>
  <c r="M19" i="40"/>
  <c r="L19" i="40"/>
  <c r="K19" i="40"/>
  <c r="J19" i="40"/>
  <c r="O19" i="40" s="1"/>
  <c r="P18" i="40"/>
  <c r="O18" i="40"/>
  <c r="P17" i="40"/>
  <c r="O17" i="40"/>
  <c r="P16" i="40"/>
  <c r="O16" i="40"/>
  <c r="P15" i="40"/>
  <c r="N9" i="40"/>
  <c r="M9" i="40"/>
  <c r="L9" i="40"/>
  <c r="P9" i="40" s="1"/>
  <c r="K9" i="40"/>
  <c r="J9" i="40"/>
  <c r="P8" i="40"/>
  <c r="O8" i="40"/>
  <c r="P7" i="40"/>
  <c r="O7" i="40"/>
  <c r="P6" i="40"/>
  <c r="O6" i="40"/>
  <c r="P5" i="40"/>
  <c r="O5" i="40"/>
  <c r="O29" i="40" l="1"/>
  <c r="P29" i="40"/>
  <c r="P19" i="40"/>
  <c r="O9" i="40"/>
  <c r="N55" i="39"/>
  <c r="M55" i="39"/>
  <c r="M54" i="39" s="1"/>
  <c r="L55" i="39"/>
  <c r="K55" i="39"/>
  <c r="P53" i="39"/>
  <c r="O53" i="39"/>
  <c r="P52" i="39"/>
  <c r="O52" i="39"/>
  <c r="P50" i="39"/>
  <c r="O50" i="39"/>
  <c r="N49" i="39"/>
  <c r="N51" i="39" s="1"/>
  <c r="M49" i="39"/>
  <c r="M51" i="39" s="1"/>
  <c r="L49" i="39"/>
  <c r="L51" i="39" s="1"/>
  <c r="K49" i="39"/>
  <c r="K51" i="39" s="1"/>
  <c r="J49" i="39"/>
  <c r="J51" i="39" s="1"/>
  <c r="P48" i="39"/>
  <c r="O48" i="39"/>
  <c r="P47" i="39"/>
  <c r="O47" i="39"/>
  <c r="P45" i="39"/>
  <c r="O45" i="39"/>
  <c r="N44" i="39"/>
  <c r="N46" i="39" s="1"/>
  <c r="M44" i="39"/>
  <c r="M46" i="39" s="1"/>
  <c r="L44" i="39"/>
  <c r="L46" i="39" s="1"/>
  <c r="K44" i="39"/>
  <c r="K46" i="39" s="1"/>
  <c r="J44" i="39"/>
  <c r="J46" i="39" s="1"/>
  <c r="O46" i="39" s="1"/>
  <c r="P43" i="39"/>
  <c r="O43" i="39"/>
  <c r="P42" i="39"/>
  <c r="O42" i="39"/>
  <c r="P40" i="39"/>
  <c r="O40" i="39"/>
  <c r="N39" i="39"/>
  <c r="N41" i="39" s="1"/>
  <c r="M39" i="39"/>
  <c r="M41" i="39" s="1"/>
  <c r="L39" i="39"/>
  <c r="K39" i="39"/>
  <c r="K41" i="39" s="1"/>
  <c r="J39" i="39"/>
  <c r="J41" i="39" s="1"/>
  <c r="P38" i="39"/>
  <c r="O38" i="39"/>
  <c r="P37" i="39"/>
  <c r="O37" i="39"/>
  <c r="P35" i="39"/>
  <c r="O35" i="39"/>
  <c r="N34" i="39"/>
  <c r="N36" i="39" s="1"/>
  <c r="M34" i="39"/>
  <c r="M36" i="39" s="1"/>
  <c r="L34" i="39"/>
  <c r="K34" i="39"/>
  <c r="K36" i="39" s="1"/>
  <c r="J34" i="39"/>
  <c r="J36" i="39" s="1"/>
  <c r="N29" i="43"/>
  <c r="M29" i="43"/>
  <c r="L29" i="43"/>
  <c r="K29" i="43"/>
  <c r="J29" i="43"/>
  <c r="O29" i="43" s="1"/>
  <c r="N28" i="43"/>
  <c r="M28" i="43"/>
  <c r="L28" i="43"/>
  <c r="K28" i="43"/>
  <c r="J28" i="43"/>
  <c r="N26" i="43"/>
  <c r="M26" i="43"/>
  <c r="L26" i="43"/>
  <c r="K26" i="43"/>
  <c r="J26" i="43"/>
  <c r="P24" i="43"/>
  <c r="O24" i="43"/>
  <c r="P23" i="43"/>
  <c r="O23" i="43"/>
  <c r="P21" i="43"/>
  <c r="O21" i="43"/>
  <c r="N20" i="43"/>
  <c r="N22" i="43" s="1"/>
  <c r="M20" i="43"/>
  <c r="M22" i="43" s="1"/>
  <c r="L20" i="43"/>
  <c r="P20" i="43" s="1"/>
  <c r="K20" i="43"/>
  <c r="K22" i="43" s="1"/>
  <c r="J20" i="43"/>
  <c r="J22" i="43" s="1"/>
  <c r="P19" i="43"/>
  <c r="O19" i="43"/>
  <c r="P18" i="43"/>
  <c r="O18" i="43"/>
  <c r="P16" i="43"/>
  <c r="O16" i="43"/>
  <c r="N15" i="43"/>
  <c r="N17" i="43" s="1"/>
  <c r="M15" i="43"/>
  <c r="M17" i="43" s="1"/>
  <c r="L15" i="43"/>
  <c r="K15" i="43"/>
  <c r="K17" i="43" s="1"/>
  <c r="J15" i="43"/>
  <c r="J17" i="43" s="1"/>
  <c r="P14" i="43"/>
  <c r="O14" i="43"/>
  <c r="P13" i="43"/>
  <c r="O13" i="43"/>
  <c r="P11" i="43"/>
  <c r="O11" i="43"/>
  <c r="N10" i="43"/>
  <c r="N12" i="43" s="1"/>
  <c r="M10" i="43"/>
  <c r="M12" i="43" s="1"/>
  <c r="L10" i="43"/>
  <c r="K10" i="43"/>
  <c r="K12" i="43" s="1"/>
  <c r="J10" i="43"/>
  <c r="J12" i="43" s="1"/>
  <c r="P9" i="43"/>
  <c r="O9" i="43"/>
  <c r="P8" i="43"/>
  <c r="O8" i="43"/>
  <c r="P6" i="43"/>
  <c r="O6" i="43"/>
  <c r="N5" i="43"/>
  <c r="N7" i="43" s="1"/>
  <c r="M5" i="43"/>
  <c r="M7" i="43" s="1"/>
  <c r="L5" i="43"/>
  <c r="K5" i="43"/>
  <c r="K7" i="43" s="1"/>
  <c r="J5" i="43"/>
  <c r="J7" i="43" s="1"/>
  <c r="N29" i="12"/>
  <c r="M29" i="12"/>
  <c r="L29" i="12"/>
  <c r="P29" i="12" s="1"/>
  <c r="K29" i="12"/>
  <c r="J29" i="12"/>
  <c r="O29" i="12" s="1"/>
  <c r="N28" i="12"/>
  <c r="M28" i="12"/>
  <c r="L28" i="12"/>
  <c r="K28" i="12"/>
  <c r="J28" i="12"/>
  <c r="N26" i="12"/>
  <c r="M26" i="12"/>
  <c r="L26" i="12"/>
  <c r="K26" i="12"/>
  <c r="J26" i="12"/>
  <c r="P23" i="12"/>
  <c r="O23" i="12"/>
  <c r="P21" i="12"/>
  <c r="O21" i="12"/>
  <c r="N20" i="12"/>
  <c r="N22" i="12" s="1"/>
  <c r="M20" i="12"/>
  <c r="M22" i="12" s="1"/>
  <c r="L20" i="12"/>
  <c r="L22" i="12" s="1"/>
  <c r="K20" i="12"/>
  <c r="O20" i="12" s="1"/>
  <c r="J20" i="12"/>
  <c r="J22" i="12" s="1"/>
  <c r="P18" i="12"/>
  <c r="O18" i="12"/>
  <c r="P16" i="12"/>
  <c r="O16" i="12"/>
  <c r="N15" i="12"/>
  <c r="N17" i="12" s="1"/>
  <c r="M15" i="12"/>
  <c r="M17" i="12" s="1"/>
  <c r="L15" i="12"/>
  <c r="K15" i="12"/>
  <c r="J15" i="12"/>
  <c r="J17" i="12" s="1"/>
  <c r="P14" i="12"/>
  <c r="O14" i="12"/>
  <c r="P13" i="12"/>
  <c r="O13" i="12"/>
  <c r="P11" i="12"/>
  <c r="O11" i="12"/>
  <c r="N10" i="12"/>
  <c r="N12" i="12" s="1"/>
  <c r="M10" i="12"/>
  <c r="M12" i="12" s="1"/>
  <c r="L10" i="12"/>
  <c r="P10" i="12" s="1"/>
  <c r="K10" i="12"/>
  <c r="K12" i="12" s="1"/>
  <c r="J10" i="12"/>
  <c r="J12" i="12" s="1"/>
  <c r="P8" i="12"/>
  <c r="O8" i="12"/>
  <c r="J7" i="12"/>
  <c r="P6" i="12"/>
  <c r="O6" i="12"/>
  <c r="N5" i="12"/>
  <c r="N7" i="12" s="1"/>
  <c r="M5" i="12"/>
  <c r="M7" i="12" s="1"/>
  <c r="L5" i="12"/>
  <c r="L7" i="12" s="1"/>
  <c r="K5" i="12"/>
  <c r="K7" i="12" s="1"/>
  <c r="P27" i="36"/>
  <c r="O27" i="36"/>
  <c r="N25" i="36"/>
  <c r="M25" i="36"/>
  <c r="L25" i="36"/>
  <c r="P25" i="36" s="1"/>
  <c r="K25" i="36"/>
  <c r="O25" i="36" s="1"/>
  <c r="J25" i="36"/>
  <c r="N18" i="36"/>
  <c r="M18" i="36"/>
  <c r="L18" i="36"/>
  <c r="K18" i="36"/>
  <c r="J18" i="36"/>
  <c r="P16" i="36"/>
  <c r="O16" i="36"/>
  <c r="N14" i="36"/>
  <c r="N24" i="36" s="1"/>
  <c r="M14" i="36"/>
  <c r="M24" i="36" s="1"/>
  <c r="L14" i="36"/>
  <c r="P14" i="36" s="1"/>
  <c r="K14" i="36"/>
  <c r="K24" i="36" s="1"/>
  <c r="J14" i="36"/>
  <c r="P12" i="36"/>
  <c r="O12" i="36"/>
  <c r="P11" i="36"/>
  <c r="O11" i="36"/>
  <c r="N10" i="36"/>
  <c r="N23" i="36" s="1"/>
  <c r="M10" i="36"/>
  <c r="M23" i="36" s="1"/>
  <c r="L10" i="36"/>
  <c r="L23" i="36" s="1"/>
  <c r="K10" i="36"/>
  <c r="K23" i="36" s="1"/>
  <c r="J10" i="36"/>
  <c r="O10" i="36" s="1"/>
  <c r="P9" i="36"/>
  <c r="O9" i="36"/>
  <c r="P8" i="36"/>
  <c r="O8" i="36"/>
  <c r="P7" i="36"/>
  <c r="O7" i="36"/>
  <c r="N6" i="36"/>
  <c r="N22" i="36" s="1"/>
  <c r="M6" i="36"/>
  <c r="M22" i="36" s="1"/>
  <c r="L6" i="36"/>
  <c r="K6" i="36"/>
  <c r="K22" i="36" s="1"/>
  <c r="J6" i="36"/>
  <c r="J22" i="36" s="1"/>
  <c r="P27" i="35"/>
  <c r="O27" i="35"/>
  <c r="N25" i="35"/>
  <c r="M25" i="35"/>
  <c r="L25" i="35"/>
  <c r="K25" i="35"/>
  <c r="J25" i="35"/>
  <c r="N18" i="35"/>
  <c r="M18" i="35"/>
  <c r="L18" i="35"/>
  <c r="K18" i="35"/>
  <c r="J18" i="35"/>
  <c r="P16" i="35"/>
  <c r="O16" i="35"/>
  <c r="N14" i="35"/>
  <c r="N24" i="35" s="1"/>
  <c r="M14" i="35"/>
  <c r="M24" i="35" s="1"/>
  <c r="L14" i="35"/>
  <c r="K14" i="35"/>
  <c r="K24" i="35" s="1"/>
  <c r="J14" i="35"/>
  <c r="P12" i="35"/>
  <c r="O12" i="35"/>
  <c r="P11" i="35"/>
  <c r="O11" i="35"/>
  <c r="N10" i="35"/>
  <c r="N23" i="35" s="1"/>
  <c r="M10" i="35"/>
  <c r="M23" i="35" s="1"/>
  <c r="L10" i="35"/>
  <c r="L23" i="35" s="1"/>
  <c r="K10" i="35"/>
  <c r="K23" i="35" s="1"/>
  <c r="J10" i="35"/>
  <c r="P9" i="35"/>
  <c r="O9" i="35"/>
  <c r="P7" i="35"/>
  <c r="O7" i="35"/>
  <c r="N6" i="35"/>
  <c r="N22" i="35" s="1"/>
  <c r="M6" i="35"/>
  <c r="M5" i="35" s="1"/>
  <c r="L6" i="35"/>
  <c r="P6" i="35" s="1"/>
  <c r="K6" i="35"/>
  <c r="K22" i="35" s="1"/>
  <c r="J6" i="35"/>
  <c r="J22" i="35" s="1"/>
  <c r="P54" i="38"/>
  <c r="O54" i="38"/>
  <c r="N52" i="38"/>
  <c r="M52" i="38"/>
  <c r="L52" i="38"/>
  <c r="P52" i="38" s="1"/>
  <c r="K52" i="38"/>
  <c r="O52" i="38" s="1"/>
  <c r="J52" i="38"/>
  <c r="N45" i="38"/>
  <c r="M45" i="38"/>
  <c r="L45" i="38"/>
  <c r="K45" i="38"/>
  <c r="J45" i="38"/>
  <c r="P44" i="38"/>
  <c r="O44" i="38"/>
  <c r="N41" i="38"/>
  <c r="N51" i="38" s="1"/>
  <c r="M41" i="38"/>
  <c r="M51" i="38" s="1"/>
  <c r="L41" i="38"/>
  <c r="P41" i="38" s="1"/>
  <c r="K41" i="38"/>
  <c r="O41" i="38" s="1"/>
  <c r="J41" i="38"/>
  <c r="J51" i="38" s="1"/>
  <c r="P40" i="38"/>
  <c r="O40" i="38"/>
  <c r="N37" i="38"/>
  <c r="N50" i="38" s="1"/>
  <c r="M37" i="38"/>
  <c r="M50" i="38" s="1"/>
  <c r="L37" i="38"/>
  <c r="L50" i="38" s="1"/>
  <c r="K37" i="38"/>
  <c r="K50" i="38" s="1"/>
  <c r="J37" i="38"/>
  <c r="J50" i="38" s="1"/>
  <c r="P35" i="38"/>
  <c r="O35" i="38"/>
  <c r="N33" i="38"/>
  <c r="N49" i="38" s="1"/>
  <c r="M33" i="38"/>
  <c r="M49" i="38" s="1"/>
  <c r="L33" i="38"/>
  <c r="K33" i="38"/>
  <c r="K49" i="38" s="1"/>
  <c r="J33" i="38"/>
  <c r="J49" i="38" s="1"/>
  <c r="P27" i="38"/>
  <c r="O27" i="38"/>
  <c r="N25" i="38"/>
  <c r="M25" i="38"/>
  <c r="L25" i="38"/>
  <c r="K25" i="38"/>
  <c r="J25" i="38"/>
  <c r="P20" i="38"/>
  <c r="O20" i="38"/>
  <c r="P19" i="38"/>
  <c r="O19" i="38"/>
  <c r="N18" i="38"/>
  <c r="M18" i="38"/>
  <c r="L18" i="38"/>
  <c r="P18" i="38" s="1"/>
  <c r="K18" i="38"/>
  <c r="J18" i="38"/>
  <c r="P17" i="38"/>
  <c r="O17" i="38"/>
  <c r="P16" i="38"/>
  <c r="O16" i="38"/>
  <c r="P15" i="38"/>
  <c r="O15" i="38"/>
  <c r="N14" i="38"/>
  <c r="N5" i="38" s="1"/>
  <c r="M14" i="38"/>
  <c r="M24" i="38" s="1"/>
  <c r="L14" i="38"/>
  <c r="L24" i="38" s="1"/>
  <c r="K14" i="38"/>
  <c r="J14" i="38"/>
  <c r="J24" i="38" s="1"/>
  <c r="P13" i="38"/>
  <c r="O13" i="38"/>
  <c r="P12" i="38"/>
  <c r="O12" i="38"/>
  <c r="P11" i="38"/>
  <c r="O11" i="38"/>
  <c r="N10" i="38"/>
  <c r="N23" i="38" s="1"/>
  <c r="M10" i="38"/>
  <c r="M23" i="38" s="1"/>
  <c r="L10" i="38"/>
  <c r="L23" i="38" s="1"/>
  <c r="P23" i="38" s="1"/>
  <c r="K10" i="38"/>
  <c r="J10" i="38"/>
  <c r="J23" i="38" s="1"/>
  <c r="P9" i="38"/>
  <c r="O9" i="38"/>
  <c r="P8" i="38"/>
  <c r="O8" i="38"/>
  <c r="P7" i="38"/>
  <c r="O7" i="38"/>
  <c r="N6" i="38"/>
  <c r="N22" i="38" s="1"/>
  <c r="M6" i="38"/>
  <c r="M22" i="38" s="1"/>
  <c r="L6" i="38"/>
  <c r="P6" i="38" s="1"/>
  <c r="K6" i="38"/>
  <c r="K22" i="38" s="1"/>
  <c r="J6" i="38"/>
  <c r="J22" i="38" s="1"/>
  <c r="P27" i="42"/>
  <c r="O27" i="42"/>
  <c r="N25" i="42"/>
  <c r="M25" i="42"/>
  <c r="L25" i="42"/>
  <c r="P25" i="42" s="1"/>
  <c r="K25" i="42"/>
  <c r="O25" i="42" s="1"/>
  <c r="J25" i="42"/>
  <c r="P20" i="42"/>
  <c r="O20" i="42"/>
  <c r="P19" i="42"/>
  <c r="O19" i="42"/>
  <c r="N18" i="42"/>
  <c r="M18" i="42"/>
  <c r="L18" i="42"/>
  <c r="P18" i="42" s="1"/>
  <c r="K18" i="42"/>
  <c r="J18" i="42"/>
  <c r="O18" i="42" s="1"/>
  <c r="P17" i="42"/>
  <c r="O17" i="42"/>
  <c r="P16" i="42"/>
  <c r="O16" i="42"/>
  <c r="P15" i="42"/>
  <c r="O15" i="42"/>
  <c r="N14" i="42"/>
  <c r="N24" i="42" s="1"/>
  <c r="M14" i="42"/>
  <c r="M24" i="42" s="1"/>
  <c r="L14" i="42"/>
  <c r="L24" i="42" s="1"/>
  <c r="K14" i="42"/>
  <c r="J14" i="42"/>
  <c r="J24" i="42" s="1"/>
  <c r="P13" i="42"/>
  <c r="O13" i="42"/>
  <c r="P12" i="42"/>
  <c r="O12" i="42"/>
  <c r="P11" i="42"/>
  <c r="O11" i="42"/>
  <c r="N10" i="42"/>
  <c r="N23" i="42" s="1"/>
  <c r="M10" i="42"/>
  <c r="M23" i="42" s="1"/>
  <c r="L10" i="42"/>
  <c r="L23" i="42" s="1"/>
  <c r="K10" i="42"/>
  <c r="K23" i="42" s="1"/>
  <c r="J10" i="42"/>
  <c r="P9" i="42"/>
  <c r="O9" i="42"/>
  <c r="P8" i="42"/>
  <c r="O8" i="42"/>
  <c r="P7" i="42"/>
  <c r="O7" i="42"/>
  <c r="N6" i="42"/>
  <c r="N22" i="42" s="1"/>
  <c r="M6" i="42"/>
  <c r="M22" i="42" s="1"/>
  <c r="L6" i="42"/>
  <c r="K6" i="42"/>
  <c r="K22" i="42" s="1"/>
  <c r="J6" i="42"/>
  <c r="J22" i="42" s="1"/>
  <c r="O27" i="11"/>
  <c r="N25" i="11"/>
  <c r="M25" i="11"/>
  <c r="L25" i="11"/>
  <c r="K25" i="11"/>
  <c r="J25" i="11"/>
  <c r="O25" i="11" s="1"/>
  <c r="N22" i="11"/>
  <c r="N18" i="11"/>
  <c r="M18" i="11"/>
  <c r="L18" i="11"/>
  <c r="K18" i="11"/>
  <c r="J18" i="11"/>
  <c r="P16" i="11"/>
  <c r="O16" i="11"/>
  <c r="N14" i="11"/>
  <c r="N24" i="11" s="1"/>
  <c r="M14" i="11"/>
  <c r="M24" i="11" s="1"/>
  <c r="L14" i="11"/>
  <c r="K14" i="11"/>
  <c r="K24" i="11" s="1"/>
  <c r="J14" i="11"/>
  <c r="J24" i="11" s="1"/>
  <c r="P12" i="11"/>
  <c r="O12" i="11"/>
  <c r="P11" i="11"/>
  <c r="O11" i="11"/>
  <c r="N10" i="11"/>
  <c r="N23" i="11" s="1"/>
  <c r="M10" i="11"/>
  <c r="M23" i="11" s="1"/>
  <c r="L10" i="11"/>
  <c r="P10" i="11" s="1"/>
  <c r="K10" i="11"/>
  <c r="K23" i="11" s="1"/>
  <c r="J10" i="11"/>
  <c r="J23" i="11" s="1"/>
  <c r="P9" i="11"/>
  <c r="O9" i="11"/>
  <c r="P7" i="11"/>
  <c r="O7" i="11"/>
  <c r="N6" i="11"/>
  <c r="M6" i="11"/>
  <c r="M22" i="11" s="1"/>
  <c r="L6" i="11"/>
  <c r="L22" i="11" s="1"/>
  <c r="K6" i="11"/>
  <c r="J6" i="11"/>
  <c r="O6" i="11" s="1"/>
  <c r="N5" i="35" l="1"/>
  <c r="P23" i="35"/>
  <c r="O25" i="35"/>
  <c r="P14" i="35"/>
  <c r="P25" i="35"/>
  <c r="L5" i="38"/>
  <c r="P5" i="38" s="1"/>
  <c r="O25" i="38"/>
  <c r="P50" i="38"/>
  <c r="P25" i="38"/>
  <c r="P33" i="38"/>
  <c r="O18" i="38"/>
  <c r="N32" i="38"/>
  <c r="P6" i="42"/>
  <c r="J5" i="42"/>
  <c r="P14" i="11"/>
  <c r="N5" i="11"/>
  <c r="P49" i="39"/>
  <c r="O51" i="39"/>
  <c r="P44" i="39"/>
  <c r="O41" i="39"/>
  <c r="P39" i="39"/>
  <c r="L41" i="39"/>
  <c r="L54" i="39"/>
  <c r="L56" i="39" s="1"/>
  <c r="L28" i="39"/>
  <c r="K29" i="39"/>
  <c r="M28" i="39"/>
  <c r="P58" i="39"/>
  <c r="L29" i="39"/>
  <c r="O57" i="39"/>
  <c r="J28" i="39"/>
  <c r="N28" i="39"/>
  <c r="M29" i="39"/>
  <c r="K28" i="39"/>
  <c r="O58" i="39"/>
  <c r="J29" i="39"/>
  <c r="N29" i="39"/>
  <c r="P34" i="39"/>
  <c r="J26" i="39"/>
  <c r="N26" i="39"/>
  <c r="L36" i="39"/>
  <c r="P36" i="39" s="1"/>
  <c r="K26" i="39"/>
  <c r="O36" i="39"/>
  <c r="K54" i="39"/>
  <c r="K56" i="39" s="1"/>
  <c r="P55" i="39"/>
  <c r="L26" i="39"/>
  <c r="M56" i="39"/>
  <c r="M26" i="39"/>
  <c r="P15" i="43"/>
  <c r="L22" i="43"/>
  <c r="P22" i="43" s="1"/>
  <c r="O22" i="43"/>
  <c r="L17" i="43"/>
  <c r="P17" i="43" s="1"/>
  <c r="O17" i="43"/>
  <c r="P10" i="43"/>
  <c r="K25" i="43"/>
  <c r="K27" i="43" s="1"/>
  <c r="L12" i="43"/>
  <c r="P12" i="43" s="1"/>
  <c r="O12" i="43"/>
  <c r="P29" i="43"/>
  <c r="M25" i="43"/>
  <c r="M27" i="43" s="1"/>
  <c r="O28" i="43"/>
  <c r="P5" i="43"/>
  <c r="L25" i="43"/>
  <c r="L27" i="43" s="1"/>
  <c r="L7" i="43"/>
  <c r="P7" i="43" s="1"/>
  <c r="O7" i="43"/>
  <c r="P26" i="43"/>
  <c r="P22" i="12"/>
  <c r="O15" i="12"/>
  <c r="P15" i="12"/>
  <c r="K17" i="12"/>
  <c r="O17" i="12" s="1"/>
  <c r="L17" i="12"/>
  <c r="P17" i="12" s="1"/>
  <c r="M25" i="12"/>
  <c r="M27" i="12" s="1"/>
  <c r="O12" i="12"/>
  <c r="L12" i="12"/>
  <c r="P12" i="12" s="1"/>
  <c r="K25" i="12"/>
  <c r="K27" i="12" s="1"/>
  <c r="O28" i="12"/>
  <c r="L25" i="12"/>
  <c r="P7" i="12"/>
  <c r="O7" i="12"/>
  <c r="P26" i="12"/>
  <c r="K21" i="36"/>
  <c r="L5" i="36"/>
  <c r="O14" i="36"/>
  <c r="J24" i="36"/>
  <c r="O24" i="36" s="1"/>
  <c r="K5" i="36"/>
  <c r="M21" i="36"/>
  <c r="P6" i="36"/>
  <c r="L22" i="36"/>
  <c r="O14" i="35"/>
  <c r="J24" i="35"/>
  <c r="O24" i="35" s="1"/>
  <c r="N21" i="35"/>
  <c r="O10" i="35"/>
  <c r="J5" i="35"/>
  <c r="L22" i="35"/>
  <c r="L32" i="38"/>
  <c r="P32" i="38" s="1"/>
  <c r="O50" i="38"/>
  <c r="J32" i="38"/>
  <c r="L49" i="38"/>
  <c r="P49" i="38" s="1"/>
  <c r="N24" i="38"/>
  <c r="P24" i="38" s="1"/>
  <c r="J5" i="38"/>
  <c r="O10" i="38"/>
  <c r="K5" i="38"/>
  <c r="L22" i="38"/>
  <c r="P22" i="38" s="1"/>
  <c r="N5" i="42"/>
  <c r="P24" i="42"/>
  <c r="O10" i="42"/>
  <c r="M21" i="42"/>
  <c r="K5" i="42"/>
  <c r="L5" i="42"/>
  <c r="P5" i="42" s="1"/>
  <c r="P25" i="11"/>
  <c r="L24" i="11"/>
  <c r="P24" i="11" s="1"/>
  <c r="K5" i="11"/>
  <c r="L23" i="11"/>
  <c r="M21" i="11"/>
  <c r="O23" i="11"/>
  <c r="L5" i="11"/>
  <c r="P5" i="11" s="1"/>
  <c r="P6" i="11"/>
  <c r="J22" i="11"/>
  <c r="J21" i="11" s="1"/>
  <c r="K22" i="11"/>
  <c r="P41" i="39"/>
  <c r="P46" i="39"/>
  <c r="P51" i="39"/>
  <c r="J54" i="39"/>
  <c r="N54" i="39"/>
  <c r="N56" i="39" s="1"/>
  <c r="O55" i="39"/>
  <c r="P57" i="39"/>
  <c r="O34" i="39"/>
  <c r="O39" i="39"/>
  <c r="O44" i="39"/>
  <c r="O49" i="39"/>
  <c r="J25" i="43"/>
  <c r="N25" i="43"/>
  <c r="O26" i="43"/>
  <c r="O5" i="43"/>
  <c r="O10" i="43"/>
  <c r="O15" i="43"/>
  <c r="O20" i="43"/>
  <c r="P28" i="43"/>
  <c r="O5" i="12"/>
  <c r="P5" i="12"/>
  <c r="P20" i="12"/>
  <c r="K22" i="12"/>
  <c r="O22" i="12" s="1"/>
  <c r="J25" i="12"/>
  <c r="N25" i="12"/>
  <c r="N27" i="12" s="1"/>
  <c r="O26" i="12"/>
  <c r="L27" i="12"/>
  <c r="O10" i="12"/>
  <c r="P28" i="12"/>
  <c r="O22" i="36"/>
  <c r="N21" i="36"/>
  <c r="P22" i="36"/>
  <c r="P23" i="36"/>
  <c r="P10" i="36"/>
  <c r="M5" i="36"/>
  <c r="J23" i="36"/>
  <c r="O23" i="36" s="1"/>
  <c r="J5" i="36"/>
  <c r="N5" i="36"/>
  <c r="P5" i="36" s="1"/>
  <c r="O6" i="36"/>
  <c r="L24" i="36"/>
  <c r="P24" i="36" s="1"/>
  <c r="K21" i="35"/>
  <c r="P22" i="35"/>
  <c r="O22" i="35"/>
  <c r="K5" i="35"/>
  <c r="O5" i="35" s="1"/>
  <c r="M22" i="35"/>
  <c r="M21" i="35" s="1"/>
  <c r="J23" i="35"/>
  <c r="O23" i="35" s="1"/>
  <c r="O6" i="35"/>
  <c r="P10" i="35"/>
  <c r="L5" i="35"/>
  <c r="P5" i="35" s="1"/>
  <c r="L24" i="35"/>
  <c r="P24" i="35" s="1"/>
  <c r="M48" i="38"/>
  <c r="O49" i="38"/>
  <c r="J48" i="38"/>
  <c r="N48" i="38"/>
  <c r="O33" i="38"/>
  <c r="K32" i="38"/>
  <c r="O32" i="38" s="1"/>
  <c r="O37" i="38"/>
  <c r="K51" i="38"/>
  <c r="K48" i="38" s="1"/>
  <c r="P37" i="38"/>
  <c r="L51" i="38"/>
  <c r="P51" i="38" s="1"/>
  <c r="M32" i="38"/>
  <c r="M21" i="38"/>
  <c r="O22" i="38"/>
  <c r="J21" i="38"/>
  <c r="N21" i="38"/>
  <c r="O14" i="38"/>
  <c r="M5" i="38"/>
  <c r="P14" i="38"/>
  <c r="K24" i="38"/>
  <c r="O24" i="38" s="1"/>
  <c r="P10" i="38"/>
  <c r="O6" i="38"/>
  <c r="K23" i="38"/>
  <c r="O23" i="38" s="1"/>
  <c r="O5" i="42"/>
  <c r="O22" i="42"/>
  <c r="N21" i="42"/>
  <c r="P23" i="42"/>
  <c r="P10" i="42"/>
  <c r="O14" i="42"/>
  <c r="L22" i="42"/>
  <c r="M5" i="42"/>
  <c r="P14" i="42"/>
  <c r="J23" i="42"/>
  <c r="O23" i="42" s="1"/>
  <c r="K24" i="42"/>
  <c r="O24" i="42" s="1"/>
  <c r="O6" i="42"/>
  <c r="N21" i="11"/>
  <c r="O24" i="11"/>
  <c r="K21" i="11"/>
  <c r="P23" i="11"/>
  <c r="O14" i="11"/>
  <c r="M5" i="11"/>
  <c r="O10" i="11"/>
  <c r="J5" i="11"/>
  <c r="P22" i="11"/>
  <c r="O5" i="38" l="1"/>
  <c r="L21" i="11"/>
  <c r="O28" i="39"/>
  <c r="O29" i="39"/>
  <c r="O54" i="39"/>
  <c r="K25" i="39"/>
  <c r="K27" i="39" s="1"/>
  <c r="P29" i="39"/>
  <c r="P28" i="39"/>
  <c r="P26" i="39"/>
  <c r="L25" i="39"/>
  <c r="L27" i="39" s="1"/>
  <c r="M25" i="39"/>
  <c r="M27" i="39" s="1"/>
  <c r="N25" i="39"/>
  <c r="N27" i="39" s="1"/>
  <c r="J25" i="39"/>
  <c r="O25" i="39" s="1"/>
  <c r="O26" i="39"/>
  <c r="O25" i="43"/>
  <c r="P25" i="43"/>
  <c r="O25" i="12"/>
  <c r="O5" i="36"/>
  <c r="O51" i="38"/>
  <c r="L21" i="38"/>
  <c r="P21" i="38" s="1"/>
  <c r="O5" i="11"/>
  <c r="P21" i="11"/>
  <c r="O22" i="11"/>
  <c r="P56" i="39"/>
  <c r="P54" i="39"/>
  <c r="J56" i="39"/>
  <c r="O56" i="39" s="1"/>
  <c r="N27" i="43"/>
  <c r="P27" i="43" s="1"/>
  <c r="J27" i="43"/>
  <c r="O27" i="43" s="1"/>
  <c r="P25" i="12"/>
  <c r="P27" i="12"/>
  <c r="J27" i="12"/>
  <c r="O27" i="12" s="1"/>
  <c r="L21" i="36"/>
  <c r="P21" i="36" s="1"/>
  <c r="J21" i="36"/>
  <c r="O21" i="36" s="1"/>
  <c r="L21" i="35"/>
  <c r="P21" i="35" s="1"/>
  <c r="J21" i="35"/>
  <c r="O21" i="35" s="1"/>
  <c r="O48" i="38"/>
  <c r="L48" i="38"/>
  <c r="P48" i="38" s="1"/>
  <c r="K21" i="38"/>
  <c r="O21" i="38" s="1"/>
  <c r="L21" i="42"/>
  <c r="P21" i="42" s="1"/>
  <c r="P22" i="42"/>
  <c r="K21" i="42"/>
  <c r="J21" i="42"/>
  <c r="O21" i="42" s="1"/>
  <c r="O21" i="11"/>
  <c r="J27" i="39" l="1"/>
  <c r="O27" i="39" s="1"/>
  <c r="P27" i="39"/>
  <c r="P25" i="39"/>
  <c r="T12" i="50" l="1"/>
  <c r="T11" i="50"/>
  <c r="T10" i="50"/>
  <c r="T9" i="50"/>
  <c r="T8" i="50"/>
  <c r="T7" i="50"/>
  <c r="S12" i="50"/>
  <c r="S10" i="50"/>
  <c r="S9" i="50"/>
  <c r="S8" i="50"/>
  <c r="S7" i="50"/>
  <c r="S6" i="50"/>
  <c r="S24" i="50"/>
  <c r="S22" i="50"/>
  <c r="S21" i="50"/>
  <c r="S20" i="50"/>
  <c r="S19" i="50"/>
  <c r="T25" i="50"/>
  <c r="T24" i="50"/>
  <c r="T23" i="50"/>
  <c r="T22" i="50"/>
  <c r="T21" i="50"/>
  <c r="T19" i="50"/>
  <c r="S25" i="50"/>
  <c r="N26" i="50"/>
  <c r="O26" i="50"/>
  <c r="S26" i="50" s="1"/>
  <c r="V27" i="47"/>
  <c r="U27" i="47"/>
  <c r="V41" i="47"/>
  <c r="V40" i="47"/>
  <c r="V39" i="47"/>
  <c r="U38" i="47"/>
  <c r="U37" i="47"/>
  <c r="U48" i="47"/>
  <c r="U47" i="47"/>
  <c r="V47" i="47"/>
  <c r="T31" i="47"/>
  <c r="S31" i="47"/>
  <c r="T30" i="47"/>
  <c r="S30" i="47"/>
  <c r="T29" i="47"/>
  <c r="S29" i="47"/>
  <c r="T28" i="47"/>
  <c r="S28" i="47"/>
  <c r="T27" i="47"/>
  <c r="S27" i="47"/>
  <c r="V31" i="47"/>
  <c r="U31" i="47"/>
  <c r="V30" i="47"/>
  <c r="U30" i="47"/>
  <c r="V29" i="47"/>
  <c r="U29" i="47"/>
  <c r="V28" i="47"/>
  <c r="U28" i="47"/>
  <c r="T9" i="47"/>
  <c r="T8" i="47"/>
  <c r="T7" i="47"/>
  <c r="T6" i="47"/>
  <c r="T5" i="47"/>
  <c r="T4" i="47"/>
  <c r="S21" i="47"/>
  <c r="S20" i="47"/>
  <c r="S19" i="47"/>
  <c r="S18" i="47"/>
  <c r="S17" i="47"/>
  <c r="S16" i="47"/>
  <c r="S15" i="47"/>
  <c r="S14" i="47"/>
  <c r="S13" i="47"/>
  <c r="S12" i="47"/>
  <c r="S11" i="47"/>
  <c r="S10" i="47"/>
  <c r="S9" i="47"/>
  <c r="S8" i="47"/>
  <c r="S6" i="47"/>
  <c r="S5" i="47"/>
  <c r="S4" i="47"/>
  <c r="S7" i="47"/>
  <c r="T21" i="47"/>
  <c r="T20" i="47"/>
  <c r="T19" i="47"/>
  <c r="T18" i="47"/>
  <c r="T17" i="47"/>
  <c r="T16" i="47"/>
  <c r="T15" i="47"/>
  <c r="T14" i="47"/>
  <c r="T13" i="47"/>
  <c r="T12" i="47"/>
  <c r="T11" i="47"/>
  <c r="T10" i="47"/>
  <c r="T26" i="50" l="1"/>
  <c r="T52" i="8"/>
  <c r="T51" i="8"/>
  <c r="T50" i="8"/>
  <c r="T49" i="8"/>
  <c r="T42" i="8"/>
  <c r="T41" i="8"/>
  <c r="T40" i="8"/>
  <c r="T4" i="8"/>
  <c r="R15" i="16" l="1"/>
  <c r="U40" i="8" l="1"/>
  <c r="V41" i="8"/>
  <c r="V42" i="8"/>
  <c r="V43" i="8"/>
  <c r="U44" i="8"/>
  <c r="V44" i="8"/>
  <c r="V45" i="8"/>
  <c r="V46" i="8"/>
  <c r="V47" i="8"/>
  <c r="U48" i="8"/>
  <c r="V48" i="8"/>
  <c r="V49" i="8"/>
  <c r="V50" i="8"/>
  <c r="V51" i="8"/>
  <c r="U52" i="8"/>
  <c r="V52" i="8"/>
  <c r="U51" i="8"/>
  <c r="U50" i="8"/>
  <c r="U49" i="8"/>
  <c r="U47" i="8"/>
  <c r="U46" i="8"/>
  <c r="U45" i="8"/>
  <c r="U43" i="8"/>
  <c r="U42" i="8"/>
  <c r="U41" i="8"/>
  <c r="I5" i="16" l="1"/>
  <c r="J5" i="16"/>
  <c r="K5" i="16"/>
  <c r="L5" i="16"/>
  <c r="L23" i="16" s="1"/>
  <c r="M5" i="16"/>
  <c r="I11" i="16"/>
  <c r="J11" i="16"/>
  <c r="K11" i="16"/>
  <c r="K23" i="16" s="1"/>
  <c r="L11" i="16"/>
  <c r="M11" i="16"/>
  <c r="I17" i="16"/>
  <c r="J17" i="16"/>
  <c r="J23" i="16" s="1"/>
  <c r="K17" i="16"/>
  <c r="L17" i="16"/>
  <c r="M17" i="16"/>
  <c r="M23" i="16" s="1"/>
  <c r="I23" i="16"/>
  <c r="T21" i="19" l="1"/>
  <c r="T20" i="19"/>
  <c r="T18" i="19"/>
  <c r="T17" i="19"/>
  <c r="T15" i="19"/>
  <c r="T14" i="19"/>
  <c r="T12" i="19"/>
  <c r="T11" i="19"/>
  <c r="T9" i="19"/>
  <c r="S9" i="19"/>
  <c r="T8" i="19"/>
  <c r="S23" i="50"/>
  <c r="T20" i="50"/>
  <c r="S11" i="50" l="1"/>
  <c r="V51" i="47" l="1"/>
  <c r="V50" i="47"/>
  <c r="V49" i="47"/>
  <c r="V48" i="47"/>
  <c r="U51" i="47"/>
  <c r="U50" i="47"/>
  <c r="U49" i="47"/>
  <c r="V38" i="47"/>
  <c r="V37" i="47"/>
  <c r="U41" i="47"/>
  <c r="U40" i="47"/>
  <c r="U39" i="47"/>
  <c r="V21" i="47" l="1"/>
  <c r="V20" i="47"/>
  <c r="V19" i="47"/>
  <c r="V18" i="47"/>
  <c r="V17" i="47"/>
  <c r="V16" i="47"/>
  <c r="V15" i="47"/>
  <c r="V14" i="47"/>
  <c r="V13" i="47"/>
  <c r="V12" i="47"/>
  <c r="V11" i="47"/>
  <c r="V10" i="47"/>
  <c r="V9" i="47"/>
  <c r="V8" i="47"/>
  <c r="V7" i="47"/>
  <c r="V6" i="47"/>
  <c r="V5" i="47"/>
  <c r="V4" i="47"/>
  <c r="U21" i="47"/>
  <c r="U20" i="47"/>
  <c r="U19" i="47"/>
  <c r="U18" i="47"/>
  <c r="U17" i="47"/>
  <c r="U16" i="47"/>
  <c r="U15" i="47"/>
  <c r="U14" i="47"/>
  <c r="U13" i="47"/>
  <c r="U12" i="47"/>
  <c r="U11" i="47"/>
  <c r="U10" i="47"/>
  <c r="U9" i="47"/>
  <c r="U8" i="47"/>
  <c r="U7" i="47"/>
  <c r="U6" i="47"/>
  <c r="U5" i="47"/>
  <c r="U4" i="47"/>
  <c r="V31" i="8"/>
  <c r="V30" i="8"/>
  <c r="V29" i="8"/>
  <c r="V28" i="8"/>
  <c r="V26" i="8"/>
  <c r="V25" i="8"/>
  <c r="V24" i="8"/>
  <c r="V23" i="8"/>
  <c r="V22" i="8"/>
  <c r="V21" i="8"/>
  <c r="V20" i="8"/>
  <c r="V19" i="8"/>
  <c r="V18" i="8"/>
  <c r="V17" i="8"/>
  <c r="V16" i="8"/>
  <c r="V15" i="8"/>
  <c r="V14" i="8"/>
  <c r="V13" i="8"/>
  <c r="V12" i="8"/>
  <c r="V11" i="8"/>
  <c r="V9" i="8"/>
  <c r="T31" i="8" l="1"/>
  <c r="S31" i="8"/>
  <c r="T30" i="8"/>
  <c r="U30" i="8" s="1"/>
  <c r="S30" i="8"/>
  <c r="T29" i="8"/>
  <c r="S29" i="8"/>
  <c r="T28" i="8"/>
  <c r="S28" i="8"/>
  <c r="T27" i="8"/>
  <c r="S27" i="8"/>
  <c r="T26" i="8"/>
  <c r="S26" i="8"/>
  <c r="T25" i="8"/>
  <c r="S25" i="8"/>
  <c r="T24" i="8"/>
  <c r="S24" i="8"/>
  <c r="T23" i="8"/>
  <c r="S23" i="8"/>
  <c r="T22" i="8"/>
  <c r="S22" i="8"/>
  <c r="T21" i="8"/>
  <c r="U21" i="8" s="1"/>
  <c r="S21" i="8"/>
  <c r="T20" i="8"/>
  <c r="S20" i="8"/>
  <c r="T19" i="8"/>
  <c r="U19" i="8" s="1"/>
  <c r="S19" i="8"/>
  <c r="T18" i="8"/>
  <c r="U18" i="8" s="1"/>
  <c r="S18" i="8"/>
  <c r="T17" i="8"/>
  <c r="U17" i="8" s="1"/>
  <c r="S17" i="8"/>
  <c r="T16" i="8"/>
  <c r="U16" i="8" s="1"/>
  <c r="S16" i="8"/>
  <c r="T15" i="8"/>
  <c r="U15" i="8" s="1"/>
  <c r="S15" i="8"/>
  <c r="T14" i="8"/>
  <c r="U14" i="8" s="1"/>
  <c r="S14" i="8"/>
  <c r="T13" i="8"/>
  <c r="U13" i="8" s="1"/>
  <c r="S13" i="8"/>
  <c r="T12" i="8"/>
  <c r="U12" i="8" s="1"/>
  <c r="S12" i="8"/>
  <c r="T11" i="8"/>
  <c r="U11" i="8" s="1"/>
  <c r="S11" i="8"/>
  <c r="T10" i="8"/>
  <c r="S10" i="8"/>
  <c r="T9" i="8"/>
  <c r="U9" i="8" s="1"/>
  <c r="S9" i="8"/>
  <c r="T8" i="8"/>
  <c r="U8" i="8" s="1"/>
  <c r="S8" i="8"/>
  <c r="T7" i="8"/>
  <c r="U7" i="8" s="1"/>
  <c r="S7" i="8"/>
  <c r="T6" i="8"/>
  <c r="U6" i="8" s="1"/>
  <c r="S6" i="8"/>
  <c r="T5" i="8"/>
  <c r="U5" i="8" s="1"/>
  <c r="S5" i="8"/>
  <c r="S4" i="8"/>
  <c r="U20" i="8" l="1"/>
  <c r="U22" i="8"/>
  <c r="U24" i="8"/>
  <c r="U26" i="8"/>
  <c r="U28" i="8"/>
  <c r="U23" i="8"/>
  <c r="U25" i="8"/>
  <c r="U29" i="8"/>
  <c r="U31" i="8"/>
  <c r="N10" i="10"/>
  <c r="T6" i="50" l="1"/>
  <c r="M6" i="50"/>
  <c r="M10" i="10" l="1"/>
  <c r="M26" i="50" l="1"/>
  <c r="L6" i="50" l="1"/>
  <c r="K6" i="50" l="1"/>
  <c r="L26" i="50" l="1"/>
  <c r="K26" i="50"/>
  <c r="J26" i="50"/>
  <c r="J6" i="50"/>
  <c r="L10" i="10" l="1"/>
  <c r="J10" i="10" l="1"/>
  <c r="K10" i="10" l="1"/>
</calcChain>
</file>

<file path=xl/sharedStrings.xml><?xml version="1.0" encoding="utf-8"?>
<sst xmlns="http://schemas.openxmlformats.org/spreadsheetml/2006/main" count="1330" uniqueCount="398">
  <si>
    <t>Individual</t>
    <phoneticPr fontId="7" type="noConversion"/>
  </si>
  <si>
    <t>Group</t>
    <phoneticPr fontId="7" type="noConversion"/>
  </si>
  <si>
    <t>Retirement-related</t>
    <phoneticPr fontId="7" type="noConversion"/>
  </si>
  <si>
    <t>월초 대신 월납환산? --&gt; 어차피 APE 쓰는 마당에 월초보다 월납환산이 더 적절한 지표일 수도</t>
  </si>
  <si>
    <t>Individual+Group</t>
    <phoneticPr fontId="7" type="noConversion"/>
  </si>
  <si>
    <t>Total (General acc. + Separate acc.)</t>
    <phoneticPr fontId="7" type="noConversion"/>
  </si>
  <si>
    <t>General Account</t>
    <phoneticPr fontId="7" type="noConversion"/>
  </si>
  <si>
    <t>Premium Income by Product-type (2/2)</t>
    <phoneticPr fontId="7" type="noConversion"/>
  </si>
  <si>
    <t>(KRW mn)</t>
    <phoneticPr fontId="7" type="noConversion"/>
  </si>
  <si>
    <t>Separate Account</t>
    <phoneticPr fontId="7" type="noConversion"/>
  </si>
  <si>
    <t>APE by Product-type (1/2)</t>
    <phoneticPr fontId="7" type="noConversion"/>
  </si>
  <si>
    <t>APE by Product-type (1/2)</t>
    <phoneticPr fontId="7" type="noConversion"/>
  </si>
  <si>
    <t>Total (General acc. + Separate acc.)</t>
    <phoneticPr fontId="7" type="noConversion"/>
  </si>
  <si>
    <t>(KRW mn)</t>
    <phoneticPr fontId="7" type="noConversion"/>
  </si>
  <si>
    <t>Individual</t>
    <phoneticPr fontId="7" type="noConversion"/>
  </si>
  <si>
    <t>Group</t>
    <phoneticPr fontId="7" type="noConversion"/>
  </si>
  <si>
    <t>Individual+Group</t>
    <phoneticPr fontId="7" type="noConversion"/>
  </si>
  <si>
    <t>Retirement-related</t>
    <phoneticPr fontId="7" type="noConversion"/>
  </si>
  <si>
    <t>Premium Income by Product-type (2/2)</t>
    <phoneticPr fontId="7" type="noConversion"/>
  </si>
  <si>
    <t>General Account</t>
    <phoneticPr fontId="7" type="noConversion"/>
  </si>
  <si>
    <t>Separate Account</t>
    <phoneticPr fontId="7" type="noConversion"/>
  </si>
  <si>
    <t xml:space="preserve"> </t>
    <phoneticPr fontId="7" type="noConversion"/>
  </si>
  <si>
    <t>(단위 십억원)</t>
    <phoneticPr fontId="7" type="noConversion"/>
  </si>
  <si>
    <t>YoY</t>
    <phoneticPr fontId="7" type="noConversion"/>
  </si>
  <si>
    <t>QoQ</t>
    <phoneticPr fontId="7" type="noConversion"/>
  </si>
  <si>
    <t>≥ 6.0%</t>
    <phoneticPr fontId="7" type="noConversion"/>
  </si>
  <si>
    <t>＜ 6.0%</t>
    <phoneticPr fontId="7" type="noConversion"/>
  </si>
  <si>
    <t>Disclaimer &amp; Contact Information</t>
    <phoneticPr fontId="7" type="noConversion"/>
  </si>
  <si>
    <t>재무현황 (Financial Highlights)</t>
    <phoneticPr fontId="7" type="noConversion"/>
  </si>
  <si>
    <t>상품별 수입보험료 (Premium Income)</t>
    <phoneticPr fontId="7" type="noConversion"/>
  </si>
  <si>
    <t>상품별 초회보험료 (Initial Premium)</t>
    <phoneticPr fontId="7" type="noConversion"/>
  </si>
  <si>
    <t>상품별 초년도보험료 (First Year Premium)</t>
    <phoneticPr fontId="7" type="noConversion"/>
  </si>
  <si>
    <t>채널별 APE (Annualized Premium Equivalent (APE))</t>
    <phoneticPr fontId="7" type="noConversion"/>
  </si>
  <si>
    <t>상품별 APE (Annualized Premium Equivalent (APE))</t>
    <phoneticPr fontId="7" type="noConversion"/>
  </si>
  <si>
    <t>채널별 수입보험료 (Premium Income)</t>
    <phoneticPr fontId="7" type="noConversion"/>
  </si>
  <si>
    <t>채널별 초년도보험료 (First Year Premium)</t>
    <phoneticPr fontId="7" type="noConversion"/>
  </si>
  <si>
    <t>채권 (Bond)</t>
    <phoneticPr fontId="7" type="noConversion"/>
  </si>
  <si>
    <t>재무상태표 (Balance Sheet - KIFRS)</t>
    <phoneticPr fontId="7" type="noConversion"/>
  </si>
  <si>
    <t>손익계산서 (Income Statement - KIFRS)</t>
    <phoneticPr fontId="7" type="noConversion"/>
  </si>
  <si>
    <t xml:space="preserve">                        IR Factsheet</t>
    <phoneticPr fontId="7" type="noConversion"/>
  </si>
  <si>
    <t>재무 안정성 (Financial Stability)</t>
    <phoneticPr fontId="7" type="noConversion"/>
  </si>
  <si>
    <t>생산성 / 경영효율 (Productivity / Operating Efficiency)</t>
    <phoneticPr fontId="7" type="noConversion"/>
  </si>
  <si>
    <t>(Unit: KRW bn)</t>
    <phoneticPr fontId="7" type="noConversion"/>
  </si>
  <si>
    <t>(단위: 십억원)</t>
    <phoneticPr fontId="7" type="noConversion"/>
  </si>
  <si>
    <t>운용자산 (Invested Assets)</t>
    <phoneticPr fontId="7" type="noConversion"/>
  </si>
  <si>
    <t>부채총계 (Total Liabilities)</t>
    <phoneticPr fontId="7" type="noConversion"/>
  </si>
  <si>
    <t>자본총계 (Total Shareholders' Equity)</t>
    <phoneticPr fontId="7" type="noConversion"/>
  </si>
  <si>
    <t>수입보험료 (Premium Income)</t>
    <phoneticPr fontId="7" type="noConversion"/>
  </si>
  <si>
    <t>일반계정 (General Account)</t>
    <phoneticPr fontId="7" type="noConversion"/>
  </si>
  <si>
    <t>영업이익 (Operating Profit)</t>
    <phoneticPr fontId="7" type="noConversion"/>
  </si>
  <si>
    <t>당기순이익 (Net Income)</t>
    <phoneticPr fontId="7" type="noConversion"/>
  </si>
  <si>
    <t>운용자산 이익율(Net Investment Yield)</t>
    <phoneticPr fontId="7" type="noConversion"/>
  </si>
  <si>
    <t>BPS (단위 원) (BPS (KRW))</t>
    <phoneticPr fontId="7" type="noConversion"/>
  </si>
  <si>
    <t>EPS (단위 원) (EPS (KRW))</t>
    <phoneticPr fontId="7" type="noConversion"/>
  </si>
  <si>
    <t>총자산이익율 (Retrun on Asset)</t>
    <phoneticPr fontId="7" type="noConversion"/>
  </si>
  <si>
    <t>총자본이익율 (Return on Equity)</t>
    <phoneticPr fontId="7" type="noConversion"/>
  </si>
  <si>
    <t>(KRW bn)</t>
    <phoneticPr fontId="7" type="noConversion"/>
  </si>
  <si>
    <t>단위 십억원 (KRW bn)</t>
    <phoneticPr fontId="7" type="noConversion"/>
  </si>
  <si>
    <t>사망 (Death)</t>
    <phoneticPr fontId="7" type="noConversion"/>
  </si>
  <si>
    <t>재무안정성 (Financial Stability Index)</t>
    <phoneticPr fontId="7" type="noConversion"/>
  </si>
  <si>
    <t>지급여력금액 (Available Capital) (A)</t>
    <phoneticPr fontId="7" type="noConversion"/>
  </si>
  <si>
    <t>지급여력기준금액 (Required Capital) (B)</t>
    <phoneticPr fontId="7" type="noConversion"/>
  </si>
  <si>
    <t>보험위험액 (Insurance Risk)</t>
    <phoneticPr fontId="7" type="noConversion"/>
  </si>
  <si>
    <t>시장위험액 (Market Risk)</t>
    <phoneticPr fontId="7" type="noConversion"/>
  </si>
  <si>
    <t>신용위험액 (Credit Risk)</t>
    <phoneticPr fontId="7" type="noConversion"/>
  </si>
  <si>
    <t>운영위험액 (Operation Risk)</t>
    <phoneticPr fontId="7" type="noConversion"/>
  </si>
  <si>
    <t>책임준비금 (Premium Reserve Breakdown)</t>
    <phoneticPr fontId="7" type="noConversion"/>
  </si>
  <si>
    <t>연동이율 (Floating rate)</t>
    <phoneticPr fontId="7" type="noConversion"/>
  </si>
  <si>
    <t>고정이율 (Fixed rate)</t>
    <phoneticPr fontId="7" type="noConversion"/>
  </si>
  <si>
    <t>부담이율 (Crediting rate)</t>
    <phoneticPr fontId="7" type="noConversion"/>
  </si>
  <si>
    <t>운용자산 이익율 (Net Investment Yield) (F)</t>
    <phoneticPr fontId="7" type="noConversion"/>
  </si>
  <si>
    <r>
      <t>스프레드 (Spread) (F)</t>
    </r>
    <r>
      <rPr>
        <b/>
        <sz val="8"/>
        <color indexed="60"/>
        <rFont val="맑은 고딕"/>
        <family val="3"/>
        <charset val="129"/>
        <scheme val="major"/>
      </rPr>
      <t>－(E)</t>
    </r>
    <phoneticPr fontId="7" type="noConversion"/>
  </si>
  <si>
    <t>생산성/경영효율 (Productivity / Operating Efficiency)</t>
    <phoneticPr fontId="7" type="noConversion"/>
  </si>
  <si>
    <t>신계약 비율 (New Business ratio)</t>
    <phoneticPr fontId="7" type="noConversion"/>
  </si>
  <si>
    <t>특별계정 (Separate Account)</t>
    <phoneticPr fontId="7" type="noConversion"/>
  </si>
  <si>
    <t>효력상실해약 비율 (Lapses &amp; Surrenders Ratio)</t>
    <phoneticPr fontId="7" type="noConversion"/>
  </si>
  <si>
    <t>13회차 (13th month)</t>
    <phoneticPr fontId="7" type="noConversion"/>
  </si>
  <si>
    <t>25회차 (25th month)</t>
    <phoneticPr fontId="7" type="noConversion"/>
  </si>
  <si>
    <t>전속설계사 (# of Tied Agents)</t>
    <phoneticPr fontId="7" type="noConversion"/>
  </si>
  <si>
    <t>상품별 APE (APE by Product-type)</t>
    <phoneticPr fontId="7" type="noConversion"/>
  </si>
  <si>
    <t>합계 (일반계정 + 특별계정) (Total (General acc. + Separate acc.))</t>
    <phoneticPr fontId="7" type="noConversion"/>
  </si>
  <si>
    <t>단위 십억원 (KRW bn)</t>
    <phoneticPr fontId="7" type="noConversion"/>
  </si>
  <si>
    <t>Accumulated Data</t>
    <phoneticPr fontId="7" type="noConversion"/>
  </si>
  <si>
    <t>Quarterly Data</t>
    <phoneticPr fontId="7" type="noConversion"/>
  </si>
  <si>
    <t>개인보험 (Individual)</t>
    <phoneticPr fontId="7" type="noConversion"/>
  </si>
  <si>
    <t>보장성보험 (Protection-type)</t>
    <phoneticPr fontId="7" type="noConversion"/>
  </si>
  <si>
    <t>종신/CI/정기 (Whole life/CI/Term life)</t>
    <phoneticPr fontId="7" type="noConversion"/>
  </si>
  <si>
    <t>변액종신/CI (Variable whole life/CI)</t>
    <phoneticPr fontId="7" type="noConversion"/>
  </si>
  <si>
    <t>기타보장 (Other protection-type)</t>
    <phoneticPr fontId="7" type="noConversion"/>
  </si>
  <si>
    <t>연금보험 (Annuities)</t>
    <phoneticPr fontId="7" type="noConversion"/>
  </si>
  <si>
    <t>금리확정형 (Fixed-rate)</t>
    <phoneticPr fontId="7" type="noConversion"/>
  </si>
  <si>
    <t>금리연동형 (Floating-rate)</t>
    <phoneticPr fontId="7" type="noConversion"/>
  </si>
  <si>
    <t>변액연금 (Variable)</t>
    <phoneticPr fontId="7" type="noConversion"/>
  </si>
  <si>
    <t>저축보험 (Savings)</t>
    <phoneticPr fontId="7" type="noConversion"/>
  </si>
  <si>
    <t>변액저축 (Variable)</t>
    <phoneticPr fontId="7" type="noConversion"/>
  </si>
  <si>
    <t>단체보험 (Group)</t>
    <phoneticPr fontId="7" type="noConversion"/>
  </si>
  <si>
    <t>단체보장 (Protection-type)</t>
    <phoneticPr fontId="7" type="noConversion"/>
  </si>
  <si>
    <t>단체저축 (Savings)</t>
    <phoneticPr fontId="7" type="noConversion"/>
  </si>
  <si>
    <t>개인보험 + 단체보험 (Individual+Group)</t>
    <phoneticPr fontId="7" type="noConversion"/>
  </si>
  <si>
    <t>연금보험 (Annuities)</t>
    <phoneticPr fontId="7" type="noConversion"/>
  </si>
  <si>
    <t>퇴직관련 보험 (Retirement-related)</t>
    <phoneticPr fontId="7" type="noConversion"/>
  </si>
  <si>
    <t>퇴직보험 (Retirement insurance)</t>
    <phoneticPr fontId="7" type="noConversion"/>
  </si>
  <si>
    <t>퇴직연금 (Corporate pension)</t>
    <phoneticPr fontId="7" type="noConversion"/>
  </si>
  <si>
    <t>합계 (일반계정 + 특별계정) (Total (General acc. + Separate acc.))</t>
    <phoneticPr fontId="7" type="noConversion"/>
  </si>
  <si>
    <t>상품별 수입보험료 (Premium Income by Product type)</t>
    <phoneticPr fontId="7" type="noConversion"/>
  </si>
  <si>
    <t>상품별 초회보험료 (Initial Premium by Product-type)</t>
    <phoneticPr fontId="7" type="noConversion"/>
  </si>
  <si>
    <t>합계 (일반계정 + 특별계정) (Total (General acc. + Separate acc.)</t>
    <phoneticPr fontId="7" type="noConversion"/>
  </si>
  <si>
    <t>상품별 초년도보험료 (First-year Premium by Product-type)</t>
    <phoneticPr fontId="7" type="noConversion"/>
  </si>
  <si>
    <t>채널별 APE (APE by Distribution Channel)</t>
    <phoneticPr fontId="7" type="noConversion"/>
  </si>
  <si>
    <t>개인 (Tied Agent)</t>
    <phoneticPr fontId="7" type="noConversion"/>
  </si>
  <si>
    <t>보장성보험 (Protection-type)</t>
    <phoneticPr fontId="7" type="noConversion"/>
  </si>
  <si>
    <t>% 보장성보험 (% Protection-type)</t>
    <phoneticPr fontId="7" type="noConversion"/>
  </si>
  <si>
    <t>연금보험 (Annuities)</t>
    <phoneticPr fontId="7" type="noConversion"/>
  </si>
  <si>
    <t>저축보험 (Savings)</t>
    <phoneticPr fontId="7" type="noConversion"/>
  </si>
  <si>
    <t>다이렉트 (Tele Marketing)</t>
    <phoneticPr fontId="7" type="noConversion"/>
  </si>
  <si>
    <t>GA (General Agency)</t>
    <phoneticPr fontId="7" type="noConversion"/>
  </si>
  <si>
    <t>방카슈랑스 (Bancassurance)</t>
    <phoneticPr fontId="7" type="noConversion"/>
  </si>
  <si>
    <t>합계 (Total)</t>
    <phoneticPr fontId="7" type="noConversion"/>
  </si>
  <si>
    <t>채널별 수입보험료 (Premium Income by Distribution Channel)</t>
    <phoneticPr fontId="7" type="noConversion"/>
  </si>
  <si>
    <t>채널별 초년도 보험료 (First-year Premium by Distribution Channel)</t>
    <phoneticPr fontId="7" type="noConversion"/>
  </si>
  <si>
    <r>
      <t>[</t>
    </r>
    <r>
      <rPr>
        <b/>
        <sz val="9"/>
        <color theme="1"/>
        <rFont val="돋움"/>
        <family val="3"/>
        <charset val="129"/>
      </rPr>
      <t>일시납</t>
    </r>
    <r>
      <rPr>
        <b/>
        <sz val="9"/>
        <color theme="1"/>
        <rFont val="Arial"/>
        <family val="2"/>
      </rPr>
      <t xml:space="preserve"> - Single premium]</t>
    </r>
    <phoneticPr fontId="7" type="noConversion"/>
  </si>
  <si>
    <r>
      <t>[</t>
    </r>
    <r>
      <rPr>
        <b/>
        <sz val="9"/>
        <color theme="1"/>
        <rFont val="돋움"/>
        <family val="3"/>
        <charset val="129"/>
      </rPr>
      <t>비일시납</t>
    </r>
    <r>
      <rPr>
        <b/>
        <sz val="9"/>
        <color theme="1"/>
        <rFont val="Arial"/>
        <family val="2"/>
      </rPr>
      <t xml:space="preserve"> - Non-single premium]</t>
    </r>
    <phoneticPr fontId="7" type="noConversion"/>
  </si>
  <si>
    <t>단위 십억원,% (KRW bn, %)</t>
    <phoneticPr fontId="7" type="noConversion"/>
  </si>
  <si>
    <t>대출 (Loan Breakdown)</t>
    <phoneticPr fontId="7" type="noConversion"/>
  </si>
  <si>
    <t>자산건전성 (Asset Quality of Loan)</t>
    <phoneticPr fontId="7" type="noConversion"/>
  </si>
  <si>
    <t>대출채권 (Total Loan)</t>
    <phoneticPr fontId="7" type="noConversion"/>
  </si>
  <si>
    <t>정상 (Normal)</t>
    <phoneticPr fontId="7" type="noConversion"/>
  </si>
  <si>
    <t>요주의 (Precautionary)</t>
    <phoneticPr fontId="7" type="noConversion"/>
  </si>
  <si>
    <t>고정이하 (Non Performing Loan (NPL))</t>
    <phoneticPr fontId="7" type="noConversion"/>
  </si>
  <si>
    <t>고정 (Substandard)</t>
    <phoneticPr fontId="7" type="noConversion"/>
  </si>
  <si>
    <t>회수의문 (Doubtful)</t>
    <phoneticPr fontId="7" type="noConversion"/>
  </si>
  <si>
    <t>추정손실 (Estimated Loss)</t>
    <phoneticPr fontId="7" type="noConversion"/>
  </si>
  <si>
    <t>NPL(고정이하) 비율 (NPL ratio)</t>
    <phoneticPr fontId="7" type="noConversion"/>
  </si>
  <si>
    <t>채권 (Bond Breakdown)</t>
    <phoneticPr fontId="7" type="noConversion"/>
  </si>
  <si>
    <t>보험약관대출금 (Policy Loan)</t>
    <phoneticPr fontId="7" type="noConversion"/>
  </si>
  <si>
    <t>콜론 (Call Loan)</t>
    <phoneticPr fontId="7" type="noConversion"/>
  </si>
  <si>
    <t>유가증권담보대출금 (Loans on Securities)</t>
    <phoneticPr fontId="7" type="noConversion"/>
  </si>
  <si>
    <t>신용대출금 (Unsecured Loan)</t>
    <phoneticPr fontId="7" type="noConversion"/>
  </si>
  <si>
    <t>지급보증대출금 (Loans on Acceptance and Guarantee)</t>
    <phoneticPr fontId="7" type="noConversion"/>
  </si>
  <si>
    <t>기타대출금 (Other Loans)</t>
    <phoneticPr fontId="7" type="noConversion"/>
  </si>
  <si>
    <t>부동산담보대출금 (Housing Collateral Loan)</t>
    <phoneticPr fontId="7" type="noConversion"/>
  </si>
  <si>
    <t>퇴직관련 보험 (Retirement-related)</t>
    <phoneticPr fontId="7" type="noConversion"/>
  </si>
  <si>
    <t>단위:원 (KRW)</t>
  </si>
  <si>
    <t>지급여력비율 (K-ICS ratio) (A)÷(B)</t>
  </si>
  <si>
    <t>&lt; IFRS9 기준 &gt;</t>
    <phoneticPr fontId="7" type="noConversion"/>
  </si>
  <si>
    <t>상품별 수입보험료 (Premium Income by Product-type(GA+SA)</t>
    <phoneticPr fontId="7" type="noConversion"/>
  </si>
  <si>
    <t>채널별 수입보험료 (Premium Income by Distribution Channel (GA+SA)</t>
    <phoneticPr fontId="7" type="noConversion"/>
  </si>
  <si>
    <t>대출 (Loan)/ 자산건전성 (Asset Quality of Loan)</t>
    <phoneticPr fontId="7" type="noConversion"/>
  </si>
  <si>
    <t>CSM 상각 (Amortization of CSM)</t>
    <phoneticPr fontId="7" type="noConversion"/>
  </si>
  <si>
    <t>RA 상각  (Amortization of RA)</t>
    <phoneticPr fontId="7" type="noConversion"/>
  </si>
  <si>
    <t>IFRS17, IFRS9</t>
    <phoneticPr fontId="7" type="noConversion"/>
  </si>
  <si>
    <t>&lt;K-ICS 기준&gt;</t>
    <phoneticPr fontId="7" type="noConversion"/>
  </si>
  <si>
    <t>상각후원가측정유가증권 (AC)</t>
    <phoneticPr fontId="7" type="noConversion"/>
  </si>
  <si>
    <t>기타포괄손익-공정가치측정유가증권 (FVOCI)</t>
    <phoneticPr fontId="7" type="noConversion"/>
  </si>
  <si>
    <t xml:space="preserve">당기손익-공정가치측정유가증권 (FVPL) </t>
    <phoneticPr fontId="7" type="noConversion"/>
  </si>
  <si>
    <t>재무현황 (Financial Highlights)</t>
  </si>
  <si>
    <t>보험손익 (Insurance Profit)</t>
    <phoneticPr fontId="7" type="noConversion"/>
  </si>
  <si>
    <t>투자손익 (Investment Profit)</t>
    <phoneticPr fontId="7" type="noConversion"/>
  </si>
  <si>
    <t>영업외손익(Non-Operating Profit)</t>
    <phoneticPr fontId="7" type="noConversion"/>
  </si>
  <si>
    <t>법인세비용차감전순이익 (Earnings Before Income Tax)</t>
    <phoneticPr fontId="7" type="noConversion"/>
  </si>
  <si>
    <t>예실차 (Difference between estimated and actual)</t>
    <phoneticPr fontId="7" type="noConversion"/>
  </si>
  <si>
    <t>기타 (Others)</t>
  </si>
  <si>
    <t>기타 (Others)</t>
    <phoneticPr fontId="7" type="noConversion"/>
  </si>
  <si>
    <t>요약 재무상태표 (Selected Balance Sheet)</t>
    <phoneticPr fontId="7" type="noConversion"/>
  </si>
  <si>
    <t>요약 손익계산서 (Selected Income Statement)</t>
    <phoneticPr fontId="7" type="noConversion"/>
  </si>
  <si>
    <t>신계약 CSM (New Business CSM)</t>
  </si>
  <si>
    <t>신계약 CSM (New Business CSM)</t>
    <phoneticPr fontId="7" type="noConversion"/>
  </si>
  <si>
    <t>(단위 십억원, %)</t>
    <phoneticPr fontId="7" type="noConversion"/>
  </si>
  <si>
    <t>(KRW bn, %)</t>
    <phoneticPr fontId="7" type="noConversion"/>
  </si>
  <si>
    <t>건강 (Health)</t>
    <phoneticPr fontId="7" type="noConversion"/>
  </si>
  <si>
    <t>보장성 (Protection-type)</t>
    <phoneticPr fontId="7" type="noConversion"/>
  </si>
  <si>
    <t>RA, CSM, BEL Movement</t>
  </si>
  <si>
    <t>BEL</t>
    <phoneticPr fontId="7" type="noConversion"/>
  </si>
  <si>
    <t>주요지표 (Key Index)</t>
  </si>
  <si>
    <t>재무 안정성 (Financial Stability)</t>
  </si>
  <si>
    <t>생산성 / 경영효율 (Productivity / Operating Efficiency)</t>
  </si>
  <si>
    <t>상품별 수입보험료 (Premium by Product-type)</t>
  </si>
  <si>
    <t>상품별 APE (Annualized Premium Equivalent (APE))</t>
  </si>
  <si>
    <t>상품별 수입보험료 (Premium Income)</t>
  </si>
  <si>
    <t>상품별 초회보험료 (Initial Premium)</t>
  </si>
  <si>
    <t>상품별 초년도보험료 (First Year Premium)</t>
  </si>
  <si>
    <t>채널별 수입보험료 (Premium by Distribution Channel)</t>
  </si>
  <si>
    <t>채널별 APE (Annualized Premium Equivalent (APE))</t>
  </si>
  <si>
    <t>채널별 수입보험료 (Premium Income)</t>
  </si>
  <si>
    <t>채널별 초년도보험료 (First Year Premium)</t>
  </si>
  <si>
    <t>투자영업 현황 (Investment)</t>
  </si>
  <si>
    <t>대출 (Loan)/ 자산건전성 (Asset Quality of Loan)</t>
  </si>
  <si>
    <t>채권 (Bond)</t>
  </si>
  <si>
    <t>재무제표 (Full Financial Statements)</t>
  </si>
  <si>
    <t>이자부리  (Unwinding)</t>
  </si>
  <si>
    <t>RA</t>
    <phoneticPr fontId="7" type="noConversion"/>
  </si>
  <si>
    <t>기말 RA (Ending RA)</t>
    <phoneticPr fontId="7" type="noConversion"/>
  </si>
  <si>
    <t>기시 RA (Beginning RA)</t>
    <phoneticPr fontId="7" type="noConversion"/>
  </si>
  <si>
    <t>CSM</t>
    <phoneticPr fontId="7" type="noConversion"/>
  </si>
  <si>
    <t>기시 CSM (Beginning CSM)</t>
    <phoneticPr fontId="7" type="noConversion"/>
  </si>
  <si>
    <t>CSM 상각  (Amortization of CSM)</t>
    <phoneticPr fontId="7" type="noConversion"/>
  </si>
  <si>
    <t>기말 CSM (Ending CSM)</t>
    <phoneticPr fontId="7" type="noConversion"/>
  </si>
  <si>
    <t>기시 BEL (Beginning BEL)</t>
    <phoneticPr fontId="7" type="noConversion"/>
  </si>
  <si>
    <t>기말 BEL (Ending BEL)</t>
    <phoneticPr fontId="7" type="noConversion"/>
  </si>
  <si>
    <t>신계약  (New business)</t>
    <phoneticPr fontId="7" type="noConversion"/>
  </si>
  <si>
    <t>당기 현금흐름 (Cashflow)</t>
    <phoneticPr fontId="7" type="noConversion"/>
  </si>
  <si>
    <t>BEL, RA, CSM Movement</t>
    <phoneticPr fontId="7" type="noConversion"/>
  </si>
  <si>
    <t>자산총계 (Total Assets)</t>
    <phoneticPr fontId="7" type="noConversion"/>
  </si>
  <si>
    <t>신계약CSM (New Business CSM)</t>
    <phoneticPr fontId="7" type="noConversion"/>
  </si>
  <si>
    <t>NPL 비율 (NPL Ratio)</t>
    <phoneticPr fontId="7" type="noConversion"/>
  </si>
  <si>
    <t xml:space="preserve">단위 십억원, % </t>
    <phoneticPr fontId="7" type="noConversion"/>
  </si>
  <si>
    <t>국채 (Government Bonds)</t>
  </si>
  <si>
    <t>특수채 (Special Bonds)</t>
  </si>
  <si>
    <t>금융채 (Financial Bonds)</t>
  </si>
  <si>
    <t>회사채 (Corporate Bonds)</t>
  </si>
  <si>
    <t>해외채권(Overseas Bonds)</t>
  </si>
  <si>
    <t>K-ICS 비율 (K-ICS Ratio)</t>
    <phoneticPr fontId="7" type="noConversion"/>
  </si>
  <si>
    <t>요약재무상태표 (Selected Balance sheet)</t>
    <phoneticPr fontId="7" type="noConversion"/>
  </si>
  <si>
    <t>요약손익계산서 (Selected Income Statement)</t>
    <phoneticPr fontId="7" type="noConversion"/>
  </si>
  <si>
    <t>IFRS17, IFRS9</t>
  </si>
  <si>
    <t>증감</t>
    <phoneticPr fontId="7" type="noConversion"/>
  </si>
  <si>
    <t>증감</t>
    <phoneticPr fontId="7" type="noConversion"/>
  </si>
  <si>
    <t>※ 보험약관대출금은 부채차감 항목으로 반영</t>
    <phoneticPr fontId="7" type="noConversion"/>
  </si>
  <si>
    <t>APE 대비 신계약 CSM 배수 (New Business CSM Margin compared to New Business APE)</t>
    <phoneticPr fontId="7" type="noConversion"/>
  </si>
  <si>
    <t>신계약 CSM 배수 (New Business CSM Margin)</t>
    <phoneticPr fontId="7" type="noConversion"/>
  </si>
  <si>
    <t>월초P 대비 신계약 CSM 배수 (New Business CSM Margin compared to Monthly initial premium)</t>
    <phoneticPr fontId="7" type="noConversion"/>
  </si>
  <si>
    <t>Accumulated</t>
    <phoneticPr fontId="7" type="noConversion"/>
  </si>
  <si>
    <t>Accumulated</t>
    <phoneticPr fontId="7" type="noConversion"/>
  </si>
  <si>
    <t>요약재무상태표 (Selected Balance sheet)</t>
  </si>
  <si>
    <t>요약손익계산서 (Selected Income Statement)</t>
  </si>
  <si>
    <t>손해율</t>
    <phoneticPr fontId="7" type="noConversion"/>
  </si>
  <si>
    <t>위험보험료</t>
    <phoneticPr fontId="7" type="noConversion"/>
  </si>
  <si>
    <t>사고보험금</t>
    <phoneticPr fontId="7" type="noConversion"/>
  </si>
  <si>
    <t>IBNR비용</t>
    <phoneticPr fontId="7" type="noConversion"/>
  </si>
  <si>
    <t>IBNR제외시 손해율</t>
    <phoneticPr fontId="7" type="noConversion"/>
  </si>
  <si>
    <t>(단위 십억원, 명, %)</t>
    <phoneticPr fontId="7" type="noConversion"/>
  </si>
  <si>
    <t>(KRW bn, persons, %)</t>
    <phoneticPr fontId="7" type="noConversion"/>
  </si>
  <si>
    <t>저축성 (Savings/Annuities)</t>
    <phoneticPr fontId="7" type="noConversion"/>
  </si>
  <si>
    <t>FY25</t>
  </si>
  <si>
    <t>FY25</t>
    <phoneticPr fontId="7" type="noConversion"/>
  </si>
  <si>
    <t>전체 유지율 (Persistency Ratio)</t>
    <phoneticPr fontId="7" type="noConversion"/>
  </si>
  <si>
    <t>보장성 유지율 (Protection-type Persistency Ratio)</t>
    <phoneticPr fontId="7" type="noConversion"/>
  </si>
  <si>
    <r>
      <t>*단체</t>
    </r>
    <r>
      <rPr>
        <sz val="8"/>
        <color theme="1"/>
        <rFont val="돋움"/>
        <family val="2"/>
        <charset val="129"/>
      </rPr>
      <t>, 퇴직 제외</t>
    </r>
    <phoneticPr fontId="7" type="noConversion"/>
  </si>
  <si>
    <t>*단체, 퇴직 제외</t>
  </si>
  <si>
    <t>*2 공통 경과조치 적용 후 기준</t>
  </si>
  <si>
    <t>*2 공통 경과조치 적용 후 기준</t>
    <phoneticPr fontId="7" type="noConversion"/>
  </si>
  <si>
    <t>연  결  손 익 계 산 서 (Income Statement) - K-IFRS</t>
    <phoneticPr fontId="7" type="noConversion"/>
  </si>
  <si>
    <t>연  결  재 무 상 태 표 (Balance Sheet) - K-IFRS</t>
    <phoneticPr fontId="7" type="noConversion"/>
  </si>
  <si>
    <t>보험부채_CSM (Contract Service Margin)</t>
    <phoneticPr fontId="7" type="noConversion"/>
  </si>
  <si>
    <t>자산 (Assets)</t>
  </si>
  <si>
    <t xml:space="preserve">  2. 기타포괄손익공정가치측정유가증권 (Financial assets at fair value through other comprehensive income)</t>
    <phoneticPr fontId="45" type="noConversion"/>
  </si>
  <si>
    <t xml:space="preserve">  1. 순확정급여자산(Net defined benefit assets)</t>
  </si>
  <si>
    <t xml:space="preserve">  3. 이연법인세자산 (Deferred tax assets)</t>
  </si>
  <si>
    <t xml:space="preserve">  4. 그밖의기타자산 (Others)</t>
  </si>
  <si>
    <t>부채 (Liabilities)</t>
  </si>
  <si>
    <t xml:space="preserve">  1. 당기손익인식금융부채 (Financial liabilities at fair value through profit or loss)</t>
  </si>
  <si>
    <t xml:space="preserve">  1. 충당부채 (Provisions)</t>
  </si>
  <si>
    <t xml:space="preserve">  2. 순확정급여채무 (Net defined benefit liabilities)</t>
  </si>
  <si>
    <t xml:space="preserve">  4. 이연법인세부채 (Deferred tax liabilities)</t>
  </si>
  <si>
    <t xml:space="preserve">  5. 그밖의기타부채 (Others)</t>
  </si>
  <si>
    <t>자본 (Shareholders' equity)</t>
  </si>
  <si>
    <t>연결재무상태표 (Consolidated Balance Sheet - KIFRS)</t>
    <phoneticPr fontId="7" type="noConversion"/>
  </si>
  <si>
    <t>연결손익계산서 (Consolidated Income Statement - KIFRS)</t>
    <phoneticPr fontId="7" type="noConversion"/>
  </si>
  <si>
    <t>Ⅲ. 투자계약부채 (Investment contract liabilities)</t>
    <phoneticPr fontId="7" type="noConversion"/>
  </si>
  <si>
    <t>Ⅰ.자산총계 (Total assets)</t>
    <phoneticPr fontId="7" type="noConversion"/>
  </si>
  <si>
    <t xml:space="preserve"> ⅰ.현금및현금성자산 (Cash and cash equivalents)</t>
    <phoneticPr fontId="7" type="noConversion"/>
  </si>
  <si>
    <t>ⅰ. 현금및현금성자산 (Cash and cash equivalents)</t>
    <phoneticPr fontId="7" type="noConversion"/>
  </si>
  <si>
    <t>ⅱ. 금융자산 (Financial assets)</t>
    <phoneticPr fontId="7" type="noConversion"/>
  </si>
  <si>
    <t>FVPL (Financial assets at fair value through profit or loss)</t>
    <phoneticPr fontId="7" type="noConversion"/>
  </si>
  <si>
    <t>FVOCI (Financial assets at fair value through other comprehensive income)</t>
    <phoneticPr fontId="7" type="noConversion"/>
  </si>
  <si>
    <t>AC (Financial assets at amortized cost)</t>
    <phoneticPr fontId="7" type="noConversion"/>
  </si>
  <si>
    <t>ⅲ. 관계기업투자자산 (Investments accounted for using equity method)</t>
    <phoneticPr fontId="7" type="noConversion"/>
  </si>
  <si>
    <t>ⅳ. 유형자산 (Property, plant and equipment)</t>
    <phoneticPr fontId="7" type="noConversion"/>
  </si>
  <si>
    <t>ⅴ. 투자부동산 (Investment properties)</t>
    <phoneticPr fontId="7" type="noConversion"/>
  </si>
  <si>
    <r>
      <rPr>
        <sz val="8"/>
        <rFont val="맑은 고딕"/>
        <family val="3"/>
        <charset val="129"/>
      </rPr>
      <t xml:space="preserve">ⅵ. </t>
    </r>
    <r>
      <rPr>
        <sz val="8"/>
        <rFont val="맑은 고딕"/>
        <family val="3"/>
        <charset val="129"/>
        <scheme val="major"/>
      </rPr>
      <t>무형자산 (Intangible assets other than goodwill)</t>
    </r>
    <phoneticPr fontId="7" type="noConversion"/>
  </si>
  <si>
    <r>
      <rPr>
        <sz val="8"/>
        <rFont val="맑은 고딕"/>
        <family val="3"/>
        <charset val="129"/>
      </rPr>
      <t xml:space="preserve">ⅶ. </t>
    </r>
    <r>
      <rPr>
        <sz val="8"/>
        <rFont val="맑은 고딕"/>
        <family val="3"/>
        <charset val="129"/>
        <scheme val="major"/>
      </rPr>
      <t>기타자산 (Other assets)</t>
    </r>
    <phoneticPr fontId="7" type="noConversion"/>
  </si>
  <si>
    <t>ⅷ. 재보험계약자산 (Reinsurance contracts assets)</t>
    <phoneticPr fontId="7" type="noConversion"/>
  </si>
  <si>
    <t>Ⅱ. 부채총계 (Total liabilities)</t>
    <phoneticPr fontId="7" type="noConversion"/>
  </si>
  <si>
    <t>ⅰ. 보험계약부채 (Insurance contracts issued that are liabilities)</t>
    <phoneticPr fontId="7" type="noConversion"/>
  </si>
  <si>
    <t>CSM (Contract service margin)</t>
    <phoneticPr fontId="7" type="noConversion"/>
  </si>
  <si>
    <t>ⅱ. 투자계약부채 (Investment contracts liabilities)</t>
    <phoneticPr fontId="7" type="noConversion"/>
  </si>
  <si>
    <t>ⅲ. 금융부채 (Financial liabilities)</t>
    <phoneticPr fontId="7" type="noConversion"/>
  </si>
  <si>
    <t>사채 (Borrowings)</t>
    <phoneticPr fontId="7" type="noConversion"/>
  </si>
  <si>
    <t>ⅳ. 기타부채 (Other liabilities)</t>
    <phoneticPr fontId="7" type="noConversion"/>
  </si>
  <si>
    <t>ⅴ. 재보험계약부채 (Reinsurance contracts assets)</t>
    <phoneticPr fontId="7" type="noConversion"/>
  </si>
  <si>
    <t>Ⅲ. 자본총계 (Total Shareholders' Equity)</t>
    <phoneticPr fontId="7" type="noConversion"/>
  </si>
  <si>
    <t>ⅰ. 자본금 (Issued capital)</t>
    <phoneticPr fontId="7" type="noConversion"/>
  </si>
  <si>
    <t>ⅱ. 자본잉여금 (Capital surplus)</t>
    <phoneticPr fontId="7" type="noConversion"/>
  </si>
  <si>
    <t>ⅲ. 신종자본증권 (Hybrid bonds)</t>
    <phoneticPr fontId="7" type="noConversion"/>
  </si>
  <si>
    <t>ⅴ. 자본조정 (Capital Adjustments)</t>
    <phoneticPr fontId="7" type="noConversion"/>
  </si>
  <si>
    <t>ⅵ. 기타포괄손익누계액 (Accumulated other comprehensive income)</t>
    <phoneticPr fontId="7" type="noConversion"/>
  </si>
  <si>
    <t>ⅳ. 이익잉여금 (Retained earnings)</t>
    <phoneticPr fontId="7" type="noConversion"/>
  </si>
  <si>
    <t>자본과부채총계 (Total Shareholders' Equity and liabilities)</t>
    <phoneticPr fontId="7" type="noConversion"/>
  </si>
  <si>
    <t>보험손익 (Insurance service result)</t>
    <phoneticPr fontId="7" type="noConversion"/>
  </si>
  <si>
    <t>이자(배당)손익 (Interest(dividend) income or expense)</t>
    <phoneticPr fontId="7" type="noConversion"/>
  </si>
  <si>
    <t>비이자손익(Non-Interest profit)</t>
    <phoneticPr fontId="7" type="noConversion"/>
  </si>
  <si>
    <t>보험금융손익 (Insurance financial expense)</t>
  </si>
  <si>
    <t>영업이익(또는영업손실) ((Profit (loss) from operating activities)</t>
    <phoneticPr fontId="7" type="noConversion"/>
  </si>
  <si>
    <t>영업외손익 (Non-operating profit or loss)</t>
    <phoneticPr fontId="7" type="noConversion"/>
  </si>
  <si>
    <t>법인세비용차감전순이익 (Profit (loss) before income taxes)</t>
    <phoneticPr fontId="7" type="noConversion"/>
  </si>
  <si>
    <t xml:space="preserve">  1. 당기손익공정가치측정금융자산 (Financial assets at fair value through profit or loss)</t>
    <phoneticPr fontId="45" type="noConversion"/>
  </si>
  <si>
    <t xml:space="preserve">  3. 상각후원가측정금융자산 (Financial assets at amortized cost)</t>
    <phoneticPr fontId="45" type="noConversion"/>
  </si>
  <si>
    <t xml:space="preserve">  4. 위험회피목적파생상품자산 (Derivative financial assets held for hedging)</t>
    <phoneticPr fontId="45" type="noConversion"/>
  </si>
  <si>
    <t>Ⅶ. 기타자산 (Other assets)</t>
    <phoneticPr fontId="7" type="noConversion"/>
  </si>
  <si>
    <t xml:space="preserve">  2. 당기법인세자산 (Current tax assets)</t>
    <phoneticPr fontId="7" type="noConversion"/>
  </si>
  <si>
    <t>Ⅷ. 보험계약자산 (Insurance contract assets)</t>
    <phoneticPr fontId="7" type="noConversion"/>
  </si>
  <si>
    <t>Ⅸ. 재보험계약자산 (Reinsurance contract assets)</t>
    <phoneticPr fontId="7" type="noConversion"/>
  </si>
  <si>
    <t>Ⅰ. 보험계약부채 (Insurance contracts issued that are liabilities)</t>
    <phoneticPr fontId="7" type="noConversion"/>
  </si>
  <si>
    <t>Ⅱ. 재보험계약부채 (Reinsurance contracts held that are liabilities)</t>
    <phoneticPr fontId="7" type="noConversion"/>
  </si>
  <si>
    <t>Ⅳ. 금융부채 (Financial liabilities)</t>
    <phoneticPr fontId="7" type="noConversion"/>
  </si>
  <si>
    <t xml:space="preserve">  2. 사채 (Borrowings)</t>
    <phoneticPr fontId="7" type="noConversion"/>
  </si>
  <si>
    <t xml:space="preserve">  3. 기타금융부채 (Other financial liabilities)</t>
    <phoneticPr fontId="45" type="noConversion"/>
  </si>
  <si>
    <t xml:space="preserve">  4. 위험회피목적파생상품부채 (Derivative financial liabilities held for hedging)</t>
    <phoneticPr fontId="45" type="noConversion"/>
  </si>
  <si>
    <t>Ⅴ. 기타부채 (Other liabilities)</t>
    <phoneticPr fontId="7" type="noConversion"/>
  </si>
  <si>
    <t>Ⅰ. 자본금 (Issued capital)</t>
    <phoneticPr fontId="7" type="noConversion"/>
  </si>
  <si>
    <t>자본과 부채총계 (Total Shareholders' Equity and liabilities)</t>
    <phoneticPr fontId="7" type="noConversion"/>
  </si>
  <si>
    <t>Ⅰ. 보험손익 (Insurance service result)</t>
    <phoneticPr fontId="7" type="noConversion"/>
  </si>
  <si>
    <t xml:space="preserve">  1. 보험영업수익 (Operating income, insurance)</t>
    <phoneticPr fontId="7" type="noConversion"/>
  </si>
  <si>
    <t xml:space="preserve">    (1) 보험수익 (Insurance revenue)</t>
    <phoneticPr fontId="7" type="noConversion"/>
  </si>
  <si>
    <t xml:space="preserve">       가. 예상 발생보험금 (Expected incurred claims)</t>
    <phoneticPr fontId="7" type="noConversion"/>
  </si>
  <si>
    <t xml:space="preserve">       나. 예상 손해조사비용 (Expected claims investigation cost)</t>
    <phoneticPr fontId="7" type="noConversion"/>
  </si>
  <si>
    <t xml:space="preserve">       다. 예상 유지비용 (Expected maintenance cost)</t>
    <phoneticPr fontId="7" type="noConversion"/>
  </si>
  <si>
    <t xml:space="preserve">       라. 예상 투자관리비용 (Expected investment management cost)</t>
    <phoneticPr fontId="7" type="noConversion"/>
  </si>
  <si>
    <t xml:space="preserve">       마. 위험조정 변동 (Changes in the risk adjustment)</t>
    <phoneticPr fontId="7" type="noConversion"/>
  </si>
  <si>
    <t xml:space="preserve">       바. 제공된 서비스의 보험계약마진 (CSM recognized in profit or loss for service provided)</t>
    <phoneticPr fontId="7" type="noConversion"/>
  </si>
  <si>
    <t xml:space="preserve">       사. 보험취득현금흐름 기간배분 (Insurance acquisition cash flows amortization)</t>
    <phoneticPr fontId="7" type="noConversion"/>
  </si>
  <si>
    <t xml:space="preserve">       아. 손실요소 배분액 (Allocation on revenue from onerous contract)</t>
    <phoneticPr fontId="7" type="noConversion"/>
  </si>
  <si>
    <t xml:space="preserve">    (2) 재보험수익 (Income from amounts recovered from reinsurer)</t>
    <phoneticPr fontId="7" type="noConversion"/>
  </si>
  <si>
    <t xml:space="preserve">  2. 보험서비스비용 (Operating expense, insurance)</t>
    <phoneticPr fontId="7" type="noConversion"/>
  </si>
  <si>
    <t xml:space="preserve">    (1) 보험비용 (Insurance service expenses from insurance contracts issued)</t>
    <phoneticPr fontId="7" type="noConversion"/>
  </si>
  <si>
    <t xml:space="preserve">       가. 실제 발생보험금 (Actual incurred claims)</t>
    <phoneticPr fontId="7" type="noConversion"/>
  </si>
  <si>
    <t xml:space="preserve">       나. 실제 손해조사비용 (Actual incurred claims)</t>
    <phoneticPr fontId="7" type="noConversion"/>
  </si>
  <si>
    <t xml:space="preserve">       다. 실제 유지비용 (Actual maintenance cost)</t>
    <phoneticPr fontId="7" type="noConversion"/>
  </si>
  <si>
    <t xml:space="preserve">       라. 실제 투자관리비용 (Actual investment management cost)</t>
    <phoneticPr fontId="7" type="noConversion"/>
  </si>
  <si>
    <t xml:space="preserve">       마. 손실부담계약 전환입 (Reversal of losses on onerous contracts)</t>
    <phoneticPr fontId="7" type="noConversion"/>
  </si>
  <si>
    <t xml:space="preserve">       바. 발생사고요소 변동 (Changes that relate to past sevice-adjustmens)</t>
    <phoneticPr fontId="7" type="noConversion"/>
  </si>
  <si>
    <t xml:space="preserve">       아. 손실요소 배분액 (Allocation on expense from onerous contract)</t>
    <phoneticPr fontId="7" type="noConversion"/>
  </si>
  <si>
    <t xml:space="preserve">       자. 기타 (Others)</t>
    <phoneticPr fontId="7" type="noConversion"/>
  </si>
  <si>
    <t xml:space="preserve">    (2) 재보험비용 (Expenses from allocation of premiums paid to reinsurer)</t>
    <phoneticPr fontId="7" type="noConversion"/>
  </si>
  <si>
    <t xml:space="preserve">    (3) 기타사업비용 (Other operating expense, insurance)</t>
    <phoneticPr fontId="7" type="noConversion"/>
  </si>
  <si>
    <t>Ⅱ. 투자손익 (Net Investment Income)</t>
    <phoneticPr fontId="7" type="noConversion"/>
  </si>
  <si>
    <t xml:space="preserve">  1. 투자영업수익 (Operating income, investment)</t>
    <phoneticPr fontId="7" type="noConversion"/>
  </si>
  <si>
    <t xml:space="preserve">    (1) 보험금융수익 (Insurance finance income)</t>
    <phoneticPr fontId="7" type="noConversion"/>
  </si>
  <si>
    <t xml:space="preserve">    (2) 재보험금융수익 (Finance income from reinsurance contracts held)</t>
    <phoneticPr fontId="7" type="noConversion"/>
  </si>
  <si>
    <t xml:space="preserve">    (3) 이자수익 (Interest income)</t>
    <phoneticPr fontId="7" type="noConversion"/>
  </si>
  <si>
    <t xml:space="preserve">    (4) 배당금수익 (Dividend income)</t>
    <phoneticPr fontId="7" type="noConversion"/>
  </si>
  <si>
    <t xml:space="preserve">    (5) 당기손익-공정가치측정금융상품관련이익 (Gains from financial instruments at fair value through profit or loss)</t>
    <phoneticPr fontId="7" type="noConversion"/>
  </si>
  <si>
    <t xml:space="preserve">    (6) 기타포괄손익-공정가치측정금융상품관련이익 (Gains from financial instruments at fair value through OCI)</t>
    <phoneticPr fontId="7" type="noConversion"/>
  </si>
  <si>
    <t xml:space="preserve">    (7) 상각후원가측정금융상품관련이익 (Gains arising from derecognition of financial instruments measured at amortized cost)</t>
    <phoneticPr fontId="7" type="noConversion"/>
  </si>
  <si>
    <t xml:space="preserve">    (8) 신용손실충당금 환입액 (Reversals of impairment losses of financial assets)</t>
    <phoneticPr fontId="7" type="noConversion"/>
  </si>
  <si>
    <t xml:space="preserve">    (9) 외화거래이익 (Foreign exchange gains)</t>
    <phoneticPr fontId="7" type="noConversion"/>
  </si>
  <si>
    <t xml:space="preserve">    (10) 파생상품관련수익 (Gains from derivatives)</t>
    <phoneticPr fontId="7" type="noConversion"/>
  </si>
  <si>
    <t xml:space="preserve">    (11) 수수료수익 (Fee and commission income)</t>
    <phoneticPr fontId="7" type="noConversion"/>
  </si>
  <si>
    <t xml:space="preserve">    (12) 기타투자수익 (Other operating income, investment)</t>
    <phoneticPr fontId="7" type="noConversion"/>
  </si>
  <si>
    <t xml:space="preserve">  2. 투자영업비용 (Operating expense, investment)</t>
    <phoneticPr fontId="7" type="noConversion"/>
  </si>
  <si>
    <t xml:space="preserve">    (1) 보험금융비용 (Insurance finance expense)</t>
    <phoneticPr fontId="7" type="noConversion"/>
  </si>
  <si>
    <t xml:space="preserve">    (2) 이자비용 (Interest expense)</t>
    <phoneticPr fontId="7" type="noConversion"/>
  </si>
  <si>
    <t xml:space="preserve">    (3) 당기손익-공정가치측정금융상품관련손실 (Losses from financial instruments at fair value through profit or loss)</t>
    <phoneticPr fontId="7" type="noConversion"/>
  </si>
  <si>
    <t xml:space="preserve">    (4) 기타포괄손익-공정가치측정금융상품관련손실 (Losses from financial instruments at fair value through OCI)</t>
    <phoneticPr fontId="7" type="noConversion"/>
  </si>
  <si>
    <t xml:space="preserve">    (5) 상각후원가측정금융상품관련손실 (Losses arising from derecognition of financial instruments measured at amortized cost)</t>
    <phoneticPr fontId="7" type="noConversion"/>
  </si>
  <si>
    <t xml:space="preserve">    (6) 신용손실충당금 전입액 (Additional impairment losses of financial assets)</t>
    <phoneticPr fontId="7" type="noConversion"/>
  </si>
  <si>
    <t xml:space="preserve">    (7) 외화거래손실 (Foreign exchange losses)</t>
    <phoneticPr fontId="7" type="noConversion"/>
  </si>
  <si>
    <t xml:space="preserve">    (8) 파생상품관련비용 (Losses from derivatives)</t>
    <phoneticPr fontId="7" type="noConversion"/>
  </si>
  <si>
    <t xml:space="preserve">    (9) 재산관리비 (Investment administrative expense)</t>
    <phoneticPr fontId="7" type="noConversion"/>
  </si>
  <si>
    <t xml:space="preserve">    (10) 기타투자비용 (Other operating expense, investment)</t>
    <phoneticPr fontId="7" type="noConversion"/>
  </si>
  <si>
    <t>Ⅲ. 영업이익(손실) (Profit (loss) from operating activities)</t>
    <phoneticPr fontId="7" type="noConversion"/>
  </si>
  <si>
    <t>Ⅳ. 영업외수익 (Non-operating Income)</t>
    <phoneticPr fontId="7" type="noConversion"/>
  </si>
  <si>
    <t>Ⅴ. 영업외비용 (Non-operating expense)</t>
    <phoneticPr fontId="7" type="noConversion"/>
  </si>
  <si>
    <t>Ⅵ. 법인세차감전순이익 (Profit (loss) before income taxes)</t>
    <phoneticPr fontId="7" type="noConversion"/>
  </si>
  <si>
    <t>Ⅶ. 법인세비용 (Income tax expenses)</t>
    <phoneticPr fontId="7" type="noConversion"/>
  </si>
  <si>
    <t>Ⅷ. 당기순이익(손실) (Net Income)</t>
    <phoneticPr fontId="7" type="noConversion"/>
  </si>
  <si>
    <t>Ⅱ. 금융자산 (Financial assets)</t>
    <phoneticPr fontId="7" type="noConversion"/>
  </si>
  <si>
    <t>Ⅰ. 현금및현금성자산 (Cash and cash equivalents)</t>
    <phoneticPr fontId="7" type="noConversion"/>
  </si>
  <si>
    <t>자산 총계 (Total assets)</t>
    <phoneticPr fontId="7" type="noConversion"/>
  </si>
  <si>
    <t>부채 총계 (Total liabilities)</t>
    <phoneticPr fontId="7" type="noConversion"/>
  </si>
  <si>
    <t>자본 총계 (Total shareholders' equity)</t>
    <phoneticPr fontId="7" type="noConversion"/>
  </si>
  <si>
    <t>Ⅱ. 자본잉여금 (Capital surplus)</t>
    <phoneticPr fontId="7" type="noConversion"/>
  </si>
  <si>
    <t>보험금예실차 (Claims experience variance)</t>
    <phoneticPr fontId="7" type="noConversion"/>
  </si>
  <si>
    <t>사업비예실차 (Expense experience variance)</t>
    <phoneticPr fontId="7" type="noConversion"/>
  </si>
  <si>
    <t>FY26</t>
    <phoneticPr fontId="7" type="noConversion"/>
  </si>
  <si>
    <t>FY2025.12월</t>
    <phoneticPr fontId="7" type="noConversion"/>
  </si>
  <si>
    <t>As of Dec 31, 2025(Consolidated)</t>
    <phoneticPr fontId="7" type="noConversion"/>
  </si>
  <si>
    <t xml:space="preserve">                                 As of June. 2026</t>
    <phoneticPr fontId="7" type="noConversion"/>
  </si>
  <si>
    <t>*1 K-ICS Ratio : 2026.1H 비율은 추정치로 추후 업데이트 예정</t>
    <phoneticPr fontId="7" type="noConversion"/>
  </si>
  <si>
    <t>FY25.1H</t>
    <phoneticPr fontId="7" type="noConversion"/>
  </si>
  <si>
    <t>FY26.1H</t>
    <phoneticPr fontId="7" type="noConversion"/>
  </si>
  <si>
    <t>Jun '26</t>
    <phoneticPr fontId="7" type="noConversion"/>
  </si>
  <si>
    <t>Jun '25</t>
    <phoneticPr fontId="7" type="noConversion"/>
  </si>
  <si>
    <t>FY25</t>
    <phoneticPr fontId="7" type="noConversion"/>
  </si>
  <si>
    <t>FY2026.6월</t>
    <phoneticPr fontId="7" type="noConversion"/>
  </si>
  <si>
    <t>Ⅲ. 유형자산 (Property, plant and equipment)</t>
    <phoneticPr fontId="7" type="noConversion"/>
  </si>
  <si>
    <t>Ⅳ. 투자부동산 (Invesment properties)</t>
    <phoneticPr fontId="7" type="noConversion"/>
  </si>
  <si>
    <t>Ⅴ. 무형자산 (Intangible assets other than goodwill)</t>
    <phoneticPr fontId="7" type="noConversion"/>
  </si>
  <si>
    <t>Ⅵ. 매각예정자산 (Disposal of held for sale)</t>
    <phoneticPr fontId="7" type="noConversion"/>
  </si>
  <si>
    <t xml:space="preserve">  3. 당기법인세부채 (Current tax liabilities)</t>
    <phoneticPr fontId="7" type="noConversion"/>
  </si>
  <si>
    <t>Ⅲ. 자본조정 (Capital adjustments)</t>
    <phoneticPr fontId="7" type="noConversion"/>
  </si>
  <si>
    <t>Ⅳ. 기타포괄손익누계액 (Accumulated other comprehensive income)</t>
    <phoneticPr fontId="7" type="noConversion"/>
  </si>
  <si>
    <t>Ⅴ. 이익잉여금 (Retained earnings)</t>
    <phoneticPr fontId="7" type="noConversion"/>
  </si>
  <si>
    <t>FY2025.6월</t>
    <phoneticPr fontId="7" type="noConversion"/>
  </si>
  <si>
    <t>n.a.</t>
    <phoneticPr fontId="7" type="noConversion"/>
  </si>
  <si>
    <t>As of Jun 30, 2026(Consolidated)</t>
    <phoneticPr fontId="7" type="noConversion"/>
  </si>
  <si>
    <t>For the 6 months Ends Jun 30, 2026(Consolidated)</t>
    <phoneticPr fontId="7" type="noConversion"/>
  </si>
  <si>
    <t>For the 6 months Ends Jun 30, 2025(Consolidated)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</si>
</sst>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 #,##0_-;_-* &quot;-&quot;_-;_-@_-"/>
    <numFmt numFmtId="43" formatCode="_-* #,##0.00_-;\-* #,##0.00_-;_-* &quot;-&quot;??_-;_-@_-"/>
    <numFmt numFmtId="176" formatCode="#,##0.0_);[Red]\(#,##0.0\)"/>
    <numFmt numFmtId="177" formatCode="0.0%"/>
    <numFmt numFmtId="178" formatCode="mmm\ \'yy"/>
    <numFmt numFmtId="179" formatCode="#,##0_);[Red]\(#,##0\)"/>
    <numFmt numFmtId="180" formatCode="0.0_ "/>
    <numFmt numFmtId="181" formatCode="#,##0_ "/>
    <numFmt numFmtId="182" formatCode="#,##0.0_);\(#,##0.0\)"/>
    <numFmt numFmtId="183" formatCode="#,##0.0_ "/>
    <numFmt numFmtId="184" formatCode="#,##0_ ;[Red]\-#,##0\ "/>
    <numFmt numFmtId="185" formatCode="0.0%\P"/>
    <numFmt numFmtId="186" formatCode="#,##0_);\(#,##0\)"/>
    <numFmt numFmtId="187" formatCode="_-* #,##0.0_-;\-* #,##0.0_-;_-* &quot;-&quot;_-;_-@_-"/>
    <numFmt numFmtId="188" formatCode="_-[$€-2]* #,##0.00_-;\-[$€-2]* #,##0.00_-;_-[$€-2]* &quot;-&quot;??_-"/>
    <numFmt numFmtId="189" formatCode="_ * #,##0_ ;_ * \-#,##0_ ;_ * &quot;-&quot;_ ;_ @_ "/>
    <numFmt numFmtId="190" formatCode="_ * #,##0.00_ ;_ * \-#,##0.00_ ;_ * &quot;-&quot;??_ ;_ @_ "/>
    <numFmt numFmtId="191" formatCode="&quot;₩&quot;#,##0;[Red]&quot;₩&quot;\-#,##0"/>
    <numFmt numFmtId="192" formatCode="#,##0.0"/>
    <numFmt numFmtId="193" formatCode="0.00_ "/>
    <numFmt numFmtId="194" formatCode="#,##0.0&quot;배&quot;"/>
    <numFmt numFmtId="195" formatCode="0.00%\P"/>
    <numFmt numFmtId="196" formatCode="0.0"/>
    <numFmt numFmtId="197" formatCode="_-* #,##0.00_-;\-* #,##0.00_-;_-* &quot;-&quot;_-;_-@_-"/>
    <numFmt numFmtId="198" formatCode="0.000%"/>
    <numFmt numFmtId="199" formatCode="0.0_);[Red]\(0.0\)"/>
    <numFmt numFmtId="200" formatCode="#,##0;[Red]\(#,##0\);\-"/>
  </numFmts>
  <fonts count="154">
    <font>
      <sz val="9"/>
      <color theme="1"/>
      <name val="맑은 고딕"/>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font>
    <font>
      <sz val="9"/>
      <name val="Arial"/>
      <family val="2"/>
    </font>
    <font>
      <b/>
      <sz val="9"/>
      <name val="Arial Black"/>
      <family val="2"/>
    </font>
    <font>
      <b/>
      <sz val="8"/>
      <name val="맑은 고딕"/>
      <family val="3"/>
      <charset val="129"/>
    </font>
    <font>
      <b/>
      <sz val="8"/>
      <name val="Arial"/>
      <family val="2"/>
    </font>
    <font>
      <sz val="8"/>
      <name val="Arial"/>
      <family val="2"/>
    </font>
    <font>
      <i/>
      <sz val="8"/>
      <name val="Arial"/>
      <family val="2"/>
    </font>
    <font>
      <b/>
      <sz val="13"/>
      <name val="맑은 고딕"/>
      <family val="3"/>
      <charset val="129"/>
    </font>
    <font>
      <sz val="13"/>
      <name val="맑은 고딕"/>
      <family val="3"/>
      <charset val="129"/>
    </font>
    <font>
      <b/>
      <sz val="18"/>
      <name val="맑은 고딕"/>
      <family val="3"/>
      <charset val="129"/>
    </font>
    <font>
      <sz val="18"/>
      <name val="맑은 고딕"/>
      <family val="3"/>
      <charset val="129"/>
    </font>
    <font>
      <sz val="9"/>
      <color theme="1"/>
      <name val="맑은 고딕"/>
      <family val="3"/>
      <charset val="129"/>
    </font>
    <font>
      <sz val="9"/>
      <color theme="1"/>
      <name val="Arial"/>
      <family val="2"/>
    </font>
    <font>
      <sz val="9"/>
      <color theme="0"/>
      <name val="Arial"/>
      <family val="2"/>
    </font>
    <font>
      <b/>
      <sz val="9"/>
      <color theme="1"/>
      <name val="Arial"/>
      <family val="2"/>
    </font>
    <font>
      <b/>
      <sz val="14"/>
      <color theme="1"/>
      <name val="Arial"/>
      <family val="2"/>
    </font>
    <font>
      <b/>
      <sz val="9"/>
      <color theme="0"/>
      <name val="Arial Black"/>
      <family val="2"/>
    </font>
    <font>
      <b/>
      <sz val="11"/>
      <color theme="1"/>
      <name val="Arial Black"/>
      <family val="2"/>
    </font>
    <font>
      <b/>
      <sz val="14"/>
      <color theme="1"/>
      <name val="Arial Black"/>
      <family val="2"/>
    </font>
    <font>
      <b/>
      <sz val="8"/>
      <color theme="1"/>
      <name val="Arial"/>
      <family val="2"/>
    </font>
    <font>
      <sz val="8"/>
      <color theme="1"/>
      <name val="Arial"/>
      <family val="2"/>
    </font>
    <font>
      <b/>
      <sz val="8"/>
      <color rgb="FFC00000"/>
      <name val="Arial"/>
      <family val="2"/>
    </font>
    <font>
      <b/>
      <sz val="8"/>
      <color theme="1"/>
      <name val="맑은 고딕"/>
      <family val="3"/>
      <charset val="129"/>
    </font>
    <font>
      <b/>
      <sz val="8"/>
      <color rgb="FFC00000"/>
      <name val="맑은 고딕"/>
      <family val="3"/>
      <charset val="129"/>
    </font>
    <font>
      <sz val="9"/>
      <color theme="1"/>
      <name val="Arial Black"/>
      <family val="2"/>
    </font>
    <font>
      <i/>
      <sz val="9"/>
      <color theme="1"/>
      <name val="Arial"/>
      <family val="2"/>
    </font>
    <font>
      <i/>
      <sz val="8"/>
      <color rgb="FFC00000"/>
      <name val="Arial"/>
      <family val="2"/>
    </font>
    <font>
      <sz val="13"/>
      <color theme="1"/>
      <name val="맑은 고딕"/>
      <family val="3"/>
      <charset val="129"/>
    </font>
    <font>
      <b/>
      <sz val="9"/>
      <color theme="4" tint="-0.249977111117893"/>
      <name val="Arial Black"/>
      <family val="2"/>
    </font>
    <font>
      <sz val="9"/>
      <color theme="4" tint="-0.249977111117893"/>
      <name val="Arial"/>
      <family val="2"/>
    </font>
    <font>
      <sz val="18"/>
      <color theme="1"/>
      <name val="맑은 고딕"/>
      <family val="3"/>
      <charset val="129"/>
    </font>
    <font>
      <sz val="11"/>
      <name val="돋움"/>
      <family val="3"/>
      <charset val="129"/>
    </font>
    <font>
      <sz val="10"/>
      <name val="굴림"/>
      <family val="3"/>
      <charset val="129"/>
    </font>
    <font>
      <sz val="10"/>
      <color theme="1"/>
      <name val="Arial"/>
      <family val="2"/>
    </font>
    <font>
      <sz val="11"/>
      <color theme="1"/>
      <name val="맑은 고딕"/>
      <family val="3"/>
      <charset val="129"/>
      <scheme val="minor"/>
    </font>
    <font>
      <sz val="8"/>
      <color rgb="FFC00000"/>
      <name val="Arial"/>
      <family val="2"/>
    </font>
    <font>
      <sz val="8"/>
      <color theme="1"/>
      <name val="맑은 고딕"/>
      <family val="3"/>
      <charset val="129"/>
    </font>
    <font>
      <b/>
      <sz val="8"/>
      <name val="맑은 고딕"/>
      <family val="3"/>
      <charset val="129"/>
      <scheme val="minor"/>
    </font>
    <font>
      <sz val="8"/>
      <name val="맑은 고딕"/>
      <family val="3"/>
      <charset val="129"/>
      <scheme val="minor"/>
    </font>
    <font>
      <b/>
      <sz val="40"/>
      <color theme="0"/>
      <name val="HY강B"/>
      <family val="1"/>
      <charset val="129"/>
    </font>
    <font>
      <b/>
      <sz val="9"/>
      <color theme="0"/>
      <name val="돋움"/>
      <family val="3"/>
      <charset val="129"/>
    </font>
    <font>
      <b/>
      <sz val="14"/>
      <color theme="1"/>
      <name val="맑은 고딕"/>
      <family val="3"/>
      <charset val="129"/>
      <scheme val="major"/>
    </font>
    <font>
      <b/>
      <sz val="8"/>
      <color theme="1"/>
      <name val="맑은 고딕"/>
      <family val="3"/>
      <charset val="129"/>
      <scheme val="major"/>
    </font>
    <font>
      <b/>
      <sz val="8"/>
      <name val="맑은 고딕"/>
      <family val="3"/>
      <charset val="129"/>
      <scheme val="major"/>
    </font>
    <font>
      <sz val="8"/>
      <name val="맑은 고딕"/>
      <family val="3"/>
      <charset val="129"/>
      <scheme val="major"/>
    </font>
    <font>
      <b/>
      <sz val="8"/>
      <color rgb="FFC00000"/>
      <name val="맑은 고딕"/>
      <family val="3"/>
      <charset val="129"/>
      <scheme val="major"/>
    </font>
    <font>
      <b/>
      <sz val="14"/>
      <color theme="1"/>
      <name val="맑은 고딕"/>
      <family val="3"/>
      <charset val="129"/>
      <scheme val="minor"/>
    </font>
    <font>
      <b/>
      <sz val="8"/>
      <color theme="1"/>
      <name val="맑은 고딕"/>
      <family val="3"/>
      <charset val="129"/>
      <scheme val="minor"/>
    </font>
    <font>
      <sz val="8"/>
      <color theme="1"/>
      <name val="맑은 고딕"/>
      <family val="3"/>
      <charset val="129"/>
      <scheme val="minor"/>
    </font>
    <font>
      <b/>
      <sz val="8"/>
      <color indexed="60"/>
      <name val="맑은 고딕"/>
      <family val="3"/>
      <charset val="129"/>
      <scheme val="major"/>
    </font>
    <font>
      <b/>
      <sz val="9"/>
      <color theme="1"/>
      <name val="맑은 고딕"/>
      <family val="3"/>
      <charset val="129"/>
      <scheme val="major"/>
    </font>
    <font>
      <sz val="9"/>
      <color theme="1"/>
      <name val="맑은 고딕"/>
      <family val="3"/>
      <charset val="129"/>
      <scheme val="major"/>
    </font>
    <font>
      <sz val="8"/>
      <color theme="1"/>
      <name val="맑은 고딕"/>
      <family val="3"/>
      <charset val="129"/>
      <scheme val="major"/>
    </font>
    <font>
      <b/>
      <sz val="9"/>
      <color theme="1"/>
      <name val="맑은 고딕"/>
      <family val="3"/>
      <charset val="129"/>
      <scheme val="minor"/>
    </font>
    <font>
      <sz val="9"/>
      <color theme="1"/>
      <name val="맑은 고딕"/>
      <family val="3"/>
      <charset val="129"/>
      <scheme val="minor"/>
    </font>
    <font>
      <b/>
      <sz val="8"/>
      <color rgb="FFC00000"/>
      <name val="맑은 고딕"/>
      <family val="3"/>
      <charset val="129"/>
      <scheme val="minor"/>
    </font>
    <font>
      <i/>
      <sz val="8"/>
      <name val="맑은 고딕"/>
      <family val="3"/>
      <charset val="129"/>
      <scheme val="minor"/>
    </font>
    <font>
      <i/>
      <sz val="8"/>
      <color rgb="FFC00000"/>
      <name val="맑은 고딕"/>
      <family val="3"/>
      <charset val="129"/>
      <scheme val="minor"/>
    </font>
    <font>
      <b/>
      <sz val="9"/>
      <color theme="1"/>
      <name val="돋움"/>
      <family val="3"/>
      <charset val="129"/>
    </font>
    <font>
      <u/>
      <sz val="9"/>
      <color theme="10"/>
      <name val="맑은 고딕"/>
      <family val="3"/>
      <charset val="129"/>
    </font>
    <font>
      <u/>
      <sz val="9"/>
      <color theme="0"/>
      <name val="맑은 고딕"/>
      <family val="3"/>
      <charset val="129"/>
    </font>
    <font>
      <sz val="9"/>
      <color theme="0"/>
      <name val="Arial Black"/>
      <family val="2"/>
    </font>
    <font>
      <sz val="8"/>
      <color theme="1"/>
      <name val="돋움"/>
      <family val="3"/>
      <charset val="129"/>
    </font>
    <font>
      <b/>
      <sz val="8"/>
      <name val="Arial Black"/>
      <family val="2"/>
    </font>
    <font>
      <sz val="8"/>
      <color theme="4" tint="-0.249977111117893"/>
      <name val="Arial"/>
      <family val="2"/>
    </font>
    <font>
      <b/>
      <sz val="8"/>
      <color theme="4" tint="-0.249977111117893"/>
      <name val="Arial Black"/>
      <family val="2"/>
    </font>
    <font>
      <b/>
      <u/>
      <sz val="8"/>
      <color theme="10"/>
      <name val="맑은 고딕"/>
      <family val="3"/>
      <charset val="129"/>
    </font>
    <font>
      <b/>
      <sz val="8"/>
      <color theme="4" tint="-0.249977111117893"/>
      <name val="Arial"/>
      <family val="2"/>
    </font>
    <font>
      <b/>
      <sz val="9"/>
      <color theme="4" tint="-0.249977111117893"/>
      <name val="Arial"/>
      <family val="2"/>
    </font>
    <font>
      <sz val="9"/>
      <color theme="1"/>
      <name val="맑은 고딕"/>
      <family val="2"/>
      <charset val="129"/>
      <scheme val="minor"/>
    </font>
    <font>
      <sz val="10"/>
      <color indexed="8"/>
      <name val="Arial"/>
      <family val="2"/>
    </font>
    <font>
      <sz val="11"/>
      <color rgb="FF000000"/>
      <name val="맑은 고딕"/>
      <family val="3"/>
      <charset val="129"/>
    </font>
    <font>
      <b/>
      <sz val="13"/>
      <color theme="1"/>
      <name val="맑은 고딕"/>
      <family val="3"/>
      <charset val="129"/>
    </font>
    <font>
      <b/>
      <sz val="14"/>
      <color rgb="FFFFFFFF"/>
      <name val="맑은 고딕"/>
      <family val="3"/>
      <charset val="129"/>
    </font>
    <font>
      <sz val="10"/>
      <name val="맑은 고딕"/>
      <family val="3"/>
      <charset val="129"/>
    </font>
    <font>
      <sz val="12"/>
      <name val="맑은 고딕"/>
      <family val="3"/>
      <charset val="129"/>
    </font>
    <font>
      <b/>
      <sz val="11"/>
      <name val="맑은 고딕"/>
      <family val="3"/>
      <charset val="129"/>
    </font>
    <font>
      <sz val="11"/>
      <name val="맑은 고딕"/>
      <family val="3"/>
      <charset val="129"/>
    </font>
    <font>
      <sz val="10"/>
      <color rgb="FF000000"/>
      <name val="맑은 고딕"/>
      <family val="3"/>
      <charset val="129"/>
    </font>
    <font>
      <b/>
      <sz val="11"/>
      <color rgb="FF000000"/>
      <name val="맑은 고딕"/>
      <family val="3"/>
      <charset val="129"/>
    </font>
    <font>
      <b/>
      <sz val="10"/>
      <color rgb="FF000000"/>
      <name val="맑은 고딕"/>
      <family val="3"/>
      <charset val="129"/>
    </font>
    <font>
      <b/>
      <sz val="11"/>
      <name val="맑은 고딕"/>
      <family val="3"/>
      <charset val="129"/>
      <scheme val="minor"/>
    </font>
    <font>
      <sz val="11"/>
      <name val="맑은 고딕"/>
      <family val="3"/>
      <charset val="129"/>
      <scheme val="minor"/>
    </font>
    <font>
      <b/>
      <sz val="11"/>
      <color theme="1"/>
      <name val="맑은 고딕"/>
      <family val="3"/>
      <charset val="129"/>
      <scheme val="minor"/>
    </font>
    <font>
      <sz val="8"/>
      <name val="맑은 고딕"/>
      <family val="2"/>
      <charset val="129"/>
    </font>
    <font>
      <sz val="9"/>
      <color theme="1"/>
      <name val="맑은 고딕"/>
      <family val="2"/>
      <charset val="129"/>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8"/>
      <color theme="3"/>
      <name val="맑은 고딕"/>
      <family val="2"/>
      <charset val="129"/>
      <scheme val="major"/>
    </font>
    <font>
      <sz val="11"/>
      <color rgb="FF9C6500"/>
      <name val="맑은 고딕"/>
      <family val="2"/>
      <charset val="129"/>
      <scheme val="minor"/>
    </font>
    <font>
      <sz val="11"/>
      <color theme="1"/>
      <name val="굴림"/>
      <family val="2"/>
      <charset val="129"/>
    </font>
    <font>
      <sz val="11"/>
      <color theme="1"/>
      <name val="굴림"/>
      <family val="3"/>
      <charset val="129"/>
    </font>
    <font>
      <sz val="10"/>
      <name val="MS Sans Serif"/>
      <family val="2"/>
    </font>
    <font>
      <sz val="12"/>
      <name val="바탕체"/>
      <family val="1"/>
      <charset val="129"/>
    </font>
    <font>
      <sz val="10"/>
      <name val="Arial"/>
      <family val="2"/>
    </font>
    <font>
      <b/>
      <sz val="12"/>
      <name val="Arial"/>
      <family val="2"/>
    </font>
    <font>
      <b/>
      <sz val="11"/>
      <name val="Helv"/>
      <family val="2"/>
    </font>
    <font>
      <b/>
      <sz val="8"/>
      <color rgb="FF000000"/>
      <name val="맑은 고딕"/>
      <family val="3"/>
      <charset val="129"/>
    </font>
    <font>
      <sz val="9"/>
      <color theme="1"/>
      <name val="바탕"/>
      <family val="2"/>
      <charset val="129"/>
    </font>
    <font>
      <sz val="9"/>
      <color theme="1"/>
      <name val="Arial"/>
      <family val="3"/>
      <charset val="129"/>
    </font>
    <font>
      <b/>
      <sz val="9"/>
      <color theme="1"/>
      <name val="맑은 고딕"/>
      <family val="3"/>
      <charset val="129"/>
    </font>
    <font>
      <sz val="8"/>
      <color rgb="FFC00000"/>
      <name val="맑은 고딕"/>
      <family val="3"/>
      <charset val="129"/>
      <scheme val="major"/>
    </font>
    <font>
      <b/>
      <sz val="10"/>
      <color theme="0"/>
      <name val="맑은 고딕"/>
      <family val="3"/>
      <charset val="129"/>
      <scheme val="minor"/>
    </font>
    <font>
      <b/>
      <sz val="12"/>
      <color theme="1"/>
      <name val="맑은 고딕"/>
      <family val="3"/>
      <charset val="129"/>
      <scheme val="minor"/>
    </font>
    <font>
      <sz val="11"/>
      <color theme="1"/>
      <name val="맑은 고딕"/>
      <family val="2"/>
      <charset val="129"/>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b/>
      <sz val="10"/>
      <color theme="1"/>
      <name val="Arial"/>
      <family val="2"/>
    </font>
    <font>
      <b/>
      <i/>
      <sz val="14"/>
      <color theme="1"/>
      <name val="Arial"/>
      <family val="2"/>
    </font>
    <font>
      <b/>
      <sz val="14"/>
      <name val="Arial"/>
      <family val="2"/>
    </font>
    <font>
      <b/>
      <sz val="14"/>
      <color rgb="FFC00000"/>
      <name val="Arial"/>
      <family val="2"/>
    </font>
    <font>
      <sz val="8"/>
      <color rgb="FFC00000"/>
      <name val="맑은 고딕"/>
      <family val="3"/>
      <charset val="129"/>
    </font>
    <font>
      <sz val="8"/>
      <color theme="1"/>
      <name val="맑은 고딕"/>
      <family val="2"/>
      <charset val="129"/>
    </font>
    <font>
      <b/>
      <sz val="14"/>
      <color theme="1"/>
      <name val="맑은 고딕"/>
      <family val="2"/>
      <charset val="129"/>
    </font>
    <font>
      <sz val="9"/>
      <color theme="1"/>
      <name val="돋움"/>
      <family val="2"/>
      <charset val="129"/>
    </font>
    <font>
      <sz val="8"/>
      <color theme="1"/>
      <name val="돋움"/>
      <family val="2"/>
      <charset val="129"/>
    </font>
    <font>
      <b/>
      <sz val="8"/>
      <color rgb="FFC00000"/>
      <name val="맑은 고딕"/>
      <family val="2"/>
      <charset val="129"/>
    </font>
    <font>
      <sz val="9"/>
      <color theme="1"/>
      <name val="Arial"/>
      <family val="3"/>
    </font>
    <font>
      <sz val="9"/>
      <color rgb="FF000000"/>
      <name val="우리다움 R"/>
      <family val="3"/>
      <charset val="129"/>
    </font>
    <font>
      <sz val="9"/>
      <name val="맑은 고딕"/>
      <family val="3"/>
      <charset val="129"/>
    </font>
    <font>
      <sz val="10"/>
      <color theme="1"/>
      <name val="맑은 고딕"/>
      <family val="3"/>
      <charset val="129"/>
      <scheme val="major"/>
    </font>
    <font>
      <sz val="10"/>
      <color rgb="FF000000"/>
      <name val="맑은 고딕"/>
      <family val="3"/>
      <charset val="129"/>
      <scheme val="major"/>
    </font>
  </fonts>
  <fills count="45">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17375D"/>
        <bgColor indexed="64"/>
      </patternFill>
    </fill>
    <fill>
      <patternFill patternType="solid">
        <fgColor rgb="FFF2DDDC"/>
        <bgColor indexed="64"/>
      </patternFill>
    </fill>
    <fill>
      <patternFill patternType="solid">
        <fgColor rgb="FFF2DCDB"/>
        <bgColor indexed="64"/>
      </patternFill>
    </fill>
    <fill>
      <patternFill patternType="solid">
        <fgColor rgb="FF17375E"/>
        <bgColor rgb="FF17375D"/>
      </patternFill>
    </fill>
    <fill>
      <patternFill patternType="solid">
        <fgColor rgb="FFFFFFFF"/>
        <bgColor rgb="FFDBEEF4"/>
      </patternFill>
    </fill>
    <fill>
      <patternFill patternType="solid">
        <fgColor rgb="FFDCE6F2"/>
        <bgColor rgb="FFDBEEF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9CDE5"/>
        <bgColor rgb="FFD8D8D8"/>
      </patternFill>
    </fill>
    <fill>
      <patternFill patternType="solid">
        <fgColor rgb="FF002060"/>
        <bgColor indexed="64"/>
      </patternFill>
    </fill>
  </fills>
  <borders count="57">
    <border>
      <left/>
      <right/>
      <top/>
      <bottom/>
      <diagonal/>
    </border>
    <border>
      <left/>
      <right/>
      <top style="thin">
        <color indexed="64"/>
      </top>
      <bottom/>
      <diagonal/>
    </border>
    <border>
      <left/>
      <right/>
      <top/>
      <bottom style="thin">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top style="dotted">
        <color indexed="64"/>
      </top>
      <bottom style="hair">
        <color indexed="64"/>
      </bottom>
      <diagonal/>
    </border>
    <border>
      <left style="thin">
        <color indexed="64"/>
      </left>
      <right/>
      <top style="dotted">
        <color indexed="64"/>
      </top>
      <bottom style="hair">
        <color indexed="64"/>
      </bottom>
      <diagonal/>
    </border>
    <border>
      <left style="thin">
        <color indexed="64"/>
      </left>
      <right/>
      <top/>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thin">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style="thin">
        <color indexed="64"/>
      </left>
      <right/>
      <top style="thin">
        <color indexed="64"/>
      </top>
      <bottom/>
      <diagonal/>
    </border>
    <border>
      <left style="thin">
        <color indexed="64"/>
      </left>
      <right/>
      <top style="dotted">
        <color indexed="64"/>
      </top>
      <bottom style="dotted">
        <color indexed="64"/>
      </bottom>
      <diagonal/>
    </border>
    <border>
      <left/>
      <right/>
      <top style="thin">
        <color indexed="64"/>
      </top>
      <bottom style="thin">
        <color indexed="64"/>
      </bottom>
      <diagonal/>
    </border>
    <border>
      <left/>
      <right/>
      <top style="dotted">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dotted">
        <color indexed="64"/>
      </bottom>
      <diagonal/>
    </border>
    <border>
      <left/>
      <right style="thin">
        <color indexed="64"/>
      </right>
      <top style="dotted">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right/>
      <top/>
      <bottom style="hair">
        <color auto="1"/>
      </bottom>
      <diagonal/>
    </border>
    <border>
      <left/>
      <right/>
      <top style="hair">
        <color indexed="64"/>
      </top>
      <bottom/>
      <diagonal/>
    </border>
    <border>
      <left/>
      <right style="thin">
        <color indexed="64"/>
      </right>
      <top style="dotted">
        <color indexed="64"/>
      </top>
      <bottom style="thin">
        <color indexed="64"/>
      </bottom>
      <diagonal/>
    </border>
    <border>
      <left/>
      <right style="thin">
        <color indexed="64"/>
      </right>
      <top/>
      <bottom style="hair">
        <color auto="1"/>
      </bottom>
      <diagonal/>
    </border>
    <border>
      <left style="thin">
        <color indexed="64"/>
      </left>
      <right/>
      <top style="dotted">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right style="hair">
        <color indexed="64"/>
      </right>
      <top/>
      <bottom style="hair">
        <color auto="1"/>
      </bottom>
      <diagonal/>
    </border>
    <border>
      <left/>
      <right style="thin">
        <color indexed="64"/>
      </right>
      <top/>
      <bottom style="dotted">
        <color indexed="64"/>
      </bottom>
      <diagonal/>
    </border>
    <border>
      <left/>
      <right style="hair">
        <color indexed="64"/>
      </right>
      <top style="hair">
        <color auto="1"/>
      </top>
      <bottom/>
      <diagonal/>
    </border>
    <border>
      <left style="hair">
        <color indexed="64"/>
      </left>
      <right/>
      <top style="thin">
        <color indexed="64"/>
      </top>
      <bottom/>
      <diagonal/>
    </border>
    <border>
      <left style="thin">
        <color indexed="64"/>
      </left>
      <right/>
      <top style="hair">
        <color indexed="64"/>
      </top>
      <bottom/>
      <diagonal/>
    </border>
    <border>
      <left style="thin">
        <color indexed="64"/>
      </left>
      <right/>
      <top/>
      <bottom style="hair">
        <color auto="1"/>
      </bottom>
      <diagonal/>
    </border>
    <border>
      <left/>
      <right style="thin">
        <color indexed="64"/>
      </right>
      <top style="hair">
        <color auto="1"/>
      </top>
      <bottom/>
      <diagonal/>
    </border>
  </borders>
  <cellStyleXfs count="1065">
    <xf numFmtId="0" fontId="0" fillId="0" borderId="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0" fontId="38" fillId="0" borderId="0">
      <alignment vertical="center"/>
    </xf>
    <xf numFmtId="0" fontId="39" fillId="0" borderId="0">
      <alignment vertical="center"/>
    </xf>
    <xf numFmtId="0" fontId="38" fillId="0" borderId="0">
      <alignment vertical="center"/>
    </xf>
    <xf numFmtId="0" fontId="40" fillId="0" borderId="0">
      <alignment vertical="center"/>
    </xf>
    <xf numFmtId="41" fontId="40" fillId="0" borderId="0" applyFont="0" applyFill="0" applyBorder="0" applyAlignment="0" applyProtection="0">
      <alignment vertical="center"/>
    </xf>
    <xf numFmtId="0" fontId="41" fillId="0" borderId="0">
      <alignment vertical="center"/>
    </xf>
    <xf numFmtId="0" fontId="40" fillId="0" borderId="0">
      <alignment vertical="center"/>
    </xf>
    <xf numFmtId="0" fontId="66" fillId="0" borderId="0" applyNumberFormat="0" applyFill="0" applyBorder="0" applyAlignment="0" applyProtection="0">
      <alignment vertical="top"/>
      <protection locked="0"/>
    </xf>
    <xf numFmtId="0" fontId="6" fillId="0" borderId="0">
      <alignment vertical="center"/>
    </xf>
    <xf numFmtId="41" fontId="38" fillId="0" borderId="0" applyFont="0" applyFill="0" applyBorder="0" applyAlignment="0" applyProtection="0">
      <alignment vertical="center"/>
    </xf>
    <xf numFmtId="188" fontId="5" fillId="0" borderId="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0" fontId="4" fillId="0" borderId="0">
      <alignment vertical="center"/>
    </xf>
    <xf numFmtId="41" fontId="18" fillId="0" borderId="0" applyFont="0" applyFill="0" applyBorder="0" applyAlignment="0" applyProtection="0">
      <alignment vertical="center"/>
    </xf>
    <xf numFmtId="41" fontId="40" fillId="0" borderId="0" applyFont="0" applyFill="0" applyBorder="0" applyAlignment="0" applyProtection="0">
      <alignment vertical="center"/>
    </xf>
    <xf numFmtId="0" fontId="3" fillId="0" borderId="0">
      <alignment vertical="center"/>
    </xf>
    <xf numFmtId="41" fontId="38" fillId="0" borderId="0" applyFont="0" applyFill="0" applyBorder="0" applyAlignment="0" applyProtection="0">
      <alignment vertical="center"/>
    </xf>
    <xf numFmtId="188" fontId="3" fillId="0" borderId="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0" fontId="3" fillId="0" borderId="0">
      <alignment vertical="center"/>
    </xf>
    <xf numFmtId="0" fontId="93" fillId="0" borderId="32" applyNumberFormat="0" applyFill="0" applyAlignment="0" applyProtection="0">
      <alignment vertical="center"/>
    </xf>
    <xf numFmtId="0" fontId="94" fillId="0" borderId="33" applyNumberFormat="0" applyFill="0" applyAlignment="0" applyProtection="0">
      <alignment vertical="center"/>
    </xf>
    <xf numFmtId="0" fontId="95" fillId="0" borderId="34" applyNumberFormat="0" applyFill="0" applyAlignment="0" applyProtection="0">
      <alignment vertical="center"/>
    </xf>
    <xf numFmtId="0" fontId="95" fillId="0" borderId="0" applyNumberFormat="0" applyFill="0" applyBorder="0" applyAlignment="0" applyProtection="0">
      <alignment vertical="center"/>
    </xf>
    <xf numFmtId="0" fontId="96" fillId="12" borderId="0" applyNumberFormat="0" applyBorder="0" applyAlignment="0" applyProtection="0">
      <alignment vertical="center"/>
    </xf>
    <xf numFmtId="0" fontId="97" fillId="13" borderId="0" applyNumberFormat="0" applyBorder="0" applyAlignment="0" applyProtection="0">
      <alignment vertical="center"/>
    </xf>
    <xf numFmtId="0" fontId="98" fillId="15" borderId="35" applyNumberFormat="0" applyAlignment="0" applyProtection="0">
      <alignment vertical="center"/>
    </xf>
    <xf numFmtId="0" fontId="99" fillId="16" borderId="36" applyNumberFormat="0" applyAlignment="0" applyProtection="0">
      <alignment vertical="center"/>
    </xf>
    <xf numFmtId="0" fontId="100" fillId="16" borderId="35" applyNumberFormat="0" applyAlignment="0" applyProtection="0">
      <alignment vertical="center"/>
    </xf>
    <xf numFmtId="0" fontId="101" fillId="0" borderId="37" applyNumberFormat="0" applyFill="0" applyAlignment="0" applyProtection="0">
      <alignment vertical="center"/>
    </xf>
    <xf numFmtId="0" fontId="102" fillId="17" borderId="38" applyNumberFormat="0" applyAlignment="0" applyProtection="0">
      <alignment vertical="center"/>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40" applyNumberFormat="0" applyFill="0" applyAlignment="0" applyProtection="0">
      <alignment vertical="center"/>
    </xf>
    <xf numFmtId="0" fontId="106"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106" fillId="23" borderId="0" applyNumberFormat="0" applyBorder="0" applyAlignment="0" applyProtection="0">
      <alignment vertical="center"/>
    </xf>
    <xf numFmtId="0" fontId="2" fillId="24" borderId="0" applyNumberFormat="0" applyBorder="0" applyAlignment="0" applyProtection="0">
      <alignment vertical="center"/>
    </xf>
    <xf numFmtId="0" fontId="2" fillId="25" borderId="0" applyNumberFormat="0" applyBorder="0" applyAlignment="0" applyProtection="0">
      <alignment vertical="center"/>
    </xf>
    <xf numFmtId="0" fontId="106" fillId="27" borderId="0" applyNumberFormat="0" applyBorder="0" applyAlignment="0" applyProtection="0">
      <alignment vertical="center"/>
    </xf>
    <xf numFmtId="0" fontId="2" fillId="28" borderId="0" applyNumberFormat="0" applyBorder="0" applyAlignment="0" applyProtection="0">
      <alignment vertical="center"/>
    </xf>
    <xf numFmtId="0" fontId="2" fillId="29" borderId="0" applyNumberFormat="0" applyBorder="0" applyAlignment="0" applyProtection="0">
      <alignment vertical="center"/>
    </xf>
    <xf numFmtId="0" fontId="106" fillId="31" borderId="0" applyNumberFormat="0" applyBorder="0" applyAlignment="0" applyProtection="0">
      <alignment vertical="center"/>
    </xf>
    <xf numFmtId="0" fontId="2" fillId="32" borderId="0" applyNumberFormat="0" applyBorder="0" applyAlignment="0" applyProtection="0">
      <alignment vertical="center"/>
    </xf>
    <xf numFmtId="0" fontId="2" fillId="33" borderId="0" applyNumberFormat="0" applyBorder="0" applyAlignment="0" applyProtection="0">
      <alignment vertical="center"/>
    </xf>
    <xf numFmtId="0" fontId="106" fillId="35" borderId="0" applyNumberFormat="0" applyBorder="0" applyAlignment="0" applyProtection="0">
      <alignment vertical="center"/>
    </xf>
    <xf numFmtId="0" fontId="2" fillId="36" borderId="0" applyNumberFormat="0" applyBorder="0" applyAlignment="0" applyProtection="0">
      <alignment vertical="center"/>
    </xf>
    <xf numFmtId="0" fontId="2" fillId="37" borderId="0" applyNumberFormat="0" applyBorder="0" applyAlignment="0" applyProtection="0">
      <alignment vertical="center"/>
    </xf>
    <xf numFmtId="0" fontId="106" fillId="39" borderId="0" applyNumberFormat="0" applyBorder="0" applyAlignment="0" applyProtection="0">
      <alignment vertical="center"/>
    </xf>
    <xf numFmtId="0" fontId="2" fillId="40" borderId="0" applyNumberFormat="0" applyBorder="0" applyAlignment="0" applyProtection="0">
      <alignment vertical="center"/>
    </xf>
    <xf numFmtId="0" fontId="2" fillId="4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07" fillId="0" borderId="0" applyNumberFormat="0" applyFill="0" applyBorder="0" applyAlignment="0" applyProtection="0">
      <alignment vertical="center"/>
    </xf>
    <xf numFmtId="41" fontId="77" fillId="0" borderId="0" applyFont="0" applyFill="0" applyBorder="0" applyAlignment="0" applyProtection="0">
      <alignment vertical="center"/>
    </xf>
    <xf numFmtId="0" fontId="108" fillId="14" borderId="0" applyNumberFormat="0" applyBorder="0" applyAlignment="0" applyProtection="0">
      <alignment vertical="center"/>
    </xf>
    <xf numFmtId="188" fontId="2" fillId="0" borderId="0">
      <alignment vertical="center"/>
    </xf>
    <xf numFmtId="0" fontId="2" fillId="18" borderId="39" applyNumberFormat="0" applyFont="0" applyAlignment="0" applyProtection="0">
      <alignment vertical="center"/>
    </xf>
    <xf numFmtId="0" fontId="106" fillId="22" borderId="0" applyNumberFormat="0" applyBorder="0" applyAlignment="0" applyProtection="0">
      <alignment vertical="center"/>
    </xf>
    <xf numFmtId="0" fontId="106" fillId="26" borderId="0" applyNumberFormat="0" applyBorder="0" applyAlignment="0" applyProtection="0">
      <alignment vertical="center"/>
    </xf>
    <xf numFmtId="0" fontId="106" fillId="30" borderId="0" applyNumberFormat="0" applyBorder="0" applyAlignment="0" applyProtection="0">
      <alignment vertical="center"/>
    </xf>
    <xf numFmtId="41" fontId="77" fillId="0" borderId="0" applyFont="0" applyFill="0" applyBorder="0" applyAlignment="0" applyProtection="0">
      <alignment vertical="center"/>
    </xf>
    <xf numFmtId="0" fontId="106" fillId="34" borderId="0" applyNumberFormat="0" applyBorder="0" applyAlignment="0" applyProtection="0">
      <alignment vertical="center"/>
    </xf>
    <xf numFmtId="0" fontId="106" fillId="38" borderId="0" applyNumberFormat="0" applyBorder="0" applyAlignment="0" applyProtection="0">
      <alignment vertical="center"/>
    </xf>
    <xf numFmtId="41" fontId="38" fillId="0" borderId="0" applyFont="0" applyFill="0" applyBorder="0" applyAlignment="0" applyProtection="0">
      <alignment vertical="center"/>
    </xf>
    <xf numFmtId="0" fontId="106" fillId="42" borderId="0" applyNumberFormat="0" applyBorder="0" applyAlignment="0" applyProtection="0">
      <alignment vertical="center"/>
    </xf>
    <xf numFmtId="0" fontId="110" fillId="0" borderId="0">
      <alignment vertical="center"/>
    </xf>
    <xf numFmtId="0" fontId="114" fillId="0" borderId="41" applyNumberFormat="0" applyAlignment="0" applyProtection="0">
      <alignment horizontal="left" vertical="center"/>
    </xf>
    <xf numFmtId="0" fontId="41" fillId="0" borderId="0">
      <alignment vertical="center"/>
    </xf>
    <xf numFmtId="0" fontId="109" fillId="0" borderId="0">
      <alignment vertical="center"/>
    </xf>
    <xf numFmtId="41" fontId="38" fillId="0" borderId="0" applyFont="0" applyFill="0" applyBorder="0" applyAlignment="0" applyProtection="0"/>
    <xf numFmtId="41" fontId="38" fillId="0" borderId="0" applyFont="0" applyFill="0" applyBorder="0" applyAlignment="0" applyProtection="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8" fillId="0" borderId="0">
      <alignment vertical="center"/>
    </xf>
    <xf numFmtId="41" fontId="39" fillId="0" borderId="0" applyFont="0" applyFill="0" applyBorder="0" applyAlignment="0" applyProtection="0">
      <alignment vertical="center"/>
    </xf>
    <xf numFmtId="0" fontId="38"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 fillId="0" borderId="0">
      <alignment vertical="center"/>
    </xf>
    <xf numFmtId="0" fontId="41" fillId="0" borderId="0">
      <alignment vertical="center"/>
    </xf>
    <xf numFmtId="0" fontId="38" fillId="0" borderId="0"/>
    <xf numFmtId="41" fontId="38" fillId="0" borderId="0" applyFont="0" applyFill="0" applyBorder="0" applyAlignment="0" applyProtection="0"/>
    <xf numFmtId="189" fontId="38" fillId="0" borderId="0" applyFont="0" applyFill="0" applyBorder="0" applyAlignment="0" applyProtection="0"/>
    <xf numFmtId="190" fontId="112" fillId="0" borderId="0" applyFont="0" applyFill="0" applyBorder="0" applyAlignment="0" applyProtection="0"/>
    <xf numFmtId="0" fontId="115" fillId="0" borderId="0"/>
    <xf numFmtId="0" fontId="112" fillId="0" borderId="0" applyFont="0" applyFill="0" applyBorder="0" applyAlignment="0" applyProtection="0"/>
    <xf numFmtId="0" fontId="113" fillId="0" borderId="0"/>
    <xf numFmtId="0" fontId="113" fillId="0" borderId="0" applyFont="0" applyFill="0" applyBorder="0" applyAlignment="0" applyProtection="0"/>
    <xf numFmtId="10" fontId="113" fillId="0" borderId="0" applyFont="0" applyFill="0" applyBorder="0" applyAlignment="0" applyProtection="0"/>
    <xf numFmtId="0" fontId="38" fillId="0" borderId="0"/>
    <xf numFmtId="0" fontId="114" fillId="0" borderId="16">
      <alignment horizontal="left" vertical="center"/>
    </xf>
    <xf numFmtId="191" fontId="111" fillId="0" borderId="0" applyFont="0" applyFill="0" applyBorder="0" applyAlignment="0" applyProtection="0"/>
    <xf numFmtId="3" fontId="111"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41" fontId="38" fillId="0" borderId="0" applyFont="0" applyFill="0" applyBorder="0" applyAlignment="0" applyProtection="0"/>
    <xf numFmtId="0" fontId="38" fillId="0" borderId="0"/>
    <xf numFmtId="0" fontId="38" fillId="0" borderId="0"/>
    <xf numFmtId="41" fontId="38" fillId="0" borderId="0" applyFont="0" applyFill="0" applyBorder="0" applyAlignment="0" applyProtection="0"/>
    <xf numFmtId="41" fontId="38" fillId="0" borderId="0" applyFont="0" applyFill="0" applyBorder="0" applyAlignment="0" applyProtection="0"/>
    <xf numFmtId="0" fontId="38" fillId="0" borderId="0"/>
    <xf numFmtId="41" fontId="38" fillId="0" borderId="0" applyFont="0" applyFill="0" applyBorder="0" applyAlignment="0" applyProtection="0"/>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40" fillId="0" borderId="0" applyFont="0" applyFill="0" applyBorder="0" applyAlignment="0" applyProtection="0">
      <alignment vertical="center"/>
    </xf>
    <xf numFmtId="41" fontId="18" fillId="0" borderId="0" applyFont="0" applyFill="0" applyBorder="0" applyAlignment="0" applyProtection="0">
      <alignment vertical="center"/>
    </xf>
    <xf numFmtId="0" fontId="38" fillId="0" borderId="0"/>
    <xf numFmtId="41" fontId="38" fillId="0" borderId="0" applyFont="0" applyFill="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41"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28" fillId="14" borderId="0" applyNumberFormat="0" applyBorder="0" applyAlignment="0" applyProtection="0">
      <alignment vertical="center"/>
    </xf>
    <xf numFmtId="0" fontId="134" fillId="0" borderId="32"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28" fillId="14" borderId="0" applyNumberFormat="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0" fillId="17" borderId="38" applyNumberFormat="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131" fillId="0" borderId="37"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90" fillId="0" borderId="40" applyNumberFormat="0" applyFill="0" applyAlignment="0" applyProtection="0">
      <alignment vertical="center"/>
    </xf>
    <xf numFmtId="0" fontId="132" fillId="15" borderId="35" applyNumberFormat="0" applyAlignment="0" applyProtection="0">
      <alignment vertical="center"/>
    </xf>
    <xf numFmtId="0" fontId="132" fillId="15" borderId="35" applyNumberFormat="0" applyAlignment="0" applyProtection="0">
      <alignment vertical="center"/>
    </xf>
    <xf numFmtId="0" fontId="41" fillId="18" borderId="39" applyNumberFormat="0" applyFont="0" applyAlignment="0" applyProtection="0">
      <alignment vertical="center"/>
    </xf>
    <xf numFmtId="0" fontId="128" fillId="14" borderId="0" applyNumberFormat="0" applyBorder="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41" fillId="18" borderId="39" applyNumberFormat="0" applyFont="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7" fillId="13" borderId="0" applyNumberFormat="0" applyBorder="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6" fillId="16" borderId="35" applyNumberFormat="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5" fillId="0" borderId="0" applyNumberFormat="0" applyFill="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9"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5"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31"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7"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23"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19"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42"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8"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4"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30"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6"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124" fillId="22"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7"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40"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6"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8"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41" fillId="20" borderId="0" applyNumberFormat="0" applyBorder="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4" fillId="0" borderId="32"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5" fillId="0" borderId="33"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34" applyNumberFormat="0" applyFill="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7" fillId="12" borderId="0" applyNumberFormat="0" applyBorder="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38" fillId="16" borderId="36" applyNumberFormat="0" applyAlignment="0" applyProtection="0">
      <alignment vertical="center"/>
    </xf>
    <xf numFmtId="0" fontId="123" fillId="0" borderId="0">
      <alignment vertical="center"/>
    </xf>
    <xf numFmtId="9" fontId="38" fillId="0" borderId="0" applyFont="0" applyFill="0" applyBorder="0" applyAlignment="0" applyProtection="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38"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41" fontId="18" fillId="0" borderId="0" applyFont="0" applyFill="0" applyBorder="0" applyAlignment="0" applyProtection="0">
      <alignment vertical="center"/>
    </xf>
  </cellStyleXfs>
  <cellXfs count="821">
    <xf numFmtId="0" fontId="0" fillId="0" borderId="0" xfId="0">
      <alignment vertical="center"/>
    </xf>
    <xf numFmtId="0" fontId="19" fillId="0" borderId="0" xfId="0" applyFont="1">
      <alignment vertical="center"/>
    </xf>
    <xf numFmtId="0" fontId="21" fillId="0" borderId="0" xfId="0" applyFont="1">
      <alignment vertical="center"/>
    </xf>
    <xf numFmtId="0" fontId="22" fillId="0" borderId="0" xfId="0" applyFont="1">
      <alignment vertical="center"/>
    </xf>
    <xf numFmtId="0" fontId="22" fillId="0" borderId="0" xfId="0" applyFont="1" applyAlignment="1"/>
    <xf numFmtId="0" fontId="24" fillId="0" borderId="0" xfId="0" applyFont="1">
      <alignment vertical="center"/>
    </xf>
    <xf numFmtId="0" fontId="25" fillId="0" borderId="0" xfId="0" applyFont="1">
      <alignment vertical="center"/>
    </xf>
    <xf numFmtId="0" fontId="27" fillId="0" borderId="0" xfId="0" applyFont="1">
      <alignment vertical="center"/>
    </xf>
    <xf numFmtId="0" fontId="26" fillId="2" borderId="2" xfId="0" applyFont="1" applyFill="1" applyBorder="1">
      <alignment vertical="center"/>
    </xf>
    <xf numFmtId="0" fontId="28" fillId="0" borderId="3" xfId="0" applyFont="1" applyBorder="1">
      <alignment vertical="center"/>
    </xf>
    <xf numFmtId="177" fontId="28" fillId="0" borderId="4" xfId="0" applyNumberFormat="1" applyFont="1" applyBorder="1">
      <alignment vertical="center"/>
    </xf>
    <xf numFmtId="177" fontId="28" fillId="0" borderId="4" xfId="1" applyNumberFormat="1" applyFont="1" applyBorder="1">
      <alignment vertical="center"/>
    </xf>
    <xf numFmtId="177" fontId="26" fillId="0" borderId="6" xfId="0" applyNumberFormat="1" applyFont="1" applyBorder="1">
      <alignment vertical="center"/>
    </xf>
    <xf numFmtId="177" fontId="26" fillId="0" borderId="6" xfId="1" applyNumberFormat="1" applyFont="1" applyBorder="1">
      <alignment vertical="center"/>
    </xf>
    <xf numFmtId="177" fontId="27" fillId="0" borderId="7" xfId="0" applyNumberFormat="1" applyFont="1" applyBorder="1">
      <alignment vertical="center"/>
    </xf>
    <xf numFmtId="177" fontId="27" fillId="0" borderId="7" xfId="1" applyNumberFormat="1" applyFont="1" applyBorder="1">
      <alignment vertical="center"/>
    </xf>
    <xf numFmtId="177" fontId="26" fillId="0" borderId="9" xfId="0" applyNumberFormat="1" applyFont="1" applyBorder="1">
      <alignment vertical="center"/>
    </xf>
    <xf numFmtId="177" fontId="26" fillId="0" borderId="9" xfId="1" applyNumberFormat="1" applyFont="1" applyBorder="1">
      <alignment vertical="center"/>
    </xf>
    <xf numFmtId="0" fontId="27" fillId="0" borderId="2" xfId="0" applyFont="1" applyBorder="1">
      <alignment vertical="center"/>
    </xf>
    <xf numFmtId="177" fontId="27" fillId="0" borderId="10" xfId="0" applyNumberFormat="1" applyFont="1" applyBorder="1">
      <alignment vertical="center"/>
    </xf>
    <xf numFmtId="177" fontId="27" fillId="0" borderId="10" xfId="1" applyNumberFormat="1" applyFont="1" applyBorder="1">
      <alignment vertical="center"/>
    </xf>
    <xf numFmtId="176" fontId="27" fillId="0" borderId="0" xfId="0" applyNumberFormat="1" applyFont="1">
      <alignment vertical="center"/>
    </xf>
    <xf numFmtId="177" fontId="27" fillId="0" borderId="0" xfId="0" applyNumberFormat="1" applyFont="1">
      <alignment vertical="center"/>
    </xf>
    <xf numFmtId="177" fontId="27" fillId="0" borderId="0" xfId="1" applyNumberFormat="1" applyFont="1" applyFill="1" applyBorder="1">
      <alignment vertical="center"/>
    </xf>
    <xf numFmtId="0" fontId="29" fillId="2" borderId="0" xfId="0" applyFont="1" applyFill="1" applyAlignment="1">
      <alignment horizontal="right" vertical="center"/>
    </xf>
    <xf numFmtId="0" fontId="31" fillId="0" borderId="0" xfId="0" applyFont="1">
      <alignment vertical="center"/>
    </xf>
    <xf numFmtId="177" fontId="28" fillId="0" borderId="7" xfId="0" applyNumberFormat="1" applyFont="1" applyBorder="1">
      <alignment vertical="center"/>
    </xf>
    <xf numFmtId="177" fontId="28" fillId="0" borderId="7" xfId="1" applyNumberFormat="1" applyFont="1" applyBorder="1">
      <alignment vertical="center"/>
    </xf>
    <xf numFmtId="176" fontId="11" fillId="3" borderId="1" xfId="0" applyNumberFormat="1" applyFont="1" applyFill="1" applyBorder="1">
      <alignment vertical="center"/>
    </xf>
    <xf numFmtId="177" fontId="11" fillId="0" borderId="14" xfId="0" applyNumberFormat="1" applyFont="1" applyBorder="1">
      <alignment vertical="center"/>
    </xf>
    <xf numFmtId="177" fontId="11" fillId="0" borderId="14" xfId="1" applyNumberFormat="1" applyFont="1" applyBorder="1">
      <alignment vertical="center"/>
    </xf>
    <xf numFmtId="176" fontId="12" fillId="0" borderId="0" xfId="0" applyNumberFormat="1" applyFont="1">
      <alignment vertical="center"/>
    </xf>
    <xf numFmtId="176" fontId="12" fillId="3" borderId="0" xfId="0" applyNumberFormat="1" applyFont="1" applyFill="1">
      <alignment vertical="center"/>
    </xf>
    <xf numFmtId="177" fontId="12" fillId="0" borderId="7" xfId="0" applyNumberFormat="1" applyFont="1" applyBorder="1">
      <alignment vertical="center"/>
    </xf>
    <xf numFmtId="177" fontId="12" fillId="0" borderId="7" xfId="1" applyNumberFormat="1" applyFont="1" applyBorder="1">
      <alignment vertical="center"/>
    </xf>
    <xf numFmtId="176" fontId="12" fillId="3" borderId="2" xfId="0" applyNumberFormat="1" applyFont="1" applyFill="1" applyBorder="1">
      <alignment vertical="center"/>
    </xf>
    <xf numFmtId="177" fontId="12" fillId="0" borderId="10" xfId="0" applyNumberFormat="1" applyFont="1" applyBorder="1">
      <alignment vertical="center"/>
    </xf>
    <xf numFmtId="177" fontId="12" fillId="0" borderId="10" xfId="1" applyNumberFormat="1" applyFont="1" applyBorder="1">
      <alignment vertical="center"/>
    </xf>
    <xf numFmtId="0" fontId="32" fillId="0" borderId="0" xfId="0" applyFont="1">
      <alignment vertical="center"/>
    </xf>
    <xf numFmtId="177" fontId="12" fillId="0" borderId="0" xfId="1" applyNumberFormat="1" applyFont="1" applyBorder="1">
      <alignment vertical="center"/>
    </xf>
    <xf numFmtId="176" fontId="12" fillId="0" borderId="0" xfId="1" applyNumberFormat="1" applyFont="1" applyBorder="1">
      <alignment vertical="center"/>
    </xf>
    <xf numFmtId="0" fontId="9" fillId="0" borderId="0" xfId="0" applyFont="1">
      <alignment vertical="center"/>
    </xf>
    <xf numFmtId="0" fontId="8" fillId="0" borderId="0" xfId="0" applyFont="1">
      <alignment vertical="center"/>
    </xf>
    <xf numFmtId="0" fontId="34" fillId="0" borderId="0" xfId="0" applyFont="1">
      <alignment vertical="center"/>
    </xf>
    <xf numFmtId="0" fontId="14" fillId="0" borderId="0" xfId="0" applyFont="1" applyAlignment="1">
      <alignment horizontal="centerContinuous" vertical="center"/>
    </xf>
    <xf numFmtId="0" fontId="15" fillId="0" borderId="0" xfId="0" applyFont="1" applyAlignment="1">
      <alignment horizontal="centerContinuous" vertical="center"/>
    </xf>
    <xf numFmtId="0" fontId="34" fillId="0" borderId="0" xfId="0" applyFont="1" applyAlignment="1">
      <alignment horizontal="centerContinuous" vertical="center"/>
    </xf>
    <xf numFmtId="0" fontId="35" fillId="0" borderId="0" xfId="0" applyFont="1">
      <alignment vertical="center"/>
    </xf>
    <xf numFmtId="0" fontId="36" fillId="0" borderId="0" xfId="0" applyFont="1">
      <alignment vertical="center"/>
    </xf>
    <xf numFmtId="0" fontId="16" fillId="0" borderId="0" xfId="0" applyFont="1" applyAlignment="1">
      <alignment horizontal="centerContinuous" vertical="center"/>
    </xf>
    <xf numFmtId="0" fontId="17" fillId="0" borderId="0" xfId="0" applyFont="1" applyAlignment="1">
      <alignment horizontal="centerContinuous" vertical="center"/>
    </xf>
    <xf numFmtId="0" fontId="37" fillId="0" borderId="0" xfId="0" applyFont="1" applyAlignment="1">
      <alignment horizontal="centerContinuous" vertical="center"/>
    </xf>
    <xf numFmtId="0" fontId="37" fillId="0" borderId="0" xfId="0" applyFont="1">
      <alignment vertical="center"/>
    </xf>
    <xf numFmtId="41" fontId="19" fillId="0" borderId="0" xfId="2" applyFont="1">
      <alignment vertical="center"/>
    </xf>
    <xf numFmtId="177" fontId="12" fillId="0" borderId="2" xfId="1" applyNumberFormat="1" applyFont="1" applyBorder="1">
      <alignment vertical="center"/>
    </xf>
    <xf numFmtId="0" fontId="21" fillId="2" borderId="0" xfId="0" applyFont="1" applyFill="1">
      <alignment vertical="center"/>
    </xf>
    <xf numFmtId="0" fontId="19" fillId="2" borderId="0" xfId="0" applyFont="1" applyFill="1">
      <alignment vertical="center"/>
    </xf>
    <xf numFmtId="0" fontId="19" fillId="2" borderId="21" xfId="0" applyFont="1" applyFill="1" applyBorder="1">
      <alignment vertical="center"/>
    </xf>
    <xf numFmtId="10" fontId="19" fillId="0" borderId="0" xfId="0" applyNumberFormat="1" applyFont="1">
      <alignment vertical="center"/>
    </xf>
    <xf numFmtId="176" fontId="12" fillId="0" borderId="22" xfId="0" applyNumberFormat="1" applyFont="1" applyBorder="1">
      <alignment vertical="center"/>
    </xf>
    <xf numFmtId="180" fontId="19" fillId="0" borderId="0" xfId="0" applyNumberFormat="1" applyFont="1">
      <alignment vertical="center"/>
    </xf>
    <xf numFmtId="176" fontId="11" fillId="0" borderId="23" xfId="0" applyNumberFormat="1" applyFont="1" applyBorder="1">
      <alignment vertical="center"/>
    </xf>
    <xf numFmtId="176" fontId="12" fillId="0" borderId="21" xfId="0" applyNumberFormat="1" applyFont="1" applyBorder="1">
      <alignment vertical="center"/>
    </xf>
    <xf numFmtId="176" fontId="19" fillId="0" borderId="0" xfId="0" applyNumberFormat="1" applyFont="1">
      <alignment vertical="center"/>
    </xf>
    <xf numFmtId="177" fontId="19" fillId="0" borderId="0" xfId="0" applyNumberFormat="1" applyFont="1">
      <alignment vertical="center"/>
    </xf>
    <xf numFmtId="177" fontId="33" fillId="0" borderId="24" xfId="1" applyNumberFormat="1" applyFont="1" applyBorder="1">
      <alignment vertical="center"/>
    </xf>
    <xf numFmtId="177" fontId="33" fillId="3" borderId="11" xfId="1" applyNumberFormat="1" applyFont="1" applyFill="1" applyBorder="1">
      <alignment vertical="center"/>
    </xf>
    <xf numFmtId="183" fontId="19" fillId="0" borderId="0" xfId="0" applyNumberFormat="1" applyFont="1">
      <alignment vertical="center"/>
    </xf>
    <xf numFmtId="176" fontId="12" fillId="0" borderId="16" xfId="0" applyNumberFormat="1" applyFont="1" applyBorder="1">
      <alignment vertical="center"/>
    </xf>
    <xf numFmtId="176" fontId="12" fillId="0" borderId="18" xfId="0" applyNumberFormat="1" applyFont="1" applyBorder="1">
      <alignment vertical="center"/>
    </xf>
    <xf numFmtId="177" fontId="12" fillId="0" borderId="29" xfId="0" applyNumberFormat="1" applyFont="1" applyBorder="1">
      <alignment vertical="center"/>
    </xf>
    <xf numFmtId="176" fontId="42" fillId="0" borderId="16" xfId="0" applyNumberFormat="1" applyFont="1" applyBorder="1">
      <alignment vertical="center"/>
    </xf>
    <xf numFmtId="177" fontId="42" fillId="0" borderId="29" xfId="0" applyNumberFormat="1" applyFont="1" applyBorder="1">
      <alignment vertical="center"/>
    </xf>
    <xf numFmtId="176" fontId="43" fillId="0" borderId="0" xfId="0" applyNumberFormat="1" applyFont="1">
      <alignment vertical="center"/>
    </xf>
    <xf numFmtId="0" fontId="48" fillId="0" borderId="0" xfId="0" applyFont="1" applyAlignment="1"/>
    <xf numFmtId="0" fontId="48" fillId="0" borderId="0" xfId="0" applyFont="1">
      <alignment vertical="center"/>
    </xf>
    <xf numFmtId="0" fontId="49" fillId="2" borderId="1" xfId="0" applyFont="1" applyFill="1" applyBorder="1">
      <alignment vertical="center"/>
    </xf>
    <xf numFmtId="0" fontId="49" fillId="2" borderId="0" xfId="0" applyFont="1" applyFill="1">
      <alignment vertical="center"/>
    </xf>
    <xf numFmtId="0" fontId="50" fillId="0" borderId="1" xfId="0" applyFont="1" applyBorder="1">
      <alignment vertical="center"/>
    </xf>
    <xf numFmtId="0" fontId="51" fillId="0" borderId="0" xfId="0" applyFont="1">
      <alignment vertical="center"/>
    </xf>
    <xf numFmtId="0" fontId="50" fillId="0" borderId="0" xfId="0" applyFont="1">
      <alignment vertical="center"/>
    </xf>
    <xf numFmtId="0" fontId="50" fillId="0" borderId="12" xfId="0" applyFont="1" applyBorder="1">
      <alignment vertical="center"/>
    </xf>
    <xf numFmtId="0" fontId="50" fillId="0" borderId="13" xfId="0" applyFont="1" applyBorder="1">
      <alignment vertical="center"/>
    </xf>
    <xf numFmtId="0" fontId="51" fillId="0" borderId="2" xfId="0" applyFont="1" applyBorder="1">
      <alignment vertical="center"/>
    </xf>
    <xf numFmtId="0" fontId="52" fillId="0" borderId="0" xfId="0" applyFont="1">
      <alignment vertical="center"/>
    </xf>
    <xf numFmtId="0" fontId="53" fillId="0" borderId="0" xfId="0" applyFont="1" applyAlignment="1"/>
    <xf numFmtId="0" fontId="53" fillId="0" borderId="0" xfId="0" applyFont="1">
      <alignment vertical="center"/>
    </xf>
    <xf numFmtId="0" fontId="54" fillId="2" borderId="1" xfId="0" applyFont="1" applyFill="1" applyBorder="1">
      <alignment vertical="center"/>
    </xf>
    <xf numFmtId="0" fontId="54" fillId="2" borderId="0" xfId="0" applyFont="1" applyFill="1">
      <alignment vertical="center"/>
    </xf>
    <xf numFmtId="0" fontId="55" fillId="0" borderId="0" xfId="0" applyFont="1">
      <alignment vertical="center"/>
    </xf>
    <xf numFmtId="0" fontId="52" fillId="0" borderId="1" xfId="0" applyFont="1" applyBorder="1">
      <alignment vertical="center"/>
    </xf>
    <xf numFmtId="0" fontId="52" fillId="0" borderId="17" xfId="0" applyFont="1" applyBorder="1">
      <alignment vertical="center"/>
    </xf>
    <xf numFmtId="0" fontId="57" fillId="0" borderId="0" xfId="0" applyFont="1">
      <alignment vertical="center"/>
    </xf>
    <xf numFmtId="0" fontId="58" fillId="0" borderId="0" xfId="0" applyFont="1">
      <alignment vertical="center"/>
    </xf>
    <xf numFmtId="0" fontId="58" fillId="2" borderId="0" xfId="0" applyFont="1" applyFill="1">
      <alignment vertical="center"/>
    </xf>
    <xf numFmtId="0" fontId="58" fillId="2" borderId="21" xfId="0" applyFont="1" applyFill="1" applyBorder="1">
      <alignment vertical="center"/>
    </xf>
    <xf numFmtId="0" fontId="49" fillId="2" borderId="2" xfId="0" applyFont="1" applyFill="1" applyBorder="1">
      <alignment vertical="center"/>
    </xf>
    <xf numFmtId="0" fontId="49" fillId="2" borderId="22" xfId="0" applyFont="1" applyFill="1" applyBorder="1">
      <alignment vertical="center"/>
    </xf>
    <xf numFmtId="0" fontId="52" fillId="0" borderId="3" xfId="0" applyFont="1" applyBorder="1">
      <alignment vertical="center"/>
    </xf>
    <xf numFmtId="0" fontId="49" fillId="0" borderId="5" xfId="0" applyFont="1" applyBorder="1">
      <alignment vertical="center"/>
    </xf>
    <xf numFmtId="0" fontId="59" fillId="0" borderId="0" xfId="0" applyFont="1">
      <alignment vertical="center"/>
    </xf>
    <xf numFmtId="0" fontId="49" fillId="0" borderId="8" xfId="0" applyFont="1" applyBorder="1">
      <alignment vertical="center"/>
    </xf>
    <xf numFmtId="0" fontId="59" fillId="0" borderId="2" xfId="0" applyFont="1" applyBorder="1">
      <alignment vertical="center"/>
    </xf>
    <xf numFmtId="0" fontId="49" fillId="2" borderId="14" xfId="0" applyFont="1" applyFill="1" applyBorder="1" applyAlignment="1">
      <alignment horizontal="center" vertical="center"/>
    </xf>
    <xf numFmtId="0" fontId="60" fillId="0" borderId="0" xfId="0" applyFont="1">
      <alignment vertical="center"/>
    </xf>
    <xf numFmtId="0" fontId="61" fillId="0" borderId="0" xfId="0" applyFont="1">
      <alignment vertical="center"/>
    </xf>
    <xf numFmtId="0" fontId="61" fillId="2" borderId="0" xfId="0" applyFont="1" applyFill="1">
      <alignment vertical="center"/>
    </xf>
    <xf numFmtId="0" fontId="61" fillId="2" borderId="21" xfId="0" applyFont="1" applyFill="1" applyBorder="1">
      <alignment vertical="center"/>
    </xf>
    <xf numFmtId="0" fontId="54" fillId="2" borderId="2" xfId="0" applyFont="1" applyFill="1" applyBorder="1">
      <alignment vertical="center"/>
    </xf>
    <xf numFmtId="0" fontId="54" fillId="2" borderId="22" xfId="0" applyFont="1" applyFill="1" applyBorder="1">
      <alignment vertical="center"/>
    </xf>
    <xf numFmtId="0" fontId="60" fillId="2" borderId="0" xfId="0" applyFont="1" applyFill="1">
      <alignment vertical="center"/>
    </xf>
    <xf numFmtId="0" fontId="44" fillId="0" borderId="1" xfId="0" applyFont="1" applyBorder="1">
      <alignment vertical="center"/>
    </xf>
    <xf numFmtId="0" fontId="44" fillId="0" borderId="23" xfId="0" applyFont="1" applyBorder="1">
      <alignment vertical="center"/>
    </xf>
    <xf numFmtId="0" fontId="45" fillId="0" borderId="0" xfId="0" applyFont="1">
      <alignment vertical="center"/>
    </xf>
    <xf numFmtId="0" fontId="45" fillId="0" borderId="21" xfId="0" applyFont="1" applyBorder="1">
      <alignment vertical="center"/>
    </xf>
    <xf numFmtId="0" fontId="63" fillId="0" borderId="0" xfId="0" applyFont="1">
      <alignment vertical="center"/>
    </xf>
    <xf numFmtId="0" fontId="64" fillId="0" borderId="11" xfId="0" applyFont="1" applyBorder="1">
      <alignment vertical="center"/>
    </xf>
    <xf numFmtId="0" fontId="64" fillId="0" borderId="24" xfId="0" applyFont="1" applyBorder="1">
      <alignment vertical="center"/>
    </xf>
    <xf numFmtId="0" fontId="45" fillId="0" borderId="2" xfId="0" applyFont="1" applyBorder="1">
      <alignment vertical="center"/>
    </xf>
    <xf numFmtId="0" fontId="45" fillId="0" borderId="22" xfId="0" applyFont="1" applyBorder="1">
      <alignment vertical="center"/>
    </xf>
    <xf numFmtId="0" fontId="62" fillId="0" borderId="0" xfId="0" applyFont="1">
      <alignment vertical="center"/>
    </xf>
    <xf numFmtId="0" fontId="62" fillId="0" borderId="21" xfId="0" applyFont="1" applyBorder="1">
      <alignment vertical="center"/>
    </xf>
    <xf numFmtId="0" fontId="44" fillId="0" borderId="16" xfId="0" applyFont="1" applyBorder="1">
      <alignment vertical="center"/>
    </xf>
    <xf numFmtId="0" fontId="44" fillId="0" borderId="18" xfId="0" applyFont="1" applyBorder="1">
      <alignment vertical="center"/>
    </xf>
    <xf numFmtId="0" fontId="62" fillId="0" borderId="16" xfId="0" applyFont="1" applyBorder="1">
      <alignment vertical="center"/>
    </xf>
    <xf numFmtId="0" fontId="62" fillId="0" borderId="18" xfId="0" applyFont="1" applyBorder="1">
      <alignment vertical="center"/>
    </xf>
    <xf numFmtId="0" fontId="53" fillId="0" borderId="2" xfId="0" applyFont="1" applyBorder="1" applyAlignment="1"/>
    <xf numFmtId="0" fontId="44" fillId="0" borderId="0" xfId="0" applyFont="1">
      <alignment vertical="center"/>
    </xf>
    <xf numFmtId="0" fontId="62" fillId="0" borderId="2" xfId="0" applyFont="1" applyBorder="1">
      <alignment vertical="center"/>
    </xf>
    <xf numFmtId="0" fontId="45" fillId="0" borderId="1" xfId="0" applyFont="1" applyBorder="1">
      <alignment vertical="center"/>
    </xf>
    <xf numFmtId="181" fontId="45" fillId="0" borderId="0" xfId="0" applyNumberFormat="1" applyFont="1" applyAlignment="1">
      <alignment horizontal="left" vertical="center"/>
    </xf>
    <xf numFmtId="181" fontId="45" fillId="0" borderId="2" xfId="0" applyNumberFormat="1" applyFont="1" applyBorder="1" applyAlignment="1">
      <alignment horizontal="left" vertical="center"/>
    </xf>
    <xf numFmtId="0" fontId="63" fillId="0" borderId="2" xfId="0" applyFont="1" applyBorder="1">
      <alignment vertical="center"/>
    </xf>
    <xf numFmtId="0" fontId="23" fillId="6" borderId="0" xfId="0" applyFont="1" applyFill="1">
      <alignment vertical="center"/>
    </xf>
    <xf numFmtId="0" fontId="20" fillId="6" borderId="0" xfId="0" applyFont="1" applyFill="1">
      <alignment vertical="center"/>
    </xf>
    <xf numFmtId="0" fontId="47" fillId="6" borderId="0" xfId="0" applyFont="1" applyFill="1">
      <alignment vertical="center"/>
    </xf>
    <xf numFmtId="176" fontId="12" fillId="7" borderId="16" xfId="0" applyNumberFormat="1" applyFont="1" applyFill="1" applyBorder="1">
      <alignment vertical="center"/>
    </xf>
    <xf numFmtId="176" fontId="42" fillId="7" borderId="16" xfId="0" applyNumberFormat="1" applyFont="1" applyFill="1" applyBorder="1">
      <alignment vertical="center"/>
    </xf>
    <xf numFmtId="185" fontId="12" fillId="0" borderId="0" xfId="0" applyNumberFormat="1" applyFont="1">
      <alignment vertical="center"/>
    </xf>
    <xf numFmtId="185" fontId="33" fillId="0" borderId="15" xfId="0" applyNumberFormat="1" applyFont="1" applyBorder="1">
      <alignment vertical="center"/>
    </xf>
    <xf numFmtId="185" fontId="33" fillId="0" borderId="15" xfId="1" applyNumberFormat="1" applyFont="1" applyBorder="1">
      <alignment vertical="center"/>
    </xf>
    <xf numFmtId="185" fontId="27" fillId="0" borderId="0" xfId="1" applyNumberFormat="1" applyFont="1" applyBorder="1">
      <alignment vertical="center"/>
    </xf>
    <xf numFmtId="0" fontId="67" fillId="6" borderId="0" xfId="10" applyFont="1" applyFill="1" applyAlignment="1" applyProtection="1">
      <alignment vertical="center"/>
    </xf>
    <xf numFmtId="0" fontId="68" fillId="6" borderId="0" xfId="0" applyFont="1" applyFill="1">
      <alignment vertical="center"/>
    </xf>
    <xf numFmtId="177" fontId="26" fillId="0" borderId="7" xfId="1" applyNumberFormat="1" applyFont="1" applyBorder="1">
      <alignment vertical="center"/>
    </xf>
    <xf numFmtId="177" fontId="12" fillId="0" borderId="0" xfId="1" applyNumberFormat="1" applyFont="1" applyFill="1" applyBorder="1">
      <alignment vertical="center"/>
    </xf>
    <xf numFmtId="0" fontId="69" fillId="0" borderId="0" xfId="0" applyFont="1">
      <alignment vertical="center"/>
    </xf>
    <xf numFmtId="183" fontId="27" fillId="3" borderId="7" xfId="0" applyNumberFormat="1" applyFont="1" applyFill="1" applyBorder="1">
      <alignment vertical="center"/>
    </xf>
    <xf numFmtId="183" fontId="28" fillId="0" borderId="4" xfId="0" applyNumberFormat="1" applyFont="1" applyBorder="1">
      <alignment vertical="center"/>
    </xf>
    <xf numFmtId="183" fontId="28" fillId="0" borderId="19" xfId="0" applyNumberFormat="1" applyFont="1" applyBorder="1">
      <alignment vertical="center"/>
    </xf>
    <xf numFmtId="183" fontId="28" fillId="3" borderId="4" xfId="0" applyNumberFormat="1" applyFont="1" applyFill="1" applyBorder="1">
      <alignment vertical="center"/>
    </xf>
    <xf numFmtId="183" fontId="28" fillId="0" borderId="3" xfId="0" applyNumberFormat="1" applyFont="1" applyBorder="1">
      <alignment vertical="center"/>
    </xf>
    <xf numFmtId="183" fontId="26" fillId="0" borderId="6" xfId="0" applyNumberFormat="1" applyFont="1" applyBorder="1">
      <alignment vertical="center"/>
    </xf>
    <xf numFmtId="183" fontId="26" fillId="3" borderId="6" xfId="0" applyNumberFormat="1" applyFont="1" applyFill="1" applyBorder="1">
      <alignment vertical="center"/>
    </xf>
    <xf numFmtId="183" fontId="26" fillId="0" borderId="5" xfId="0" applyNumberFormat="1" applyFont="1" applyBorder="1">
      <alignment vertical="center"/>
    </xf>
    <xf numFmtId="183" fontId="27" fillId="0" borderId="7" xfId="0" applyNumberFormat="1" applyFont="1" applyBorder="1">
      <alignment vertical="center"/>
    </xf>
    <xf numFmtId="183" fontId="27" fillId="0" borderId="21" xfId="0" applyNumberFormat="1" applyFont="1" applyBorder="1">
      <alignment vertical="center"/>
    </xf>
    <xf numFmtId="183" fontId="27" fillId="0" borderId="0" xfId="0" applyNumberFormat="1" applyFont="1">
      <alignment vertical="center"/>
    </xf>
    <xf numFmtId="183" fontId="26" fillId="3" borderId="9" xfId="0" applyNumberFormat="1" applyFont="1" applyFill="1" applyBorder="1">
      <alignment vertical="center"/>
    </xf>
    <xf numFmtId="183" fontId="26" fillId="0" borderId="8" xfId="0" applyNumberFormat="1" applyFont="1" applyBorder="1">
      <alignment vertical="center"/>
    </xf>
    <xf numFmtId="183" fontId="27" fillId="0" borderId="10" xfId="0" applyNumberFormat="1" applyFont="1" applyBorder="1">
      <alignment vertical="center"/>
    </xf>
    <xf numFmtId="183" fontId="27" fillId="3" borderId="10" xfId="0" applyNumberFormat="1" applyFont="1" applyFill="1" applyBorder="1">
      <alignment vertical="center"/>
    </xf>
    <xf numFmtId="183" fontId="27" fillId="0" borderId="2" xfId="0" applyNumberFormat="1" applyFont="1" applyBorder="1">
      <alignment vertical="center"/>
    </xf>
    <xf numFmtId="183" fontId="28" fillId="3" borderId="30" xfId="0" applyNumberFormat="1" applyFont="1" applyFill="1" applyBorder="1">
      <alignment vertical="center"/>
    </xf>
    <xf numFmtId="176" fontId="42" fillId="0" borderId="18" xfId="0" applyNumberFormat="1" applyFont="1" applyBorder="1">
      <alignment vertical="center"/>
    </xf>
    <xf numFmtId="41" fontId="19" fillId="0" borderId="0" xfId="0" applyNumberFormat="1" applyFont="1">
      <alignment vertical="center"/>
    </xf>
    <xf numFmtId="176" fontId="11" fillId="0" borderId="0" xfId="0" applyNumberFormat="1" applyFont="1">
      <alignment vertical="center"/>
    </xf>
    <xf numFmtId="0" fontId="70" fillId="0" borderId="0" xfId="0" applyFont="1">
      <alignment vertical="center"/>
    </xf>
    <xf numFmtId="0" fontId="71" fillId="0" borderId="0" xfId="0" applyFont="1">
      <alignment vertical="center"/>
    </xf>
    <xf numFmtId="0" fontId="72" fillId="0" borderId="0" xfId="0" applyFont="1">
      <alignment vertical="center"/>
    </xf>
    <xf numFmtId="0" fontId="73" fillId="0" borderId="0" xfId="10" applyFont="1" applyFill="1" applyAlignment="1" applyProtection="1">
      <alignment vertical="center"/>
    </xf>
    <xf numFmtId="0" fontId="74" fillId="0" borderId="0" xfId="0" applyFont="1">
      <alignment vertical="center"/>
    </xf>
    <xf numFmtId="0" fontId="75" fillId="0" borderId="0" xfId="0" applyFont="1">
      <alignment vertical="center"/>
    </xf>
    <xf numFmtId="0" fontId="46" fillId="0" borderId="0" xfId="0" applyFo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29" fillId="2" borderId="0" xfId="0" applyFont="1" applyFill="1">
      <alignment vertical="center"/>
    </xf>
    <xf numFmtId="0" fontId="29" fillId="2" borderId="1" xfId="0" applyFont="1" applyFill="1" applyBorder="1">
      <alignment vertical="center"/>
    </xf>
    <xf numFmtId="178" fontId="29" fillId="2" borderId="18" xfId="0" applyNumberFormat="1" applyFont="1" applyFill="1" applyBorder="1" applyAlignment="1">
      <alignment horizontal="center" vertical="center"/>
    </xf>
    <xf numFmtId="0" fontId="59" fillId="0" borderId="12" xfId="0" applyFont="1" applyBorder="1">
      <alignment vertical="center"/>
    </xf>
    <xf numFmtId="0" fontId="45" fillId="0" borderId="16" xfId="0" applyFont="1" applyBorder="1">
      <alignment vertical="center"/>
    </xf>
    <xf numFmtId="0" fontId="76" fillId="0" borderId="0" xfId="0" applyFont="1" applyAlignment="1"/>
    <xf numFmtId="177" fontId="19" fillId="0" borderId="0" xfId="1" applyNumberFormat="1" applyFont="1">
      <alignment vertical="center"/>
    </xf>
    <xf numFmtId="177" fontId="28" fillId="0" borderId="4" xfId="0" applyNumberFormat="1" applyFont="1" applyBorder="1" applyAlignment="1">
      <alignment horizontal="right" vertical="center"/>
    </xf>
    <xf numFmtId="177" fontId="26" fillId="0" borderId="6" xfId="0" applyNumberFormat="1" applyFont="1" applyBorder="1" applyAlignment="1">
      <alignment horizontal="right" vertical="center"/>
    </xf>
    <xf numFmtId="177" fontId="27" fillId="0" borderId="7" xfId="0" applyNumberFormat="1" applyFont="1" applyBorder="1" applyAlignment="1">
      <alignment horizontal="right" vertical="center"/>
    </xf>
    <xf numFmtId="177" fontId="26" fillId="0" borderId="9" xfId="0" applyNumberFormat="1" applyFont="1" applyBorder="1" applyAlignment="1">
      <alignment horizontal="right" vertical="center"/>
    </xf>
    <xf numFmtId="177" fontId="27" fillId="0" borderId="10" xfId="0" applyNumberFormat="1" applyFont="1" applyBorder="1" applyAlignment="1">
      <alignment horizontal="right" vertical="center"/>
    </xf>
    <xf numFmtId="177" fontId="26" fillId="0" borderId="6" xfId="1" applyNumberFormat="1" applyFont="1" applyBorder="1" applyAlignment="1">
      <alignment horizontal="right" vertical="center"/>
    </xf>
    <xf numFmtId="177" fontId="27" fillId="0" borderId="7" xfId="1" applyNumberFormat="1" applyFont="1" applyBorder="1" applyAlignment="1">
      <alignment horizontal="right" vertical="center"/>
    </xf>
    <xf numFmtId="177" fontId="26" fillId="0" borderId="9" xfId="1" applyNumberFormat="1" applyFont="1" applyBorder="1" applyAlignment="1">
      <alignment horizontal="right" vertical="center"/>
    </xf>
    <xf numFmtId="177" fontId="28" fillId="0" borderId="4" xfId="1" applyNumberFormat="1" applyFont="1" applyBorder="1" applyAlignment="1">
      <alignment horizontal="right" vertical="center"/>
    </xf>
    <xf numFmtId="177" fontId="27" fillId="0" borderId="10" xfId="1" applyNumberFormat="1" applyFont="1" applyBorder="1" applyAlignment="1">
      <alignment horizontal="right" vertical="center"/>
    </xf>
    <xf numFmtId="183" fontId="28" fillId="0" borderId="0" xfId="0" applyNumberFormat="1" applyFont="1">
      <alignment vertical="center"/>
    </xf>
    <xf numFmtId="177" fontId="28" fillId="0" borderId="0" xfId="0" applyNumberFormat="1" applyFont="1" applyAlignment="1">
      <alignment horizontal="right" vertical="center"/>
    </xf>
    <xf numFmtId="183" fontId="26" fillId="0" borderId="0" xfId="0" applyNumberFormat="1" applyFont="1">
      <alignment vertical="center"/>
    </xf>
    <xf numFmtId="177" fontId="26" fillId="0" borderId="0" xfId="0" applyNumberFormat="1" applyFont="1" applyAlignment="1">
      <alignment horizontal="right" vertical="center"/>
    </xf>
    <xf numFmtId="177" fontId="27" fillId="0" borderId="0" xfId="0" applyNumberFormat="1" applyFont="1" applyAlignment="1">
      <alignment horizontal="right" vertical="center"/>
    </xf>
    <xf numFmtId="183" fontId="28" fillId="0" borderId="0" xfId="2" applyNumberFormat="1" applyFont="1" applyFill="1" applyBorder="1">
      <alignment vertical="center"/>
    </xf>
    <xf numFmtId="177" fontId="26" fillId="0" borderId="0" xfId="1" applyNumberFormat="1" applyFont="1" applyFill="1" applyBorder="1">
      <alignment vertical="center"/>
    </xf>
    <xf numFmtId="177" fontId="26" fillId="0" borderId="0" xfId="1" applyNumberFormat="1" applyFont="1" applyFill="1" applyBorder="1" applyAlignment="1">
      <alignment horizontal="right" vertical="center"/>
    </xf>
    <xf numFmtId="177" fontId="27" fillId="0" borderId="0" xfId="1" applyNumberFormat="1" applyFont="1" applyFill="1" applyBorder="1" applyAlignment="1">
      <alignment horizontal="right" vertical="center"/>
    </xf>
    <xf numFmtId="177" fontId="28" fillId="0" borderId="0" xfId="1" applyNumberFormat="1" applyFont="1" applyFill="1" applyBorder="1" applyAlignment="1">
      <alignment horizontal="right" vertical="center"/>
    </xf>
    <xf numFmtId="177" fontId="11" fillId="0" borderId="0" xfId="1" applyNumberFormat="1" applyFont="1" applyFill="1" applyBorder="1">
      <alignment vertical="center"/>
    </xf>
    <xf numFmtId="177" fontId="33" fillId="0" borderId="0" xfId="1" applyNumberFormat="1" applyFont="1" applyFill="1" applyBorder="1">
      <alignment vertical="center"/>
    </xf>
    <xf numFmtId="176" fontId="42" fillId="0" borderId="0" xfId="0" applyNumberFormat="1" applyFont="1">
      <alignment vertical="center"/>
    </xf>
    <xf numFmtId="178" fontId="29" fillId="0" borderId="0" xfId="0" applyNumberFormat="1" applyFont="1" applyAlignment="1">
      <alignment horizontal="center" vertical="center"/>
    </xf>
    <xf numFmtId="0" fontId="79" fillId="0" borderId="0" xfId="0" applyFont="1" applyAlignment="1">
      <alignment horizontal="centerContinuous" vertical="center"/>
    </xf>
    <xf numFmtId="0" fontId="82" fillId="10" borderId="0" xfId="6" applyFont="1" applyFill="1" applyAlignment="1">
      <alignment horizontal="left" wrapText="1"/>
    </xf>
    <xf numFmtId="184" fontId="82" fillId="10" borderId="0" xfId="6" applyNumberFormat="1" applyFont="1" applyFill="1" applyAlignment="1">
      <alignment horizontal="left" wrapText="1"/>
    </xf>
    <xf numFmtId="0" fontId="84" fillId="0" borderId="0" xfId="4" applyFont="1" applyAlignment="1">
      <alignment horizontal="left" vertical="center" wrapText="1"/>
    </xf>
    <xf numFmtId="184" fontId="84" fillId="0" borderId="0" xfId="4" applyNumberFormat="1" applyFont="1" applyAlignment="1">
      <alignment horizontal="right" vertical="center" wrapText="1"/>
    </xf>
    <xf numFmtId="184" fontId="84" fillId="10" borderId="0" xfId="4" applyNumberFormat="1" applyFont="1" applyFill="1" applyAlignment="1">
      <alignment horizontal="right" vertical="center" wrapText="1"/>
    </xf>
    <xf numFmtId="184" fontId="81" fillId="0" borderId="0" xfId="4" applyNumberFormat="1" applyFont="1" applyAlignment="1">
      <alignment horizontal="left" vertical="center" wrapText="1"/>
    </xf>
    <xf numFmtId="0" fontId="81" fillId="0" borderId="0" xfId="4" applyFont="1" applyAlignment="1">
      <alignment horizontal="left" vertical="center" wrapText="1"/>
    </xf>
    <xf numFmtId="0" fontId="84" fillId="0" borderId="0" xfId="4" applyFont="1" applyAlignment="1">
      <alignment horizontal="left" wrapText="1"/>
    </xf>
    <xf numFmtId="184" fontId="84" fillId="0" borderId="0" xfId="4" applyNumberFormat="1" applyFont="1" applyAlignment="1">
      <alignment horizontal="right" wrapText="1"/>
    </xf>
    <xf numFmtId="0" fontId="85" fillId="10" borderId="0" xfId="6" applyFont="1" applyFill="1" applyAlignment="1">
      <alignment vertical="center" wrapText="1"/>
    </xf>
    <xf numFmtId="0" fontId="78" fillId="10" borderId="0" xfId="8" applyFont="1" applyFill="1" applyAlignment="1">
      <alignment vertical="center" wrapText="1"/>
    </xf>
    <xf numFmtId="0" fontId="85" fillId="0" borderId="0" xfId="6" applyFont="1" applyAlignment="1">
      <alignment vertical="center" wrapText="1"/>
    </xf>
    <xf numFmtId="0" fontId="87" fillId="10" borderId="0" xfId="6" applyFont="1" applyFill="1" applyAlignment="1">
      <alignment vertical="center" wrapText="1"/>
    </xf>
    <xf numFmtId="0" fontId="78" fillId="0" borderId="0" xfId="8" applyFont="1" applyAlignment="1">
      <alignment vertical="center" wrapText="1"/>
    </xf>
    <xf numFmtId="0" fontId="92" fillId="0" borderId="0" xfId="0" applyFont="1">
      <alignment vertical="center"/>
    </xf>
    <xf numFmtId="0" fontId="65" fillId="0" borderId="0" xfId="0" applyFont="1">
      <alignment vertical="center"/>
    </xf>
    <xf numFmtId="176" fontId="12" fillId="0" borderId="0" xfId="1" applyNumberFormat="1" applyFont="1" applyFill="1" applyBorder="1">
      <alignment vertical="center"/>
    </xf>
    <xf numFmtId="177" fontId="28" fillId="5" borderId="0" xfId="1" applyNumberFormat="1" applyFont="1" applyFill="1" applyBorder="1">
      <alignment vertical="center"/>
    </xf>
    <xf numFmtId="182" fontId="12" fillId="5" borderId="0" xfId="1" applyNumberFormat="1" applyFont="1" applyFill="1" applyBorder="1">
      <alignment vertical="center"/>
    </xf>
    <xf numFmtId="177" fontId="12" fillId="5" borderId="0" xfId="0" applyNumberFormat="1" applyFont="1" applyFill="1">
      <alignment vertical="center"/>
    </xf>
    <xf numFmtId="0" fontId="117" fillId="0" borderId="0" xfId="0" applyFont="1">
      <alignment vertical="center"/>
    </xf>
    <xf numFmtId="0" fontId="118" fillId="0" borderId="0" xfId="0" applyFont="1">
      <alignment vertical="center"/>
    </xf>
    <xf numFmtId="0" fontId="119" fillId="0" borderId="0" xfId="0" applyFont="1">
      <alignment vertical="center"/>
    </xf>
    <xf numFmtId="0" fontId="43" fillId="0" borderId="0" xfId="0" applyFont="1">
      <alignment vertical="center"/>
    </xf>
    <xf numFmtId="184" fontId="84" fillId="11" borderId="25" xfId="4" applyNumberFormat="1" applyFont="1" applyFill="1" applyBorder="1" applyAlignment="1">
      <alignment horizontal="center" vertical="center"/>
    </xf>
    <xf numFmtId="0" fontId="84" fillId="11" borderId="25" xfId="4" applyFont="1" applyFill="1" applyBorder="1" applyAlignment="1">
      <alignment horizontal="center" vertical="center"/>
    </xf>
    <xf numFmtId="184" fontId="89" fillId="4" borderId="25" xfId="4" applyNumberFormat="1" applyFont="1" applyFill="1" applyBorder="1" applyAlignment="1">
      <alignment horizontal="center" vertical="center"/>
    </xf>
    <xf numFmtId="0" fontId="84" fillId="0" borderId="0" xfId="4" applyFont="1" applyAlignment="1">
      <alignment horizontal="left" vertical="center"/>
    </xf>
    <xf numFmtId="0" fontId="121" fillId="44" borderId="25" xfId="0" applyFont="1" applyFill="1" applyBorder="1" applyAlignment="1">
      <alignment horizontal="center" vertical="center" wrapText="1"/>
    </xf>
    <xf numFmtId="41" fontId="85" fillId="10" borderId="0" xfId="2" applyFont="1" applyFill="1" applyAlignment="1">
      <alignment vertical="center" wrapText="1"/>
    </xf>
    <xf numFmtId="41" fontId="85" fillId="0" borderId="0" xfId="2" applyFont="1" applyFill="1" applyAlignment="1">
      <alignment vertical="center" wrapText="1"/>
    </xf>
    <xf numFmtId="0" fontId="84" fillId="0" borderId="0" xfId="4" applyFont="1" applyAlignment="1">
      <alignment horizontal="left"/>
    </xf>
    <xf numFmtId="0" fontId="29" fillId="2" borderId="1" xfId="0" applyFont="1" applyFill="1" applyBorder="1" applyAlignment="1">
      <alignment horizontal="left" vertical="center"/>
    </xf>
    <xf numFmtId="0" fontId="29" fillId="2" borderId="2" xfId="0" applyFont="1" applyFill="1" applyBorder="1" applyAlignment="1">
      <alignment horizontal="left" vertical="center"/>
    </xf>
    <xf numFmtId="0" fontId="122" fillId="0" borderId="2" xfId="0" applyFont="1" applyBorder="1" applyAlignment="1"/>
    <xf numFmtId="177" fontId="12" fillId="0" borderId="29" xfId="0" applyNumberFormat="1" applyFont="1" applyBorder="1" applyAlignment="1">
      <alignment horizontal="right" vertical="center"/>
    </xf>
    <xf numFmtId="0" fontId="59" fillId="0" borderId="0" xfId="0" applyFont="1" applyAlignment="1">
      <alignment horizontal="left" vertical="center"/>
    </xf>
    <xf numFmtId="176" fontId="29" fillId="0" borderId="2" xfId="0" applyNumberFormat="1" applyFont="1" applyBorder="1">
      <alignment vertical="center"/>
    </xf>
    <xf numFmtId="0" fontId="49" fillId="0" borderId="0" xfId="0" applyFont="1">
      <alignment vertical="center"/>
    </xf>
    <xf numFmtId="0" fontId="54" fillId="0" borderId="2" xfId="0" applyFont="1" applyBorder="1">
      <alignment vertical="center"/>
    </xf>
    <xf numFmtId="178" fontId="29" fillId="2" borderId="16" xfId="0" applyNumberFormat="1" applyFont="1" applyFill="1" applyBorder="1" applyAlignment="1">
      <alignment horizontal="center" vertical="center"/>
    </xf>
    <xf numFmtId="185" fontId="12" fillId="0" borderId="2" xfId="0" applyNumberFormat="1" applyFont="1" applyBorder="1">
      <alignment vertical="center"/>
    </xf>
    <xf numFmtId="177" fontId="43" fillId="0" borderId="0" xfId="1" applyNumberFormat="1" applyFont="1" applyFill="1" applyAlignment="1">
      <alignment horizontal="right" vertical="center"/>
    </xf>
    <xf numFmtId="0" fontId="49" fillId="2" borderId="1" xfId="0" applyFont="1" applyFill="1" applyBorder="1" applyAlignment="1">
      <alignment horizontal="center" vertical="center"/>
    </xf>
    <xf numFmtId="176" fontId="7" fillId="0" borderId="0" xfId="0" applyNumberFormat="1" applyFont="1">
      <alignment vertical="center"/>
    </xf>
    <xf numFmtId="183" fontId="7" fillId="0" borderId="0" xfId="0" applyNumberFormat="1" applyFont="1">
      <alignment vertical="center"/>
    </xf>
    <xf numFmtId="178" fontId="49" fillId="2" borderId="18" xfId="0" applyNumberFormat="1" applyFont="1" applyFill="1" applyBorder="1" applyAlignment="1">
      <alignment horizontal="center" vertical="center"/>
    </xf>
    <xf numFmtId="0" fontId="52" fillId="0" borderId="2" xfId="0" applyFont="1" applyBorder="1" applyAlignment="1">
      <alignment horizontal="left" vertical="center"/>
    </xf>
    <xf numFmtId="176" fontId="45" fillId="0" borderId="0" xfId="2" applyNumberFormat="1" applyFont="1" applyFill="1" applyBorder="1">
      <alignment vertical="center"/>
    </xf>
    <xf numFmtId="177" fontId="29" fillId="0" borderId="0" xfId="1" applyNumberFormat="1" applyFont="1" applyFill="1">
      <alignment vertical="center"/>
    </xf>
    <xf numFmtId="178" fontId="49" fillId="2" borderId="1" xfId="0" applyNumberFormat="1" applyFont="1" applyFill="1" applyBorder="1" applyAlignment="1">
      <alignment horizontal="centerContinuous" vertical="center"/>
    </xf>
    <xf numFmtId="0" fontId="29" fillId="2" borderId="0" xfId="0" applyFont="1" applyFill="1" applyAlignment="1">
      <alignment horizontal="center" vertical="center"/>
    </xf>
    <xf numFmtId="0" fontId="50" fillId="0" borderId="2" xfId="0" applyFont="1" applyBorder="1">
      <alignment vertical="center"/>
    </xf>
    <xf numFmtId="177" fontId="27" fillId="0" borderId="0" xfId="1" applyNumberFormat="1" applyFont="1">
      <alignment vertical="center"/>
    </xf>
    <xf numFmtId="10" fontId="27" fillId="0" borderId="0" xfId="0" applyNumberFormat="1" applyFont="1">
      <alignment vertical="center"/>
    </xf>
    <xf numFmtId="0" fontId="54" fillId="0" borderId="0" xfId="0" applyFont="1">
      <alignment vertical="center"/>
    </xf>
    <xf numFmtId="0" fontId="49" fillId="2" borderId="2" xfId="0" applyFont="1" applyFill="1" applyBorder="1" applyAlignment="1">
      <alignment horizontal="center" vertical="center"/>
    </xf>
    <xf numFmtId="176" fontId="29" fillId="0" borderId="0" xfId="0" applyNumberFormat="1" applyFont="1">
      <alignment vertical="center"/>
    </xf>
    <xf numFmtId="0" fontId="59" fillId="0" borderId="42" xfId="0" applyFont="1" applyBorder="1">
      <alignment vertical="center"/>
    </xf>
    <xf numFmtId="0" fontId="49" fillId="0" borderId="2" xfId="0" applyFont="1" applyBorder="1" applyAlignment="1">
      <alignment horizontal="left" vertical="center"/>
    </xf>
    <xf numFmtId="0" fontId="44" fillId="5" borderId="1" xfId="0" applyFont="1" applyFill="1" applyBorder="1">
      <alignment vertical="center"/>
    </xf>
    <xf numFmtId="0" fontId="45" fillId="5" borderId="1" xfId="0" applyFont="1" applyFill="1" applyBorder="1">
      <alignment vertical="center"/>
    </xf>
    <xf numFmtId="0" fontId="44" fillId="5" borderId="0" xfId="0" applyFont="1" applyFill="1">
      <alignment vertical="center"/>
    </xf>
    <xf numFmtId="0" fontId="45" fillId="5" borderId="0" xfId="0" applyFont="1" applyFill="1">
      <alignment vertical="center"/>
    </xf>
    <xf numFmtId="0" fontId="44" fillId="5" borderId="42" xfId="0" applyFont="1" applyFill="1" applyBorder="1">
      <alignment vertical="center"/>
    </xf>
    <xf numFmtId="0" fontId="45" fillId="5" borderId="42" xfId="0" applyFont="1" applyFill="1" applyBorder="1">
      <alignment vertical="center"/>
    </xf>
    <xf numFmtId="0" fontId="44" fillId="5" borderId="2" xfId="0" applyFont="1" applyFill="1" applyBorder="1">
      <alignment vertical="center"/>
    </xf>
    <xf numFmtId="0" fontId="45" fillId="5" borderId="2" xfId="0" applyFont="1" applyFill="1" applyBorder="1">
      <alignment vertical="center"/>
    </xf>
    <xf numFmtId="177" fontId="19" fillId="0" borderId="0" xfId="1" applyNumberFormat="1" applyFont="1" applyFill="1" applyBorder="1">
      <alignment vertical="center"/>
    </xf>
    <xf numFmtId="0" fontId="40" fillId="0" borderId="0" xfId="0" applyFont="1">
      <alignment vertical="center"/>
    </xf>
    <xf numFmtId="182" fontId="19" fillId="0" borderId="0" xfId="0" applyNumberFormat="1" applyFont="1">
      <alignment vertical="center"/>
    </xf>
    <xf numFmtId="43" fontId="40" fillId="0" borderId="0" xfId="0" applyNumberFormat="1" applyFont="1">
      <alignment vertical="center"/>
    </xf>
    <xf numFmtId="0" fontId="21" fillId="0" borderId="0" xfId="0" applyFont="1" applyAlignment="1">
      <alignment horizontal="center" vertical="center"/>
    </xf>
    <xf numFmtId="177" fontId="29" fillId="0" borderId="2" xfId="1" applyNumberFormat="1" applyFont="1" applyFill="1" applyBorder="1" applyAlignment="1">
      <alignment horizontal="right" vertical="center"/>
    </xf>
    <xf numFmtId="177" fontId="29" fillId="0" borderId="0" xfId="1" applyNumberFormat="1" applyFont="1" applyFill="1" applyAlignment="1">
      <alignment horizontal="right" vertical="center"/>
    </xf>
    <xf numFmtId="187" fontId="139" fillId="0" borderId="0" xfId="2" applyNumberFormat="1" applyFont="1" applyFill="1" applyBorder="1">
      <alignment vertical="center"/>
    </xf>
    <xf numFmtId="177" fontId="12" fillId="0" borderId="0" xfId="1" applyNumberFormat="1" applyFont="1" applyFill="1" applyBorder="1" applyAlignment="1">
      <alignment horizontal="right" vertical="center"/>
    </xf>
    <xf numFmtId="0" fontId="26" fillId="2" borderId="2" xfId="0" applyFont="1" applyFill="1" applyBorder="1" applyAlignment="1">
      <alignment horizontal="center" vertical="center"/>
    </xf>
    <xf numFmtId="177" fontId="12" fillId="0" borderId="1" xfId="1" applyNumberFormat="1" applyFont="1" applyBorder="1">
      <alignment vertical="center"/>
    </xf>
    <xf numFmtId="178" fontId="49" fillId="2" borderId="2" xfId="0" applyNumberFormat="1" applyFont="1" applyFill="1" applyBorder="1" applyAlignment="1">
      <alignment horizontal="center" vertical="center"/>
    </xf>
    <xf numFmtId="0" fontId="116" fillId="43" borderId="2" xfId="0" applyFont="1" applyFill="1" applyBorder="1" applyAlignment="1">
      <alignment horizontal="center" vertical="center"/>
    </xf>
    <xf numFmtId="0" fontId="49" fillId="2" borderId="0" xfId="0" applyFont="1" applyFill="1" applyAlignment="1">
      <alignment horizontal="center" vertical="center"/>
    </xf>
    <xf numFmtId="177" fontId="28" fillId="0" borderId="1" xfId="1" applyNumberFormat="1" applyFont="1" applyFill="1" applyBorder="1">
      <alignment vertical="center"/>
    </xf>
    <xf numFmtId="182" fontId="27" fillId="0" borderId="0" xfId="1" applyNumberFormat="1" applyFont="1" applyFill="1" applyBorder="1">
      <alignment vertical="center"/>
    </xf>
    <xf numFmtId="177" fontId="12" fillId="0" borderId="2" xfId="1" applyNumberFormat="1" applyFont="1" applyFill="1" applyBorder="1">
      <alignment vertical="center"/>
    </xf>
    <xf numFmtId="192" fontId="11" fillId="0" borderId="1" xfId="1" applyNumberFormat="1" applyFont="1" applyFill="1" applyBorder="1">
      <alignment vertical="center"/>
    </xf>
    <xf numFmtId="192" fontId="12" fillId="0" borderId="0" xfId="1" applyNumberFormat="1" applyFont="1" applyFill="1" applyBorder="1">
      <alignment vertical="center"/>
    </xf>
    <xf numFmtId="192" fontId="12" fillId="0" borderId="42" xfId="1" applyNumberFormat="1" applyFont="1" applyFill="1" applyBorder="1">
      <alignment vertical="center"/>
    </xf>
    <xf numFmtId="192" fontId="11" fillId="0" borderId="0" xfId="1" applyNumberFormat="1" applyFont="1" applyFill="1" applyBorder="1">
      <alignment vertical="center"/>
    </xf>
    <xf numFmtId="192" fontId="12" fillId="0" borderId="2" xfId="1" applyNumberFormat="1" applyFont="1" applyFill="1" applyBorder="1">
      <alignment vertical="center"/>
    </xf>
    <xf numFmtId="183" fontId="12" fillId="0" borderId="0" xfId="1" applyNumberFormat="1" applyFont="1" applyFill="1" applyBorder="1">
      <alignment vertical="center"/>
    </xf>
    <xf numFmtId="183" fontId="91" fillId="0" borderId="0" xfId="1" applyNumberFormat="1" applyFont="1" applyFill="1" applyBorder="1">
      <alignment vertical="center"/>
    </xf>
    <xf numFmtId="183" fontId="12" fillId="0" borderId="1" xfId="1" applyNumberFormat="1" applyFont="1" applyFill="1" applyBorder="1">
      <alignment vertical="center"/>
    </xf>
    <xf numFmtId="183" fontId="13" fillId="0" borderId="0" xfId="1" applyNumberFormat="1" applyFont="1" applyFill="1" applyBorder="1">
      <alignment vertical="center"/>
    </xf>
    <xf numFmtId="178" fontId="49" fillId="2" borderId="22" xfId="0" applyNumberFormat="1" applyFont="1" applyFill="1" applyBorder="1" applyAlignment="1">
      <alignment horizontal="center" vertical="center"/>
    </xf>
    <xf numFmtId="41" fontId="19" fillId="0" borderId="0" xfId="2" applyFont="1" applyFill="1" applyBorder="1">
      <alignment vertical="center"/>
    </xf>
    <xf numFmtId="41" fontId="27" fillId="0" borderId="0" xfId="2" applyFont="1" applyFill="1" applyBorder="1">
      <alignment vertical="center"/>
    </xf>
    <xf numFmtId="176" fontId="11" fillId="5" borderId="14" xfId="0" applyNumberFormat="1" applyFont="1" applyFill="1" applyBorder="1">
      <alignment vertical="center"/>
    </xf>
    <xf numFmtId="176" fontId="12" fillId="5" borderId="7" xfId="0" applyNumberFormat="1" applyFont="1" applyFill="1" applyBorder="1">
      <alignment vertical="center"/>
    </xf>
    <xf numFmtId="177" fontId="33" fillId="5" borderId="15" xfId="1" applyNumberFormat="1" applyFont="1" applyFill="1" applyBorder="1">
      <alignment vertical="center"/>
    </xf>
    <xf numFmtId="176" fontId="12" fillId="5" borderId="10" xfId="0" applyNumberFormat="1" applyFont="1" applyFill="1" applyBorder="1">
      <alignment vertical="center"/>
    </xf>
    <xf numFmtId="177" fontId="11" fillId="5" borderId="14" xfId="0" applyNumberFormat="1" applyFont="1" applyFill="1" applyBorder="1">
      <alignment vertical="center"/>
    </xf>
    <xf numFmtId="177" fontId="12" fillId="5" borderId="7" xfId="0" applyNumberFormat="1" applyFont="1" applyFill="1" applyBorder="1">
      <alignment vertical="center"/>
    </xf>
    <xf numFmtId="185" fontId="33" fillId="5" borderId="15" xfId="0" applyNumberFormat="1" applyFont="1" applyFill="1" applyBorder="1">
      <alignment vertical="center"/>
    </xf>
    <xf numFmtId="177" fontId="12" fillId="5" borderId="10" xfId="0" applyNumberFormat="1" applyFont="1" applyFill="1" applyBorder="1">
      <alignment vertical="center"/>
    </xf>
    <xf numFmtId="183" fontId="12" fillId="0" borderId="1" xfId="2" applyNumberFormat="1" applyFont="1" applyFill="1" applyBorder="1" applyAlignment="1">
      <alignment vertical="center"/>
    </xf>
    <xf numFmtId="10" fontId="0" fillId="0" borderId="0" xfId="0" applyNumberFormat="1">
      <alignment vertical="center"/>
    </xf>
    <xf numFmtId="181" fontId="85" fillId="10" borderId="0" xfId="6" applyNumberFormat="1" applyFont="1" applyFill="1" applyAlignment="1">
      <alignment vertical="center" wrapText="1"/>
    </xf>
    <xf numFmtId="177" fontId="10" fillId="5" borderId="0" xfId="1" applyNumberFormat="1" applyFont="1" applyFill="1" applyBorder="1">
      <alignment vertical="center"/>
    </xf>
    <xf numFmtId="177" fontId="7" fillId="5" borderId="0" xfId="1" applyNumberFormat="1" applyFont="1" applyFill="1" applyBorder="1">
      <alignment vertical="center"/>
    </xf>
    <xf numFmtId="177" fontId="7" fillId="5" borderId="42" xfId="1" applyNumberFormat="1" applyFont="1" applyFill="1" applyBorder="1">
      <alignment vertical="center"/>
    </xf>
    <xf numFmtId="177" fontId="10" fillId="5" borderId="2" xfId="1" applyNumberFormat="1" applyFont="1" applyFill="1" applyBorder="1">
      <alignment vertical="center"/>
    </xf>
    <xf numFmtId="177" fontId="30" fillId="5" borderId="2" xfId="1" applyNumberFormat="1" applyFont="1" applyFill="1" applyBorder="1">
      <alignment vertical="center"/>
    </xf>
    <xf numFmtId="183" fontId="10" fillId="0" borderId="0" xfId="0" applyNumberFormat="1" applyFont="1">
      <alignment vertical="center"/>
    </xf>
    <xf numFmtId="183" fontId="43" fillId="0" borderId="0" xfId="0" applyNumberFormat="1" applyFont="1">
      <alignment vertical="center"/>
    </xf>
    <xf numFmtId="183" fontId="22" fillId="0" borderId="0" xfId="0" applyNumberFormat="1" applyFont="1">
      <alignment vertical="center"/>
    </xf>
    <xf numFmtId="177" fontId="12" fillId="0" borderId="1" xfId="1" applyNumberFormat="1" applyFont="1" applyFill="1" applyBorder="1">
      <alignment vertical="center"/>
    </xf>
    <xf numFmtId="177" fontId="12" fillId="0" borderId="42" xfId="1" applyNumberFormat="1" applyFont="1" applyFill="1" applyBorder="1">
      <alignment vertical="center"/>
    </xf>
    <xf numFmtId="177" fontId="12" fillId="0" borderId="43" xfId="1" applyNumberFormat="1" applyFont="1" applyFill="1" applyBorder="1">
      <alignment vertical="center"/>
    </xf>
    <xf numFmtId="177" fontId="12" fillId="0" borderId="16" xfId="1" applyNumberFormat="1" applyFont="1" applyFill="1" applyBorder="1">
      <alignment vertical="center"/>
    </xf>
    <xf numFmtId="177" fontId="11" fillId="0" borderId="7" xfId="1" applyNumberFormat="1" applyFont="1" applyBorder="1">
      <alignment vertical="center"/>
    </xf>
    <xf numFmtId="178" fontId="49" fillId="2" borderId="1" xfId="0" applyNumberFormat="1" applyFont="1" applyFill="1" applyBorder="1">
      <alignment vertical="center"/>
    </xf>
    <xf numFmtId="0" fontId="22" fillId="0" borderId="43" xfId="0" applyFont="1" applyBorder="1">
      <alignment vertical="center"/>
    </xf>
    <xf numFmtId="0" fontId="49" fillId="2" borderId="23" xfId="0" applyFont="1" applyFill="1" applyBorder="1">
      <alignment vertical="center"/>
    </xf>
    <xf numFmtId="0" fontId="51" fillId="0" borderId="21" xfId="0" applyFont="1" applyBorder="1">
      <alignment vertical="center"/>
    </xf>
    <xf numFmtId="0" fontId="51" fillId="0" borderId="22" xfId="0" applyFont="1" applyBorder="1">
      <alignment vertical="center"/>
    </xf>
    <xf numFmtId="183" fontId="7" fillId="0" borderId="0" xfId="1" applyNumberFormat="1" applyFont="1" applyFill="1" applyBorder="1">
      <alignment vertical="center"/>
    </xf>
    <xf numFmtId="183" fontId="7" fillId="0" borderId="42" xfId="1" applyNumberFormat="1" applyFont="1" applyFill="1" applyBorder="1">
      <alignment vertical="center"/>
    </xf>
    <xf numFmtId="183" fontId="7" fillId="0" borderId="21" xfId="1" applyNumberFormat="1" applyFont="1" applyFill="1" applyBorder="1">
      <alignment vertical="center"/>
    </xf>
    <xf numFmtId="183" fontId="7" fillId="0" borderId="45" xfId="1" applyNumberFormat="1" applyFont="1" applyFill="1" applyBorder="1">
      <alignment vertical="center"/>
    </xf>
    <xf numFmtId="0" fontId="116" fillId="43" borderId="48" xfId="0" applyFont="1" applyFill="1" applyBorder="1" applyAlignment="1">
      <alignment horizontal="center" vertical="center"/>
    </xf>
    <xf numFmtId="176" fontId="29" fillId="0" borderId="49" xfId="0" applyNumberFormat="1" applyFont="1" applyBorder="1">
      <alignment vertical="center"/>
    </xf>
    <xf numFmtId="183" fontId="43" fillId="0" borderId="49" xfId="0" applyNumberFormat="1" applyFont="1" applyBorder="1">
      <alignment vertical="center"/>
    </xf>
    <xf numFmtId="176" fontId="29" fillId="0" borderId="48" xfId="0" applyNumberFormat="1" applyFont="1" applyBorder="1">
      <alignment vertical="center"/>
    </xf>
    <xf numFmtId="182" fontId="10" fillId="5" borderId="49" xfId="0" applyNumberFormat="1" applyFont="1" applyFill="1" applyBorder="1">
      <alignment vertical="center"/>
    </xf>
    <xf numFmtId="182" fontId="10" fillId="5" borderId="48" xfId="0" applyNumberFormat="1" applyFont="1" applyFill="1" applyBorder="1">
      <alignment vertical="center"/>
    </xf>
    <xf numFmtId="0" fontId="29" fillId="2" borderId="21" xfId="0" applyFont="1" applyFill="1" applyBorder="1" applyAlignment="1">
      <alignment horizontal="center" vertical="center"/>
    </xf>
    <xf numFmtId="0" fontId="29" fillId="2" borderId="21" xfId="0" applyFont="1" applyFill="1" applyBorder="1" applyAlignment="1">
      <alignment horizontal="right" vertical="center"/>
    </xf>
    <xf numFmtId="177" fontId="12" fillId="0" borderId="21" xfId="1" applyNumberFormat="1" applyFont="1" applyFill="1" applyBorder="1">
      <alignment vertical="center"/>
    </xf>
    <xf numFmtId="176" fontId="12" fillId="0" borderId="21" xfId="1" applyNumberFormat="1" applyFont="1" applyFill="1" applyBorder="1">
      <alignment vertical="center"/>
    </xf>
    <xf numFmtId="177" fontId="27" fillId="0" borderId="21" xfId="1" applyNumberFormat="1" applyFont="1" applyFill="1" applyBorder="1">
      <alignment vertical="center"/>
    </xf>
    <xf numFmtId="183" fontId="12" fillId="0" borderId="23" xfId="2" applyNumberFormat="1" applyFont="1" applyFill="1" applyBorder="1" applyAlignment="1">
      <alignment vertical="center"/>
    </xf>
    <xf numFmtId="183" fontId="12" fillId="0" borderId="21" xfId="1" applyNumberFormat="1" applyFont="1" applyFill="1" applyBorder="1">
      <alignment vertical="center"/>
    </xf>
    <xf numFmtId="183" fontId="91" fillId="0" borderId="21" xfId="1" applyNumberFormat="1" applyFont="1" applyFill="1" applyBorder="1">
      <alignment vertical="center"/>
    </xf>
    <xf numFmtId="183" fontId="12" fillId="0" borderId="23" xfId="1" applyNumberFormat="1" applyFont="1" applyFill="1" applyBorder="1">
      <alignment vertical="center"/>
    </xf>
    <xf numFmtId="183" fontId="13" fillId="0" borderId="21" xfId="1" applyNumberFormat="1" applyFont="1" applyFill="1" applyBorder="1">
      <alignment vertical="center"/>
    </xf>
    <xf numFmtId="182" fontId="45" fillId="0" borderId="0" xfId="0" applyNumberFormat="1" applyFont="1" applyAlignment="1">
      <alignment horizontal="left" vertical="center"/>
    </xf>
    <xf numFmtId="192" fontId="11" fillId="0" borderId="23" xfId="1" applyNumberFormat="1" applyFont="1" applyFill="1" applyBorder="1">
      <alignment vertical="center"/>
    </xf>
    <xf numFmtId="192" fontId="12" fillId="0" borderId="21" xfId="1" applyNumberFormat="1" applyFont="1" applyFill="1" applyBorder="1">
      <alignment vertical="center"/>
    </xf>
    <xf numFmtId="192" fontId="12" fillId="0" borderId="45" xfId="1" applyNumberFormat="1" applyFont="1" applyFill="1" applyBorder="1">
      <alignment vertical="center"/>
    </xf>
    <xf numFmtId="192" fontId="11" fillId="0" borderId="21" xfId="1" applyNumberFormat="1" applyFont="1" applyFill="1" applyBorder="1">
      <alignment vertical="center"/>
    </xf>
    <xf numFmtId="192" fontId="12" fillId="0" borderId="22" xfId="1" applyNumberFormat="1" applyFont="1" applyFill="1" applyBorder="1">
      <alignment vertical="center"/>
    </xf>
    <xf numFmtId="176" fontId="12" fillId="0" borderId="7" xfId="0" applyNumberFormat="1" applyFont="1" applyBorder="1">
      <alignment vertical="center"/>
    </xf>
    <xf numFmtId="177" fontId="43" fillId="0" borderId="0" xfId="1" applyNumberFormat="1" applyFont="1" applyFill="1">
      <alignment vertical="center"/>
    </xf>
    <xf numFmtId="9" fontId="7" fillId="0" borderId="21" xfId="1" applyFont="1" applyFill="1" applyBorder="1">
      <alignment vertical="center"/>
    </xf>
    <xf numFmtId="9" fontId="7" fillId="0" borderId="45" xfId="1" applyFont="1" applyFill="1" applyBorder="1">
      <alignment vertical="center"/>
    </xf>
    <xf numFmtId="9" fontId="10" fillId="0" borderId="22" xfId="1" applyFont="1" applyFill="1" applyBorder="1">
      <alignment vertical="center"/>
    </xf>
    <xf numFmtId="9" fontId="30" fillId="0" borderId="22" xfId="1" applyFont="1" applyFill="1" applyBorder="1">
      <alignment vertical="center"/>
    </xf>
    <xf numFmtId="185" fontId="27" fillId="0" borderId="42" xfId="1" applyNumberFormat="1" applyFont="1" applyBorder="1">
      <alignment vertical="center"/>
    </xf>
    <xf numFmtId="193" fontId="19" fillId="0" borderId="0" xfId="0" applyNumberFormat="1" applyFont="1" applyAlignment="1">
      <alignment horizontal="center" vertical="center"/>
    </xf>
    <xf numFmtId="177" fontId="22" fillId="0" borderId="0" xfId="1" applyNumberFormat="1" applyFont="1">
      <alignment vertical="center"/>
    </xf>
    <xf numFmtId="194" fontId="10" fillId="5" borderId="0" xfId="0" applyNumberFormat="1" applyFont="1" applyFill="1">
      <alignment vertical="center"/>
    </xf>
    <xf numFmtId="194" fontId="22" fillId="0" borderId="0" xfId="0" applyNumberFormat="1" applyFont="1">
      <alignment vertical="center"/>
    </xf>
    <xf numFmtId="194" fontId="7" fillId="5" borderId="0" xfId="1" applyNumberFormat="1" applyFont="1" applyFill="1" applyBorder="1">
      <alignment vertical="center"/>
    </xf>
    <xf numFmtId="194" fontId="7" fillId="0" borderId="21" xfId="1" applyNumberFormat="1" applyFont="1" applyFill="1" applyBorder="1">
      <alignment vertical="center"/>
    </xf>
    <xf numFmtId="194" fontId="7" fillId="0" borderId="0" xfId="1" applyNumberFormat="1" applyFont="1" applyFill="1" applyBorder="1">
      <alignment vertical="center"/>
    </xf>
    <xf numFmtId="194" fontId="7" fillId="5" borderId="42" xfId="1" applyNumberFormat="1" applyFont="1" applyFill="1" applyBorder="1">
      <alignment vertical="center"/>
    </xf>
    <xf numFmtId="194" fontId="7" fillId="0" borderId="45" xfId="1" applyNumberFormat="1" applyFont="1" applyFill="1" applyBorder="1">
      <alignment vertical="center"/>
    </xf>
    <xf numFmtId="194" fontId="7" fillId="0" borderId="42" xfId="1" applyNumberFormat="1" applyFont="1" applyFill="1" applyBorder="1">
      <alignment vertical="center"/>
    </xf>
    <xf numFmtId="194" fontId="10" fillId="5" borderId="2" xfId="0" applyNumberFormat="1" applyFont="1" applyFill="1" applyBorder="1">
      <alignment vertical="center"/>
    </xf>
    <xf numFmtId="194" fontId="30" fillId="5" borderId="2" xfId="0" applyNumberFormat="1" applyFont="1" applyFill="1" applyBorder="1">
      <alignment vertical="center"/>
    </xf>
    <xf numFmtId="185" fontId="26" fillId="0" borderId="0" xfId="1" applyNumberFormat="1" applyFont="1" applyBorder="1">
      <alignment vertical="center"/>
    </xf>
    <xf numFmtId="185" fontId="26" fillId="0" borderId="2" xfId="1" applyNumberFormat="1" applyFont="1" applyBorder="1">
      <alignment vertical="center"/>
    </xf>
    <xf numFmtId="185" fontId="28" fillId="0" borderId="16" xfId="1" applyNumberFormat="1" applyFont="1" applyBorder="1">
      <alignment vertical="center"/>
    </xf>
    <xf numFmtId="9" fontId="10" fillId="0" borderId="0" xfId="1" applyFont="1" applyFill="1" applyBorder="1">
      <alignment vertical="center"/>
    </xf>
    <xf numFmtId="9" fontId="7" fillId="0" borderId="0" xfId="1" applyFont="1" applyFill="1" applyBorder="1">
      <alignment vertical="center"/>
    </xf>
    <xf numFmtId="9" fontId="7" fillId="0" borderId="42" xfId="1" applyFont="1" applyFill="1" applyBorder="1">
      <alignment vertical="center"/>
    </xf>
    <xf numFmtId="9" fontId="10" fillId="0" borderId="2" xfId="1" applyFont="1" applyFill="1" applyBorder="1">
      <alignment vertical="center"/>
    </xf>
    <xf numFmtId="9" fontId="30" fillId="0" borderId="2" xfId="1" applyFont="1" applyFill="1" applyBorder="1">
      <alignment vertical="center"/>
    </xf>
    <xf numFmtId="177" fontId="12" fillId="0" borderId="10" xfId="1" applyNumberFormat="1" applyFont="1" applyBorder="1" applyAlignment="1">
      <alignment horizontal="right" vertical="center"/>
    </xf>
    <xf numFmtId="183" fontId="19" fillId="0" borderId="0" xfId="0" quotePrefix="1" applyNumberFormat="1" applyFont="1">
      <alignment vertical="center"/>
    </xf>
    <xf numFmtId="0" fontId="140" fillId="0" borderId="0" xfId="0" applyFont="1">
      <alignment vertical="center"/>
    </xf>
    <xf numFmtId="177" fontId="13" fillId="0" borderId="0" xfId="1" applyNumberFormat="1" applyFont="1" applyBorder="1">
      <alignment vertical="center"/>
    </xf>
    <xf numFmtId="177" fontId="13" fillId="0" borderId="2" xfId="1" applyNumberFormat="1" applyFont="1" applyBorder="1">
      <alignment vertical="center"/>
    </xf>
    <xf numFmtId="177" fontId="29" fillId="0" borderId="12" xfId="1" applyNumberFormat="1" applyFont="1" applyFill="1" applyBorder="1">
      <alignment vertical="center"/>
    </xf>
    <xf numFmtId="177" fontId="49" fillId="0" borderId="2" xfId="1" applyNumberFormat="1" applyFont="1" applyFill="1" applyBorder="1">
      <alignment vertical="center"/>
    </xf>
    <xf numFmtId="0" fontId="141" fillId="0" borderId="0" xfId="0" applyFont="1">
      <alignment vertical="center"/>
    </xf>
    <xf numFmtId="177" fontId="29" fillId="0" borderId="0" xfId="1" applyNumberFormat="1" applyFont="1" applyFill="1" applyBorder="1" applyAlignment="1">
      <alignment horizontal="right" vertical="center"/>
    </xf>
    <xf numFmtId="177" fontId="43" fillId="0" borderId="0" xfId="1" applyNumberFormat="1" applyFont="1" applyFill="1" applyBorder="1" applyAlignment="1">
      <alignment horizontal="right" vertical="center"/>
    </xf>
    <xf numFmtId="176" fontId="29" fillId="0" borderId="43" xfId="0" applyNumberFormat="1" applyFont="1" applyBorder="1">
      <alignment vertical="center"/>
    </xf>
    <xf numFmtId="176" fontId="29" fillId="0" borderId="52" xfId="0" applyNumberFormat="1" applyFont="1" applyBorder="1">
      <alignment vertical="center"/>
    </xf>
    <xf numFmtId="177" fontId="29" fillId="0" borderId="43" xfId="1" applyNumberFormat="1" applyFont="1" applyFill="1" applyBorder="1" applyAlignment="1">
      <alignment horizontal="right" vertical="center"/>
    </xf>
    <xf numFmtId="0" fontId="54" fillId="0" borderId="42" xfId="0" applyFont="1" applyBorder="1">
      <alignment vertical="center"/>
    </xf>
    <xf numFmtId="176" fontId="29" fillId="0" borderId="42" xfId="0" applyNumberFormat="1" applyFont="1" applyBorder="1">
      <alignment vertical="center"/>
    </xf>
    <xf numFmtId="176" fontId="29" fillId="0" borderId="50" xfId="0" applyNumberFormat="1" applyFont="1" applyBorder="1">
      <alignment vertical="center"/>
    </xf>
    <xf numFmtId="177" fontId="29" fillId="0" borderId="42" xfId="1" applyNumberFormat="1" applyFont="1" applyFill="1" applyBorder="1" applyAlignment="1">
      <alignment horizontal="right" vertical="center"/>
    </xf>
    <xf numFmtId="0" fontId="54" fillId="0" borderId="43" xfId="0" applyFont="1" applyBorder="1">
      <alignment vertical="center"/>
    </xf>
    <xf numFmtId="0" fontId="49" fillId="0" borderId="0" xfId="0" applyFont="1" applyAlignment="1">
      <alignment horizontal="left" vertical="center"/>
    </xf>
    <xf numFmtId="0" fontId="142" fillId="0" borderId="0" xfId="0" applyFont="1">
      <alignment vertical="center"/>
    </xf>
    <xf numFmtId="183" fontId="30" fillId="0" borderId="0" xfId="0" applyNumberFormat="1" applyFont="1">
      <alignment vertical="center"/>
    </xf>
    <xf numFmtId="177" fontId="27" fillId="0" borderId="2" xfId="0" applyNumberFormat="1" applyFont="1" applyBorder="1">
      <alignment vertical="center"/>
    </xf>
    <xf numFmtId="195" fontId="12" fillId="0" borderId="2" xfId="0" applyNumberFormat="1" applyFont="1" applyBorder="1">
      <alignment vertical="center"/>
    </xf>
    <xf numFmtId="178" fontId="49" fillId="2" borderId="1" xfId="0" applyNumberFormat="1" applyFont="1" applyFill="1" applyBorder="1" applyAlignment="1">
      <alignment horizontal="center" vertical="center"/>
    </xf>
    <xf numFmtId="182" fontId="10" fillId="8" borderId="0" xfId="0" applyNumberFormat="1" applyFont="1" applyFill="1">
      <alignment vertical="center"/>
    </xf>
    <xf numFmtId="183" fontId="7" fillId="8" borderId="0" xfId="1" applyNumberFormat="1" applyFont="1" applyFill="1" applyBorder="1">
      <alignment vertical="center"/>
    </xf>
    <xf numFmtId="183" fontId="7" fillId="8" borderId="42" xfId="1" applyNumberFormat="1" applyFont="1" applyFill="1" applyBorder="1">
      <alignment vertical="center"/>
    </xf>
    <xf numFmtId="182" fontId="10" fillId="8" borderId="2" xfId="0" applyNumberFormat="1" applyFont="1" applyFill="1" applyBorder="1">
      <alignment vertical="center"/>
    </xf>
    <xf numFmtId="176" fontId="30" fillId="8" borderId="2" xfId="0" applyNumberFormat="1" applyFont="1" applyFill="1" applyBorder="1">
      <alignment vertical="center"/>
    </xf>
    <xf numFmtId="9" fontId="7" fillId="8" borderId="0" xfId="1" applyFont="1" applyFill="1" applyBorder="1">
      <alignment vertical="center"/>
    </xf>
    <xf numFmtId="9" fontId="7" fillId="8" borderId="42" xfId="1" applyFont="1" applyFill="1" applyBorder="1">
      <alignment vertical="center"/>
    </xf>
    <xf numFmtId="9" fontId="10" fillId="8" borderId="2" xfId="1" applyFont="1" applyFill="1" applyBorder="1">
      <alignment vertical="center"/>
    </xf>
    <xf numFmtId="9" fontId="30" fillId="8" borderId="2" xfId="1" applyFont="1" applyFill="1" applyBorder="1">
      <alignment vertical="center"/>
    </xf>
    <xf numFmtId="194" fontId="10" fillId="8" borderId="0" xfId="0" applyNumberFormat="1" applyFont="1" applyFill="1">
      <alignment vertical="center"/>
    </xf>
    <xf numFmtId="194" fontId="7" fillId="8" borderId="0" xfId="1" applyNumberFormat="1" applyFont="1" applyFill="1" applyBorder="1">
      <alignment vertical="center"/>
    </xf>
    <xf numFmtId="194" fontId="7" fillId="8" borderId="42" xfId="1" applyNumberFormat="1" applyFont="1" applyFill="1" applyBorder="1">
      <alignment vertical="center"/>
    </xf>
    <xf numFmtId="194" fontId="10" fillId="8" borderId="2" xfId="0" applyNumberFormat="1" applyFont="1" applyFill="1" applyBorder="1">
      <alignment vertical="center"/>
    </xf>
    <xf numFmtId="194" fontId="30" fillId="8" borderId="2" xfId="0" applyNumberFormat="1" applyFont="1" applyFill="1" applyBorder="1">
      <alignment vertical="center"/>
    </xf>
    <xf numFmtId="185" fontId="12" fillId="0" borderId="0" xfId="1" applyNumberFormat="1" applyFont="1" applyBorder="1">
      <alignment vertical="center"/>
    </xf>
    <xf numFmtId="0" fontId="26" fillId="0" borderId="0" xfId="0" applyFont="1">
      <alignment vertical="center"/>
    </xf>
    <xf numFmtId="0" fontId="54" fillId="0" borderId="0" xfId="0" applyFont="1" applyAlignment="1"/>
    <xf numFmtId="177" fontId="12" fillId="0" borderId="7" xfId="1" applyNumberFormat="1" applyFont="1" applyBorder="1" applyAlignment="1">
      <alignment horizontal="right" vertical="center"/>
    </xf>
    <xf numFmtId="176" fontId="29" fillId="0" borderId="1" xfId="0" applyNumberFormat="1" applyFont="1" applyBorder="1">
      <alignment vertical="center"/>
    </xf>
    <xf numFmtId="177" fontId="7" fillId="0" borderId="0" xfId="0" applyNumberFormat="1" applyFont="1" applyAlignment="1">
      <alignment horizontal="right" vertical="center"/>
    </xf>
    <xf numFmtId="183" fontId="29" fillId="0" borderId="0" xfId="0" applyNumberFormat="1" applyFont="1" applyAlignment="1">
      <alignment horizontal="right" vertical="center"/>
    </xf>
    <xf numFmtId="183" fontId="29" fillId="0" borderId="47" xfId="0" applyNumberFormat="1" applyFont="1" applyBorder="1" applyAlignment="1">
      <alignment horizontal="right" vertical="center"/>
    </xf>
    <xf numFmtId="183" fontId="43" fillId="0" borderId="0" xfId="0" applyNumberFormat="1" applyFont="1" applyAlignment="1">
      <alignment horizontal="right" vertical="center"/>
    </xf>
    <xf numFmtId="183" fontId="43" fillId="0" borderId="49" xfId="0" applyNumberFormat="1" applyFont="1" applyBorder="1" applyAlignment="1">
      <alignment horizontal="right" vertical="center"/>
    </xf>
    <xf numFmtId="183" fontId="29" fillId="0" borderId="49" xfId="0" applyNumberFormat="1" applyFont="1" applyBorder="1" applyAlignment="1">
      <alignment horizontal="right" vertical="center"/>
    </xf>
    <xf numFmtId="183" fontId="30" fillId="0" borderId="2" xfId="0" applyNumberFormat="1" applyFont="1" applyBorder="1" applyAlignment="1">
      <alignment horizontal="right" vertical="center"/>
    </xf>
    <xf numFmtId="183" fontId="30" fillId="0" borderId="48" xfId="0" applyNumberFormat="1" applyFont="1" applyBorder="1" applyAlignment="1">
      <alignment horizontal="right" vertical="center"/>
    </xf>
    <xf numFmtId="195" fontId="12" fillId="0" borderId="0" xfId="0" applyNumberFormat="1" applyFont="1">
      <alignment vertical="center"/>
    </xf>
    <xf numFmtId="195" fontId="11" fillId="0" borderId="13" xfId="0" applyNumberFormat="1" applyFont="1" applyBorder="1">
      <alignment vertical="center"/>
    </xf>
    <xf numFmtId="195" fontId="28" fillId="0" borderId="2" xfId="0" applyNumberFormat="1" applyFont="1" applyBorder="1">
      <alignment vertical="center"/>
    </xf>
    <xf numFmtId="9" fontId="30" fillId="0" borderId="0" xfId="1" applyFont="1" applyFill="1" applyBorder="1">
      <alignment vertical="center"/>
    </xf>
    <xf numFmtId="176" fontId="30" fillId="0" borderId="47" xfId="0" applyNumberFormat="1" applyFont="1" applyBorder="1">
      <alignment vertical="center"/>
    </xf>
    <xf numFmtId="176" fontId="30" fillId="0" borderId="49" xfId="0" applyNumberFormat="1" applyFont="1" applyBorder="1">
      <alignment vertical="center"/>
    </xf>
    <xf numFmtId="0" fontId="144" fillId="0" borderId="0" xfId="0" applyFont="1">
      <alignment vertical="center"/>
    </xf>
    <xf numFmtId="177" fontId="27" fillId="0" borderId="0" xfId="1" applyNumberFormat="1" applyFont="1" applyBorder="1">
      <alignment vertical="center"/>
    </xf>
    <xf numFmtId="177" fontId="28" fillId="0" borderId="0" xfId="1" applyNumberFormat="1" applyFont="1" applyFill="1" applyBorder="1">
      <alignment vertical="center"/>
    </xf>
    <xf numFmtId="0" fontId="145" fillId="0" borderId="0" xfId="0" applyFont="1">
      <alignment vertical="center"/>
    </xf>
    <xf numFmtId="187" fontId="19" fillId="0" borderId="0" xfId="2" applyNumberFormat="1" applyFont="1" applyBorder="1">
      <alignment vertical="center"/>
    </xf>
    <xf numFmtId="176" fontId="30" fillId="0" borderId="1" xfId="0" applyNumberFormat="1" applyFont="1" applyBorder="1">
      <alignment vertical="center"/>
    </xf>
    <xf numFmtId="9" fontId="10" fillId="8" borderId="0" xfId="1" applyFont="1" applyFill="1" applyBorder="1">
      <alignment vertical="center"/>
    </xf>
    <xf numFmtId="178" fontId="49" fillId="2" borderId="10" xfId="0" applyNumberFormat="1" applyFont="1" applyFill="1" applyBorder="1" applyAlignment="1">
      <alignment horizontal="center" vertical="center"/>
    </xf>
    <xf numFmtId="182" fontId="7" fillId="5" borderId="49" xfId="1" applyNumberFormat="1" applyFont="1" applyFill="1" applyBorder="1">
      <alignment vertical="center"/>
    </xf>
    <xf numFmtId="182" fontId="7" fillId="5" borderId="50" xfId="1" applyNumberFormat="1" applyFont="1" applyFill="1" applyBorder="1">
      <alignment vertical="center"/>
    </xf>
    <xf numFmtId="182" fontId="30" fillId="5" borderId="48" xfId="0" applyNumberFormat="1" applyFont="1" applyFill="1" applyBorder="1">
      <alignment vertical="center"/>
    </xf>
    <xf numFmtId="9" fontId="10" fillId="0" borderId="49" xfId="1" applyFont="1" applyFill="1" applyBorder="1">
      <alignment vertical="center"/>
    </xf>
    <xf numFmtId="9" fontId="7" fillId="0" borderId="49" xfId="1" applyFont="1" applyFill="1" applyBorder="1">
      <alignment vertical="center"/>
    </xf>
    <xf numFmtId="9" fontId="7" fillId="0" borderId="50" xfId="1" applyFont="1" applyFill="1" applyBorder="1">
      <alignment vertical="center"/>
    </xf>
    <xf numFmtId="9" fontId="10" fillId="0" borderId="48" xfId="1" applyFont="1" applyFill="1" applyBorder="1">
      <alignment vertical="center"/>
    </xf>
    <xf numFmtId="9" fontId="30" fillId="0" borderId="48" xfId="1" applyFont="1" applyFill="1" applyBorder="1">
      <alignment vertical="center"/>
    </xf>
    <xf numFmtId="194" fontId="7" fillId="0" borderId="49" xfId="1" applyNumberFormat="1" applyFont="1" applyFill="1" applyBorder="1">
      <alignment vertical="center"/>
    </xf>
    <xf numFmtId="194" fontId="7" fillId="0" borderId="50" xfId="1" applyNumberFormat="1" applyFont="1" applyFill="1" applyBorder="1">
      <alignment vertical="center"/>
    </xf>
    <xf numFmtId="9" fontId="19" fillId="0" borderId="0" xfId="1" applyFont="1">
      <alignment vertical="center"/>
    </xf>
    <xf numFmtId="176" fontId="30" fillId="0" borderId="2" xfId="0" applyNumberFormat="1" applyFont="1" applyFill="1" applyBorder="1">
      <alignment vertical="center"/>
    </xf>
    <xf numFmtId="181" fontId="89" fillId="0" borderId="27" xfId="4" applyNumberFormat="1" applyFont="1" applyFill="1" applyBorder="1">
      <alignment vertical="center"/>
    </xf>
    <xf numFmtId="181" fontId="88" fillId="0" borderId="27" xfId="4" applyNumberFormat="1" applyFont="1" applyFill="1" applyBorder="1">
      <alignment vertical="center"/>
    </xf>
    <xf numFmtId="183" fontId="27" fillId="3" borderId="0" xfId="0" applyNumberFormat="1" applyFont="1" applyFill="1" applyBorder="1">
      <alignment vertical="center"/>
    </xf>
    <xf numFmtId="177" fontId="28" fillId="0" borderId="4" xfId="0" applyNumberFormat="1" applyFont="1" applyFill="1" applyBorder="1" applyAlignment="1">
      <alignment horizontal="right" vertical="center"/>
    </xf>
    <xf numFmtId="177" fontId="11" fillId="0" borderId="7" xfId="0" applyNumberFormat="1" applyFont="1" applyFill="1" applyBorder="1">
      <alignment vertical="center"/>
    </xf>
    <xf numFmtId="177" fontId="26" fillId="0" borderId="7" xfId="0" applyNumberFormat="1" applyFont="1" applyFill="1" applyBorder="1">
      <alignment vertical="center"/>
    </xf>
    <xf numFmtId="177" fontId="28" fillId="0" borderId="7" xfId="0" applyNumberFormat="1" applyFont="1" applyFill="1" applyBorder="1">
      <alignment vertical="center"/>
    </xf>
    <xf numFmtId="0" fontId="45" fillId="0" borderId="0" xfId="0" applyFont="1" applyFill="1">
      <alignment vertical="center"/>
    </xf>
    <xf numFmtId="0" fontId="44" fillId="0" borderId="0" xfId="0" applyFont="1" applyFill="1">
      <alignment vertical="center"/>
    </xf>
    <xf numFmtId="0" fontId="19" fillId="0" borderId="0" xfId="0" applyFont="1" applyFill="1">
      <alignment vertical="center"/>
    </xf>
    <xf numFmtId="176" fontId="29" fillId="8" borderId="0" xfId="0" applyNumberFormat="1" applyFont="1" applyFill="1">
      <alignment vertical="center"/>
    </xf>
    <xf numFmtId="183" fontId="43" fillId="8" borderId="0" xfId="0" applyNumberFormat="1" applyFont="1" applyFill="1">
      <alignment vertical="center"/>
    </xf>
    <xf numFmtId="176" fontId="29" fillId="8" borderId="43" xfId="0" applyNumberFormat="1" applyFont="1" applyFill="1" applyBorder="1">
      <alignment vertical="center"/>
    </xf>
    <xf numFmtId="176" fontId="29" fillId="8" borderId="42" xfId="0" applyNumberFormat="1" applyFont="1" applyFill="1" applyBorder="1">
      <alignment vertical="center"/>
    </xf>
    <xf numFmtId="176" fontId="29" fillId="0" borderId="14" xfId="0" applyNumberFormat="1" applyFont="1" applyFill="1" applyBorder="1">
      <alignment vertical="center"/>
    </xf>
    <xf numFmtId="183" fontId="43" fillId="0" borderId="7" xfId="0" applyNumberFormat="1" applyFont="1" applyFill="1" applyBorder="1">
      <alignment vertical="center"/>
    </xf>
    <xf numFmtId="176" fontId="29" fillId="0" borderId="7" xfId="0" applyNumberFormat="1" applyFont="1" applyFill="1" applyBorder="1">
      <alignment vertical="center"/>
    </xf>
    <xf numFmtId="176" fontId="29" fillId="0" borderId="54" xfId="0" applyNumberFormat="1" applyFont="1" applyFill="1" applyBorder="1">
      <alignment vertical="center"/>
    </xf>
    <xf numFmtId="176" fontId="29" fillId="0" borderId="55" xfId="0" applyNumberFormat="1" applyFont="1" applyFill="1" applyBorder="1">
      <alignment vertical="center"/>
    </xf>
    <xf numFmtId="176" fontId="29" fillId="0" borderId="10" xfId="0" applyNumberFormat="1" applyFont="1" applyFill="1" applyBorder="1">
      <alignment vertical="center"/>
    </xf>
    <xf numFmtId="182" fontId="10" fillId="0" borderId="0" xfId="0" applyNumberFormat="1" applyFont="1" applyFill="1">
      <alignment vertical="center"/>
    </xf>
    <xf numFmtId="182" fontId="10" fillId="0" borderId="2" xfId="0" applyNumberFormat="1" applyFont="1" applyFill="1" applyBorder="1">
      <alignment vertical="center"/>
    </xf>
    <xf numFmtId="194" fontId="10" fillId="0" borderId="0" xfId="0" applyNumberFormat="1" applyFont="1" applyFill="1">
      <alignment vertical="center"/>
    </xf>
    <xf numFmtId="194" fontId="10" fillId="0" borderId="2" xfId="0" applyNumberFormat="1" applyFont="1" applyFill="1" applyBorder="1">
      <alignment vertical="center"/>
    </xf>
    <xf numFmtId="194" fontId="30" fillId="0" borderId="2" xfId="0" applyNumberFormat="1" applyFont="1" applyFill="1" applyBorder="1">
      <alignment vertical="center"/>
    </xf>
    <xf numFmtId="0" fontId="22" fillId="0" borderId="0" xfId="0" applyFont="1" applyBorder="1">
      <alignment vertical="center"/>
    </xf>
    <xf numFmtId="176" fontId="7" fillId="0" borderId="0" xfId="0" applyNumberFormat="1" applyFont="1" applyBorder="1">
      <alignment vertical="center"/>
    </xf>
    <xf numFmtId="10" fontId="10" fillId="8" borderId="11" xfId="0" applyNumberFormat="1" applyFont="1" applyFill="1" applyBorder="1">
      <alignment vertical="center"/>
    </xf>
    <xf numFmtId="186" fontId="10" fillId="8" borderId="0" xfId="0" applyNumberFormat="1" applyFont="1" applyFill="1">
      <alignment vertical="center"/>
    </xf>
    <xf numFmtId="186" fontId="10" fillId="8" borderId="13" xfId="0" applyNumberFormat="1" applyFont="1" applyFill="1" applyBorder="1">
      <alignment vertical="center"/>
    </xf>
    <xf numFmtId="10" fontId="49" fillId="8" borderId="0" xfId="1" applyNumberFormat="1" applyFont="1" applyFill="1">
      <alignment vertical="center"/>
    </xf>
    <xf numFmtId="177" fontId="49" fillId="8" borderId="2" xfId="1" applyNumberFormat="1" applyFont="1" applyFill="1" applyBorder="1">
      <alignment vertical="center"/>
    </xf>
    <xf numFmtId="176" fontId="7" fillId="0" borderId="49" xfId="0" applyNumberFormat="1" applyFont="1" applyBorder="1">
      <alignment vertical="center"/>
    </xf>
    <xf numFmtId="176" fontId="11" fillId="0" borderId="0" xfId="0" applyNumberFormat="1" applyFont="1" applyFill="1">
      <alignment vertical="center"/>
    </xf>
    <xf numFmtId="177" fontId="12" fillId="0" borderId="0" xfId="0" applyNumberFormat="1" applyFont="1" applyFill="1">
      <alignment vertical="center"/>
    </xf>
    <xf numFmtId="10" fontId="12" fillId="0" borderId="0" xfId="0" applyNumberFormat="1" applyFont="1" applyFill="1">
      <alignment vertical="center"/>
    </xf>
    <xf numFmtId="10" fontId="11" fillId="0" borderId="0" xfId="0" applyNumberFormat="1" applyFont="1" applyFill="1">
      <alignment vertical="center"/>
    </xf>
    <xf numFmtId="10" fontId="28" fillId="0" borderId="17" xfId="0" applyNumberFormat="1" applyFont="1" applyFill="1" applyBorder="1">
      <alignment vertical="center"/>
    </xf>
    <xf numFmtId="176" fontId="11" fillId="8" borderId="0" xfId="0" applyNumberFormat="1" applyFont="1" applyFill="1">
      <alignment vertical="center"/>
    </xf>
    <xf numFmtId="177" fontId="12" fillId="8" borderId="0" xfId="0" applyNumberFormat="1" applyFont="1" applyFill="1">
      <alignment vertical="center"/>
    </xf>
    <xf numFmtId="10" fontId="12" fillId="8" borderId="0" xfId="0" applyNumberFormat="1" applyFont="1" applyFill="1">
      <alignment vertical="center"/>
    </xf>
    <xf numFmtId="177" fontId="12" fillId="8" borderId="2" xfId="1" applyNumberFormat="1" applyFont="1" applyFill="1" applyBorder="1">
      <alignment vertical="center"/>
    </xf>
    <xf numFmtId="176" fontId="12" fillId="8" borderId="0" xfId="1" applyNumberFormat="1" applyFont="1" applyFill="1" applyBorder="1">
      <alignment vertical="center"/>
    </xf>
    <xf numFmtId="177" fontId="12" fillId="8" borderId="0" xfId="1" applyNumberFormat="1" applyFont="1" applyFill="1" applyBorder="1">
      <alignment vertical="center"/>
    </xf>
    <xf numFmtId="177" fontId="27" fillId="8" borderId="0" xfId="1" applyNumberFormat="1" applyFont="1" applyFill="1" applyBorder="1">
      <alignment vertical="center"/>
    </xf>
    <xf numFmtId="179" fontId="12" fillId="8" borderId="2" xfId="0" applyNumberFormat="1" applyFont="1" applyFill="1" applyBorder="1">
      <alignment vertical="center"/>
    </xf>
    <xf numFmtId="176" fontId="12" fillId="0" borderId="0" xfId="0" applyNumberFormat="1" applyFont="1" applyFill="1">
      <alignment vertical="center"/>
    </xf>
    <xf numFmtId="179" fontId="12" fillId="0" borderId="2" xfId="0" applyNumberFormat="1" applyFont="1" applyFill="1" applyBorder="1">
      <alignment vertical="center"/>
    </xf>
    <xf numFmtId="192" fontId="11" fillId="0" borderId="2" xfId="0" applyNumberFormat="1" applyFont="1" applyFill="1" applyBorder="1">
      <alignment vertical="center"/>
    </xf>
    <xf numFmtId="192" fontId="11" fillId="8" borderId="1" xfId="1" applyNumberFormat="1" applyFont="1" applyFill="1" applyBorder="1">
      <alignment vertical="center"/>
    </xf>
    <xf numFmtId="192" fontId="12" fillId="8" borderId="0" xfId="1" applyNumberFormat="1" applyFont="1" applyFill="1" applyBorder="1">
      <alignment vertical="center"/>
    </xf>
    <xf numFmtId="192" fontId="12" fillId="8" borderId="42" xfId="1" applyNumberFormat="1" applyFont="1" applyFill="1" applyBorder="1">
      <alignment vertical="center"/>
    </xf>
    <xf numFmtId="192" fontId="11" fillId="8" borderId="0" xfId="1" applyNumberFormat="1" applyFont="1" applyFill="1" applyBorder="1">
      <alignment vertical="center"/>
    </xf>
    <xf numFmtId="192" fontId="12" fillId="8" borderId="2" xfId="1" applyNumberFormat="1" applyFont="1" applyFill="1" applyBorder="1">
      <alignment vertical="center"/>
    </xf>
    <xf numFmtId="192" fontId="11" fillId="8" borderId="2" xfId="0" applyNumberFormat="1" applyFont="1" applyFill="1" applyBorder="1">
      <alignment vertical="center"/>
    </xf>
    <xf numFmtId="194" fontId="10" fillId="0" borderId="49" xfId="0" applyNumberFormat="1" applyFont="1" applyFill="1" applyBorder="1">
      <alignment vertical="center"/>
    </xf>
    <xf numFmtId="194" fontId="10" fillId="0" borderId="48" xfId="0" applyNumberFormat="1" applyFont="1" applyFill="1" applyBorder="1">
      <alignment vertical="center"/>
    </xf>
    <xf numFmtId="194" fontId="30" fillId="0" borderId="48" xfId="0" applyNumberFormat="1" applyFont="1" applyFill="1" applyBorder="1">
      <alignment vertical="center"/>
    </xf>
    <xf numFmtId="183" fontId="43" fillId="0" borderId="0" xfId="0" applyNumberFormat="1" applyFont="1" applyFill="1">
      <alignment vertical="center"/>
    </xf>
    <xf numFmtId="176" fontId="29" fillId="8" borderId="2" xfId="0" applyNumberFormat="1" applyFont="1" applyFill="1" applyBorder="1">
      <alignment vertical="center"/>
    </xf>
    <xf numFmtId="176" fontId="92" fillId="0" borderId="0" xfId="0" applyNumberFormat="1" applyFont="1">
      <alignment vertical="center"/>
    </xf>
    <xf numFmtId="196" fontId="19" fillId="0" borderId="0" xfId="0" applyNumberFormat="1" applyFont="1">
      <alignment vertical="center"/>
    </xf>
    <xf numFmtId="183" fontId="12" fillId="0" borderId="2" xfId="0" applyNumberFormat="1" applyFont="1" applyFill="1" applyBorder="1">
      <alignment vertical="center"/>
    </xf>
    <xf numFmtId="10" fontId="12" fillId="0" borderId="16" xfId="0" applyNumberFormat="1" applyFont="1" applyFill="1" applyBorder="1">
      <alignment vertical="center"/>
    </xf>
    <xf numFmtId="182" fontId="27" fillId="0" borderId="2" xfId="0" applyNumberFormat="1" applyFont="1" applyFill="1" applyBorder="1">
      <alignment vertical="center"/>
    </xf>
    <xf numFmtId="0" fontId="59" fillId="0" borderId="0" xfId="0" applyFont="1" applyFill="1">
      <alignment vertical="center"/>
    </xf>
    <xf numFmtId="183" fontId="7" fillId="0" borderId="0" xfId="0" applyNumberFormat="1" applyFont="1" applyFill="1" applyBorder="1">
      <alignment vertical="center"/>
    </xf>
    <xf numFmtId="176" fontId="29" fillId="0" borderId="0" xfId="0" applyNumberFormat="1" applyFont="1" applyFill="1">
      <alignment vertical="center"/>
    </xf>
    <xf numFmtId="176" fontId="29" fillId="0" borderId="43" xfId="0" applyNumberFormat="1" applyFont="1" applyFill="1" applyBorder="1">
      <alignment vertical="center"/>
    </xf>
    <xf numFmtId="176" fontId="29" fillId="0" borderId="42" xfId="0" applyNumberFormat="1" applyFont="1" applyFill="1" applyBorder="1">
      <alignment vertical="center"/>
    </xf>
    <xf numFmtId="176" fontId="29" fillId="0" borderId="2" xfId="0" applyNumberFormat="1" applyFont="1" applyFill="1" applyBorder="1">
      <alignment vertical="center"/>
    </xf>
    <xf numFmtId="0" fontId="146" fillId="0" borderId="0" xfId="0" applyFont="1">
      <alignment vertical="center"/>
    </xf>
    <xf numFmtId="187" fontId="19" fillId="0" borderId="0" xfId="2" applyNumberFormat="1" applyFont="1">
      <alignment vertical="center"/>
    </xf>
    <xf numFmtId="0" fontId="45" fillId="0" borderId="0" xfId="0" applyFont="1" applyBorder="1">
      <alignment vertical="center"/>
    </xf>
    <xf numFmtId="176" fontId="12" fillId="5" borderId="0" xfId="0" applyNumberFormat="1" applyFont="1" applyFill="1" applyBorder="1">
      <alignment vertical="center"/>
    </xf>
    <xf numFmtId="176" fontId="12" fillId="0" borderId="0" xfId="0" applyNumberFormat="1" applyFont="1" applyBorder="1">
      <alignment vertical="center"/>
    </xf>
    <xf numFmtId="177" fontId="12" fillId="0" borderId="0" xfId="0" applyNumberFormat="1" applyFont="1" applyBorder="1">
      <alignment vertical="center"/>
    </xf>
    <xf numFmtId="183" fontId="19" fillId="0" borderId="0" xfId="2" applyNumberFormat="1" applyFont="1">
      <alignment vertical="center"/>
    </xf>
    <xf numFmtId="0" fontId="0" fillId="0" borderId="0" xfId="0" applyFont="1">
      <alignment vertical="center"/>
    </xf>
    <xf numFmtId="177" fontId="148" fillId="5" borderId="0" xfId="1" applyNumberFormat="1" applyFont="1" applyFill="1" applyBorder="1">
      <alignment vertical="center"/>
    </xf>
    <xf numFmtId="0" fontId="149" fillId="0" borderId="0" xfId="0" applyFont="1">
      <alignment vertical="center"/>
    </xf>
    <xf numFmtId="0" fontId="51" fillId="0" borderId="0" xfId="0" applyFont="1" applyFill="1">
      <alignment vertical="center"/>
    </xf>
    <xf numFmtId="176" fontId="19" fillId="0" borderId="0" xfId="1" applyNumberFormat="1" applyFont="1">
      <alignment vertical="center"/>
    </xf>
    <xf numFmtId="176" fontId="30" fillId="0" borderId="0" xfId="0" applyNumberFormat="1" applyFont="1" applyFill="1" applyBorder="1">
      <alignment vertical="center"/>
    </xf>
    <xf numFmtId="0" fontId="19" fillId="0" borderId="0" xfId="0" applyFont="1" applyFill="1" applyBorder="1">
      <alignment vertical="center"/>
    </xf>
    <xf numFmtId="177" fontId="19" fillId="0" borderId="0" xfId="2" applyNumberFormat="1" applyFont="1">
      <alignment vertical="center"/>
    </xf>
    <xf numFmtId="0" fontId="51" fillId="0" borderId="21" xfId="0" applyFont="1" applyFill="1" applyBorder="1">
      <alignment vertical="center"/>
    </xf>
    <xf numFmtId="0" fontId="144" fillId="0" borderId="0" xfId="0" applyFont="1" applyFill="1">
      <alignment vertical="center"/>
    </xf>
    <xf numFmtId="10" fontId="27" fillId="0" borderId="0" xfId="0" applyNumberFormat="1" applyFont="1" applyFill="1">
      <alignment vertical="center"/>
    </xf>
    <xf numFmtId="181" fontId="88" fillId="0" borderId="28" xfId="4" applyNumberFormat="1" applyFont="1" applyFill="1" applyBorder="1">
      <alignment vertical="center"/>
    </xf>
    <xf numFmtId="0" fontId="61" fillId="0" borderId="0" xfId="0" applyNumberFormat="1" applyFont="1" applyFill="1" applyAlignment="1"/>
    <xf numFmtId="185" fontId="28" fillId="0" borderId="0" xfId="0" applyNumberFormat="1" applyFont="1" applyAlignment="1">
      <alignment horizontal="right" vertical="center"/>
    </xf>
    <xf numFmtId="183" fontId="12" fillId="7" borderId="1" xfId="2" applyNumberFormat="1" applyFont="1" applyFill="1" applyBorder="1" applyAlignment="1">
      <alignment vertical="center"/>
    </xf>
    <xf numFmtId="183" fontId="12" fillId="7" borderId="0" xfId="1" applyNumberFormat="1" applyFont="1" applyFill="1" applyBorder="1">
      <alignment vertical="center"/>
    </xf>
    <xf numFmtId="183" fontId="91" fillId="7" borderId="0" xfId="1" applyNumberFormat="1" applyFont="1" applyFill="1" applyBorder="1">
      <alignment vertical="center"/>
    </xf>
    <xf numFmtId="183" fontId="12" fillId="7" borderId="2" xfId="0" applyNumberFormat="1" applyFont="1" applyFill="1" applyBorder="1">
      <alignment vertical="center"/>
    </xf>
    <xf numFmtId="183" fontId="12" fillId="7" borderId="1" xfId="1" applyNumberFormat="1" applyFont="1" applyFill="1" applyBorder="1">
      <alignment vertical="center"/>
    </xf>
    <xf numFmtId="183" fontId="13" fillId="7" borderId="0" xfId="1" applyNumberFormat="1" applyFont="1" applyFill="1" applyBorder="1">
      <alignment vertical="center"/>
    </xf>
    <xf numFmtId="10" fontId="12" fillId="7" borderId="16" xfId="0" applyNumberFormat="1" applyFont="1" applyFill="1" applyBorder="1">
      <alignment vertical="center"/>
    </xf>
    <xf numFmtId="0" fontId="36" fillId="0" borderId="0" xfId="0" applyFont="1" applyFill="1">
      <alignment vertical="center"/>
    </xf>
    <xf numFmtId="177" fontId="59" fillId="0" borderId="0" xfId="1" applyNumberFormat="1" applyFont="1" applyFill="1">
      <alignment vertical="center"/>
    </xf>
    <xf numFmtId="177" fontId="27" fillId="0" borderId="0" xfId="1" applyNumberFormat="1" applyFont="1" applyFill="1">
      <alignment vertical="center"/>
    </xf>
    <xf numFmtId="198" fontId="19" fillId="0" borderId="0" xfId="0" applyNumberFormat="1" applyFont="1" applyFill="1">
      <alignment vertical="center"/>
    </xf>
    <xf numFmtId="176" fontId="50" fillId="0" borderId="1" xfId="0" applyNumberFormat="1" applyFont="1" applyFill="1" applyBorder="1">
      <alignment vertical="center"/>
    </xf>
    <xf numFmtId="176" fontId="49" fillId="0" borderId="1" xfId="0" applyNumberFormat="1" applyFont="1" applyFill="1" applyBorder="1">
      <alignment vertical="center"/>
    </xf>
    <xf numFmtId="176" fontId="49" fillId="0" borderId="23" xfId="0" applyNumberFormat="1" applyFont="1" applyFill="1" applyBorder="1">
      <alignment vertical="center"/>
    </xf>
    <xf numFmtId="176" fontId="51" fillId="0" borderId="0" xfId="0" applyNumberFormat="1" applyFont="1" applyFill="1">
      <alignment vertical="center"/>
    </xf>
    <xf numFmtId="176" fontId="51" fillId="0" borderId="21" xfId="0" applyNumberFormat="1" applyFont="1" applyFill="1" applyBorder="1">
      <alignment vertical="center"/>
    </xf>
    <xf numFmtId="176" fontId="50" fillId="0" borderId="0" xfId="0" applyNumberFormat="1" applyFont="1" applyFill="1">
      <alignment vertical="center"/>
    </xf>
    <xf numFmtId="176" fontId="49" fillId="0" borderId="0" xfId="0" applyNumberFormat="1" applyFont="1" applyFill="1">
      <alignment vertical="center"/>
    </xf>
    <xf numFmtId="176" fontId="49" fillId="0" borderId="21" xfId="0" applyNumberFormat="1" applyFont="1" applyFill="1" applyBorder="1">
      <alignment vertical="center"/>
    </xf>
    <xf numFmtId="176" fontId="50" fillId="0" borderId="12" xfId="0" applyNumberFormat="1" applyFont="1" applyFill="1" applyBorder="1">
      <alignment vertical="center"/>
    </xf>
    <xf numFmtId="176" fontId="50" fillId="0" borderId="31" xfId="0" applyNumberFormat="1" applyFont="1" applyFill="1" applyBorder="1">
      <alignment vertical="center"/>
    </xf>
    <xf numFmtId="183" fontId="50" fillId="0" borderId="0" xfId="0" applyNumberFormat="1" applyFont="1" applyFill="1">
      <alignment vertical="center"/>
    </xf>
    <xf numFmtId="183" fontId="50" fillId="0" borderId="21" xfId="0" applyNumberFormat="1" applyFont="1" applyFill="1" applyBorder="1">
      <alignment vertical="center"/>
    </xf>
    <xf numFmtId="183" fontId="50" fillId="0" borderId="2" xfId="0" applyNumberFormat="1" applyFont="1" applyFill="1" applyBorder="1">
      <alignment vertical="center"/>
    </xf>
    <xf numFmtId="183" fontId="50" fillId="0" borderId="22" xfId="0" applyNumberFormat="1" applyFont="1" applyFill="1" applyBorder="1">
      <alignment vertical="center"/>
    </xf>
    <xf numFmtId="10" fontId="10" fillId="0" borderId="11" xfId="0" applyNumberFormat="1" applyFont="1" applyFill="1" applyBorder="1">
      <alignment vertical="center"/>
    </xf>
    <xf numFmtId="10" fontId="10" fillId="0" borderId="24" xfId="0" applyNumberFormat="1" applyFont="1" applyFill="1" applyBorder="1">
      <alignment vertical="center"/>
    </xf>
    <xf numFmtId="10" fontId="11" fillId="0" borderId="13" xfId="0" applyNumberFormat="1" applyFont="1" applyFill="1" applyBorder="1">
      <alignment vertical="center"/>
    </xf>
    <xf numFmtId="10" fontId="11" fillId="0" borderId="51" xfId="0" applyNumberFormat="1" applyFont="1" applyFill="1" applyBorder="1">
      <alignment vertical="center"/>
    </xf>
    <xf numFmtId="186" fontId="10" fillId="0" borderId="0" xfId="0" applyNumberFormat="1" applyFont="1" applyFill="1">
      <alignment vertical="center"/>
    </xf>
    <xf numFmtId="186" fontId="10" fillId="0" borderId="21" xfId="0" applyNumberFormat="1" applyFont="1" applyFill="1" applyBorder="1">
      <alignment vertical="center"/>
    </xf>
    <xf numFmtId="186" fontId="10" fillId="0" borderId="13" xfId="0" applyNumberFormat="1" applyFont="1" applyFill="1" applyBorder="1">
      <alignment vertical="center"/>
    </xf>
    <xf numFmtId="186" fontId="10" fillId="0" borderId="51" xfId="0" applyNumberFormat="1" applyFont="1" applyFill="1" applyBorder="1">
      <alignment vertical="center"/>
    </xf>
    <xf numFmtId="10" fontId="49" fillId="0" borderId="0" xfId="1" applyNumberFormat="1" applyFont="1" applyFill="1">
      <alignment vertical="center"/>
    </xf>
    <xf numFmtId="10" fontId="49" fillId="0" borderId="21" xfId="1" applyNumberFormat="1" applyFont="1" applyFill="1" applyBorder="1">
      <alignment vertical="center"/>
    </xf>
    <xf numFmtId="177" fontId="49" fillId="0" borderId="22" xfId="1" applyNumberFormat="1" applyFont="1" applyFill="1" applyBorder="1">
      <alignment vertical="center"/>
    </xf>
    <xf numFmtId="176" fontId="30" fillId="0" borderId="7" xfId="0" applyNumberFormat="1" applyFont="1" applyFill="1" applyBorder="1">
      <alignment vertical="center"/>
    </xf>
    <xf numFmtId="183" fontId="7" fillId="0" borderId="7" xfId="0" applyNumberFormat="1" applyFont="1" applyFill="1" applyBorder="1">
      <alignment vertical="center"/>
    </xf>
    <xf numFmtId="176" fontId="30" fillId="0" borderId="22" xfId="0" applyNumberFormat="1" applyFont="1" applyFill="1" applyBorder="1">
      <alignment vertical="center"/>
    </xf>
    <xf numFmtId="176" fontId="30" fillId="0" borderId="10" xfId="0" applyNumberFormat="1" applyFont="1" applyFill="1" applyBorder="1">
      <alignment vertical="center"/>
    </xf>
    <xf numFmtId="0" fontId="92" fillId="0" borderId="0" xfId="0" applyFont="1" applyFill="1">
      <alignment vertical="center"/>
    </xf>
    <xf numFmtId="0" fontId="22" fillId="0" borderId="0" xfId="0" applyFont="1" applyFill="1" applyBorder="1">
      <alignment vertical="center"/>
    </xf>
    <xf numFmtId="0" fontId="92" fillId="0" borderId="0" xfId="0" applyFont="1" applyFill="1" applyBorder="1">
      <alignment vertical="center"/>
    </xf>
    <xf numFmtId="182" fontId="7" fillId="0" borderId="0" xfId="1" applyNumberFormat="1" applyFont="1" applyFill="1" applyBorder="1">
      <alignment vertical="center"/>
    </xf>
    <xf numFmtId="177" fontId="19" fillId="0" borderId="0" xfId="0" applyNumberFormat="1" applyFont="1" applyFill="1" applyBorder="1">
      <alignment vertical="center"/>
    </xf>
    <xf numFmtId="182" fontId="19" fillId="0" borderId="0" xfId="0" applyNumberFormat="1" applyFont="1" applyFill="1" applyBorder="1">
      <alignment vertical="center"/>
    </xf>
    <xf numFmtId="182" fontId="30" fillId="0" borderId="0" xfId="0" applyNumberFormat="1" applyFont="1" applyFill="1" applyBorder="1">
      <alignment vertical="center"/>
    </xf>
    <xf numFmtId="176" fontId="19" fillId="0" borderId="0" xfId="0" applyNumberFormat="1" applyFont="1" applyFill="1">
      <alignment vertical="center"/>
    </xf>
    <xf numFmtId="0" fontId="51" fillId="0" borderId="0" xfId="0" applyFont="1" applyFill="1" applyBorder="1">
      <alignment vertical="center"/>
    </xf>
    <xf numFmtId="176" fontId="12" fillId="0" borderId="0" xfId="0" applyNumberFormat="1" applyFont="1" applyFill="1" applyBorder="1">
      <alignment vertical="center"/>
    </xf>
    <xf numFmtId="180" fontId="19" fillId="0" borderId="0" xfId="0" applyNumberFormat="1" applyFont="1" applyFill="1" applyBorder="1">
      <alignment vertical="center"/>
    </xf>
    <xf numFmtId="0" fontId="144" fillId="0" borderId="0" xfId="0" applyFont="1" applyFill="1" applyBorder="1">
      <alignment vertical="center"/>
    </xf>
    <xf numFmtId="10" fontId="27" fillId="0" borderId="0" xfId="0" applyNumberFormat="1" applyFont="1" applyFill="1" applyBorder="1">
      <alignment vertical="center"/>
    </xf>
    <xf numFmtId="179" fontId="19" fillId="0" borderId="0" xfId="0" applyNumberFormat="1" applyFont="1" applyFill="1" applyBorder="1">
      <alignment vertical="center"/>
    </xf>
    <xf numFmtId="176" fontId="19" fillId="0" borderId="0" xfId="0" applyNumberFormat="1" applyFont="1" applyFill="1" applyBorder="1">
      <alignment vertical="center"/>
    </xf>
    <xf numFmtId="187" fontId="19" fillId="0" borderId="0" xfId="2" applyNumberFormat="1" applyFont="1" applyFill="1">
      <alignment vertical="center"/>
    </xf>
    <xf numFmtId="43" fontId="19" fillId="0" borderId="0" xfId="0" applyNumberFormat="1" applyFont="1" applyFill="1">
      <alignment vertical="center"/>
    </xf>
    <xf numFmtId="0" fontId="146" fillId="0" borderId="0" xfId="0" applyFont="1" applyFill="1">
      <alignment vertical="center"/>
    </xf>
    <xf numFmtId="197" fontId="19" fillId="0" borderId="0" xfId="2" applyNumberFormat="1" applyFont="1" applyFill="1">
      <alignment vertical="center"/>
    </xf>
    <xf numFmtId="0" fontId="76" fillId="0" borderId="0" xfId="0" applyFont="1" applyFill="1" applyAlignment="1"/>
    <xf numFmtId="0" fontId="27" fillId="0" borderId="0" xfId="0" applyFont="1" applyFill="1">
      <alignment vertical="center"/>
    </xf>
    <xf numFmtId="0" fontId="78" fillId="0" borderId="7" xfId="0" applyFont="1" applyFill="1" applyBorder="1" applyAlignment="1">
      <alignment horizontal="left" vertical="top"/>
    </xf>
    <xf numFmtId="0" fontId="78" fillId="0" borderId="7" xfId="6" applyFont="1" applyFill="1" applyBorder="1">
      <alignment vertical="center"/>
    </xf>
    <xf numFmtId="0" fontId="86" fillId="0" borderId="7" xfId="0" applyFont="1" applyFill="1" applyBorder="1" applyAlignment="1">
      <alignment horizontal="left" vertical="center"/>
    </xf>
    <xf numFmtId="0" fontId="83" fillId="0" borderId="7" xfId="0" applyFont="1" applyFill="1" applyBorder="1" applyAlignment="1">
      <alignment horizontal="left" vertical="center"/>
    </xf>
    <xf numFmtId="0" fontId="86" fillId="0" borderId="10" xfId="0" applyFont="1" applyFill="1" applyBorder="1" applyAlignment="1">
      <alignment horizontal="left" vertical="center"/>
    </xf>
    <xf numFmtId="0" fontId="78" fillId="0" borderId="0" xfId="8" applyFont="1" applyFill="1" applyAlignment="1">
      <alignment vertical="center" wrapText="1"/>
    </xf>
    <xf numFmtId="178" fontId="49" fillId="0" borderId="0" xfId="0" applyNumberFormat="1" applyFont="1" applyFill="1" applyBorder="1" applyAlignment="1">
      <alignment horizontal="centerContinuous" vertical="center"/>
    </xf>
    <xf numFmtId="0" fontId="29" fillId="0" borderId="0" xfId="0" applyFont="1" applyFill="1" applyBorder="1" applyAlignment="1">
      <alignment horizontal="right" vertical="center"/>
    </xf>
    <xf numFmtId="177" fontId="28" fillId="0" borderId="1" xfId="1" applyNumberFormat="1" applyFont="1" applyFill="1" applyBorder="1" applyAlignment="1">
      <alignment horizontal="right" vertical="center"/>
    </xf>
    <xf numFmtId="177" fontId="7" fillId="0" borderId="0" xfId="1" applyNumberFormat="1" applyFont="1" applyFill="1" applyBorder="1">
      <alignment vertical="center"/>
    </xf>
    <xf numFmtId="183" fontId="19" fillId="0" borderId="0" xfId="0" applyNumberFormat="1" applyFont="1" applyFill="1" applyBorder="1">
      <alignment vertical="center"/>
    </xf>
    <xf numFmtId="10" fontId="150" fillId="0" borderId="0" xfId="0" applyNumberFormat="1" applyFont="1" applyFill="1" applyBorder="1" applyAlignment="1">
      <alignment horizontal="center" vertical="center" wrapText="1"/>
    </xf>
    <xf numFmtId="182" fontId="43" fillId="0" borderId="0" xfId="1" applyNumberFormat="1" applyFont="1" applyFill="1" applyBorder="1" applyAlignment="1">
      <alignment horizontal="right" vertical="center"/>
    </xf>
    <xf numFmtId="182" fontId="27" fillId="0" borderId="0" xfId="1" applyNumberFormat="1" applyFont="1" applyFill="1" applyBorder="1" applyAlignment="1">
      <alignment horizontal="right" vertical="center"/>
    </xf>
    <xf numFmtId="182" fontId="27" fillId="0" borderId="2" xfId="0" applyNumberFormat="1" applyFont="1" applyFill="1" applyBorder="1" applyAlignment="1">
      <alignment horizontal="right" vertical="center"/>
    </xf>
    <xf numFmtId="0" fontId="40" fillId="0" borderId="0" xfId="0" applyFont="1" applyFill="1">
      <alignment vertical="center"/>
    </xf>
    <xf numFmtId="182" fontId="12" fillId="0" borderId="0" xfId="1" applyNumberFormat="1" applyFont="1" applyFill="1" applyBorder="1">
      <alignment vertical="center"/>
    </xf>
    <xf numFmtId="0" fontId="32" fillId="0" borderId="0" xfId="0" applyFont="1" applyFill="1">
      <alignment vertical="center"/>
    </xf>
    <xf numFmtId="199" fontId="12" fillId="5" borderId="0" xfId="0" applyNumberFormat="1" applyFont="1" applyFill="1">
      <alignment vertical="center"/>
    </xf>
    <xf numFmtId="10" fontId="11" fillId="8" borderId="0" xfId="0" applyNumberFormat="1" applyFont="1" applyFill="1">
      <alignment vertical="center"/>
    </xf>
    <xf numFmtId="10" fontId="28" fillId="8" borderId="17" xfId="0" applyNumberFormat="1" applyFont="1" applyFill="1" applyBorder="1">
      <alignment vertical="center"/>
    </xf>
    <xf numFmtId="41" fontId="19" fillId="0" borderId="0" xfId="2" applyNumberFormat="1" applyFont="1" applyBorder="1">
      <alignment vertical="center"/>
    </xf>
    <xf numFmtId="1" fontId="19" fillId="0" borderId="0" xfId="0" applyNumberFormat="1" applyFont="1" applyFill="1" applyBorder="1">
      <alignment vertical="center"/>
    </xf>
    <xf numFmtId="177" fontId="29" fillId="0" borderId="12" xfId="1" applyNumberFormat="1" applyFont="1" applyFill="1" applyBorder="1" applyAlignment="1">
      <alignment horizontal="right" vertical="center"/>
    </xf>
    <xf numFmtId="176" fontId="7" fillId="0" borderId="0" xfId="0" applyNumberFormat="1" applyFont="1" applyFill="1">
      <alignment vertical="center"/>
    </xf>
    <xf numFmtId="176" fontId="7" fillId="0" borderId="49" xfId="0" applyNumberFormat="1" applyFont="1" applyFill="1" applyBorder="1">
      <alignment vertical="center"/>
    </xf>
    <xf numFmtId="0" fontId="52" fillId="0" borderId="2" xfId="0" applyFont="1" applyFill="1" applyBorder="1">
      <alignment vertical="center"/>
    </xf>
    <xf numFmtId="0" fontId="120" fillId="0" borderId="2" xfId="0" applyFont="1" applyFill="1" applyBorder="1">
      <alignment vertical="center"/>
    </xf>
    <xf numFmtId="176" fontId="143" fillId="0" borderId="0" xfId="0" applyNumberFormat="1" applyFont="1" applyFill="1">
      <alignment vertical="center"/>
    </xf>
    <xf numFmtId="176" fontId="30" fillId="0" borderId="48" xfId="0" applyNumberFormat="1" applyFont="1" applyFill="1" applyBorder="1">
      <alignment vertical="center"/>
    </xf>
    <xf numFmtId="41" fontId="41" fillId="0" borderId="26" xfId="2" applyFont="1" applyFill="1" applyBorder="1" applyAlignment="1"/>
    <xf numFmtId="0" fontId="86" fillId="0" borderId="26" xfId="0" applyFont="1" applyFill="1" applyBorder="1" applyAlignment="1">
      <alignment vertical="center"/>
    </xf>
    <xf numFmtId="0" fontId="86" fillId="0" borderId="27" xfId="0" applyFont="1" applyFill="1" applyBorder="1" applyAlignment="1">
      <alignment vertical="center"/>
    </xf>
    <xf numFmtId="0" fontId="78" fillId="0" borderId="27" xfId="0" applyFont="1" applyFill="1" applyBorder="1" applyAlignment="1">
      <alignment vertical="center"/>
    </xf>
    <xf numFmtId="0" fontId="86" fillId="0" borderId="28" xfId="0" applyFont="1" applyFill="1" applyBorder="1" applyAlignment="1">
      <alignment vertical="center"/>
    </xf>
    <xf numFmtId="176" fontId="30" fillId="0" borderId="0" xfId="0" applyNumberFormat="1" applyFont="1" applyBorder="1">
      <alignment vertical="center"/>
    </xf>
    <xf numFmtId="183" fontId="29" fillId="0" borderId="0" xfId="0" applyNumberFormat="1" applyFont="1" applyFill="1">
      <alignment vertical="center"/>
    </xf>
    <xf numFmtId="183" fontId="30" fillId="0" borderId="2" xfId="0" applyNumberFormat="1" applyFont="1" applyFill="1" applyBorder="1">
      <alignment vertical="center"/>
    </xf>
    <xf numFmtId="183" fontId="30" fillId="0" borderId="10" xfId="0" applyNumberFormat="1" applyFont="1" applyFill="1" applyBorder="1">
      <alignment vertical="center"/>
    </xf>
    <xf numFmtId="177" fontId="19" fillId="0" borderId="0" xfId="1" applyNumberFormat="1" applyFont="1" applyBorder="1">
      <alignment vertical="center"/>
    </xf>
    <xf numFmtId="177" fontId="92" fillId="0" borderId="0" xfId="1" applyNumberFormat="1" applyFont="1" applyFill="1" applyBorder="1">
      <alignment vertical="center"/>
    </xf>
    <xf numFmtId="187" fontId="92" fillId="0" borderId="0" xfId="2" applyNumberFormat="1" applyFont="1">
      <alignment vertical="center"/>
    </xf>
    <xf numFmtId="177" fontId="29" fillId="8" borderId="12" xfId="1" applyNumberFormat="1" applyFont="1" applyFill="1" applyBorder="1" applyAlignment="1">
      <alignment horizontal="right" vertical="center"/>
    </xf>
    <xf numFmtId="183" fontId="7" fillId="8" borderId="0" xfId="0" applyNumberFormat="1" applyFont="1" applyFill="1" applyBorder="1">
      <alignment vertical="center"/>
    </xf>
    <xf numFmtId="176" fontId="51" fillId="8" borderId="0" xfId="0" applyNumberFormat="1" applyFont="1" applyFill="1">
      <alignment vertical="center"/>
    </xf>
    <xf numFmtId="183" fontId="92" fillId="0" borderId="0" xfId="0" applyNumberFormat="1" applyFont="1" applyFill="1">
      <alignment vertical="center"/>
    </xf>
    <xf numFmtId="178" fontId="49" fillId="2" borderId="1" xfId="0" applyNumberFormat="1" applyFont="1" applyFill="1" applyBorder="1" applyAlignment="1">
      <alignment horizontal="center" vertical="center"/>
    </xf>
    <xf numFmtId="178" fontId="49" fillId="2" borderId="23" xfId="0" applyNumberFormat="1" applyFont="1" applyFill="1" applyBorder="1" applyAlignment="1">
      <alignment horizontal="center" vertical="center"/>
    </xf>
    <xf numFmtId="176" fontId="51" fillId="8" borderId="21" xfId="0" applyNumberFormat="1" applyFont="1" applyFill="1" applyBorder="1">
      <alignment vertical="center"/>
    </xf>
    <xf numFmtId="10" fontId="10" fillId="8" borderId="24" xfId="0" applyNumberFormat="1" applyFont="1" applyFill="1" applyBorder="1">
      <alignment vertical="center"/>
    </xf>
    <xf numFmtId="177" fontId="29" fillId="8" borderId="31" xfId="1" applyNumberFormat="1" applyFont="1" applyFill="1" applyBorder="1" applyAlignment="1">
      <alignment horizontal="right" vertical="center"/>
    </xf>
    <xf numFmtId="186" fontId="10" fillId="8" borderId="21" xfId="0" applyNumberFormat="1" applyFont="1" applyFill="1" applyBorder="1">
      <alignment vertical="center"/>
    </xf>
    <xf numFmtId="186" fontId="10" fillId="8" borderId="51" xfId="0" applyNumberFormat="1" applyFont="1" applyFill="1" applyBorder="1">
      <alignment vertical="center"/>
    </xf>
    <xf numFmtId="10" fontId="49" fillId="8" borderId="21" xfId="1" applyNumberFormat="1" applyFont="1" applyFill="1" applyBorder="1">
      <alignment vertical="center"/>
    </xf>
    <xf numFmtId="177" fontId="49" fillId="8" borderId="22" xfId="1" applyNumberFormat="1" applyFont="1" applyFill="1" applyBorder="1">
      <alignment vertical="center"/>
    </xf>
    <xf numFmtId="176" fontId="49" fillId="8" borderId="1" xfId="0" applyNumberFormat="1" applyFont="1" applyFill="1" applyBorder="1">
      <alignment vertical="center"/>
    </xf>
    <xf numFmtId="176" fontId="49" fillId="8" borderId="23" xfId="0" applyNumberFormat="1" applyFont="1" applyFill="1" applyBorder="1">
      <alignment vertical="center"/>
    </xf>
    <xf numFmtId="176" fontId="49" fillId="8" borderId="0" xfId="0" applyNumberFormat="1" applyFont="1" applyFill="1">
      <alignment vertical="center"/>
    </xf>
    <xf numFmtId="176" fontId="49" fillId="8" borderId="21" xfId="0" applyNumberFormat="1" applyFont="1" applyFill="1" applyBorder="1">
      <alignment vertical="center"/>
    </xf>
    <xf numFmtId="176" fontId="50" fillId="8" borderId="12" xfId="0" applyNumberFormat="1" applyFont="1" applyFill="1" applyBorder="1">
      <alignment vertical="center"/>
    </xf>
    <xf numFmtId="176" fontId="50" fillId="8" borderId="31" xfId="0" applyNumberFormat="1" applyFont="1" applyFill="1" applyBorder="1">
      <alignment vertical="center"/>
    </xf>
    <xf numFmtId="183" fontId="50" fillId="8" borderId="0" xfId="0" applyNumberFormat="1" applyFont="1" applyFill="1">
      <alignment vertical="center"/>
    </xf>
    <xf numFmtId="183" fontId="50" fillId="8" borderId="21" xfId="0" applyNumberFormat="1" applyFont="1" applyFill="1" applyBorder="1">
      <alignment vertical="center"/>
    </xf>
    <xf numFmtId="183" fontId="50" fillId="8" borderId="2" xfId="0" applyNumberFormat="1" applyFont="1" applyFill="1" applyBorder="1">
      <alignment vertical="center"/>
    </xf>
    <xf numFmtId="183" fontId="50" fillId="8" borderId="22" xfId="0" applyNumberFormat="1" applyFont="1" applyFill="1" applyBorder="1">
      <alignment vertical="center"/>
    </xf>
    <xf numFmtId="10" fontId="11" fillId="8" borderId="13" xfId="0" applyNumberFormat="1" applyFont="1" applyFill="1" applyBorder="1">
      <alignment vertical="center"/>
    </xf>
    <xf numFmtId="10" fontId="11" fillId="8" borderId="51" xfId="0" applyNumberFormat="1" applyFont="1" applyFill="1" applyBorder="1">
      <alignment vertical="center"/>
    </xf>
    <xf numFmtId="176" fontId="30" fillId="8" borderId="0" xfId="0" applyNumberFormat="1" applyFont="1" applyFill="1" applyBorder="1">
      <alignment vertical="center"/>
    </xf>
    <xf numFmtId="183" fontId="29" fillId="8" borderId="0" xfId="0" applyNumberFormat="1" applyFont="1" applyFill="1">
      <alignment vertical="center"/>
    </xf>
    <xf numFmtId="183" fontId="30" fillId="8" borderId="2" xfId="0" applyNumberFormat="1" applyFont="1" applyFill="1" applyBorder="1">
      <alignment vertical="center"/>
    </xf>
    <xf numFmtId="183" fontId="29" fillId="0" borderId="23" xfId="0" applyNumberFormat="1" applyFont="1" applyFill="1" applyBorder="1">
      <alignment vertical="center"/>
    </xf>
    <xf numFmtId="183" fontId="43" fillId="0" borderId="21" xfId="0" applyNumberFormat="1" applyFont="1" applyFill="1" applyBorder="1">
      <alignment vertical="center"/>
    </xf>
    <xf numFmtId="183" fontId="29" fillId="0" borderId="21" xfId="0" applyNumberFormat="1" applyFont="1" applyFill="1" applyBorder="1">
      <alignment vertical="center"/>
    </xf>
    <xf numFmtId="183" fontId="30" fillId="0" borderId="22" xfId="0" applyNumberFormat="1" applyFont="1" applyFill="1" applyBorder="1">
      <alignment vertical="center"/>
    </xf>
    <xf numFmtId="182" fontId="10" fillId="0" borderId="23" xfId="0" applyNumberFormat="1" applyFont="1" applyFill="1" applyBorder="1">
      <alignment vertical="center"/>
    </xf>
    <xf numFmtId="182" fontId="10" fillId="0" borderId="22" xfId="0" applyNumberFormat="1" applyFont="1" applyFill="1" applyBorder="1">
      <alignment vertical="center"/>
    </xf>
    <xf numFmtId="9" fontId="10" fillId="0" borderId="23" xfId="1" applyFont="1" applyFill="1" applyBorder="1">
      <alignment vertical="center"/>
    </xf>
    <xf numFmtId="194" fontId="10" fillId="0" borderId="23" xfId="0" applyNumberFormat="1" applyFont="1" applyFill="1" applyBorder="1">
      <alignment vertical="center"/>
    </xf>
    <xf numFmtId="194" fontId="10" fillId="0" borderId="22" xfId="0" applyNumberFormat="1" applyFont="1" applyFill="1" applyBorder="1">
      <alignment vertical="center"/>
    </xf>
    <xf numFmtId="194" fontId="30" fillId="0" borderId="22" xfId="0" applyNumberFormat="1" applyFont="1" applyFill="1" applyBorder="1">
      <alignment vertical="center"/>
    </xf>
    <xf numFmtId="177" fontId="28" fillId="8" borderId="1" xfId="1" applyNumberFormat="1" applyFont="1" applyFill="1" applyBorder="1">
      <alignment vertical="center"/>
    </xf>
    <xf numFmtId="177" fontId="28" fillId="8" borderId="23" xfId="1" applyNumberFormat="1" applyFont="1" applyFill="1" applyBorder="1">
      <alignment vertical="center"/>
    </xf>
    <xf numFmtId="182" fontId="27" fillId="8" borderId="0" xfId="1" applyNumberFormat="1" applyFont="1" applyFill="1" applyBorder="1">
      <alignment vertical="center"/>
    </xf>
    <xf numFmtId="182" fontId="27" fillId="8" borderId="21" xfId="1" applyNumberFormat="1" applyFont="1" applyFill="1" applyBorder="1">
      <alignment vertical="center"/>
    </xf>
    <xf numFmtId="182" fontId="27" fillId="8" borderId="2" xfId="0" applyNumberFormat="1" applyFont="1" applyFill="1" applyBorder="1">
      <alignment vertical="center"/>
    </xf>
    <xf numFmtId="182" fontId="27" fillId="8" borderId="22" xfId="0" applyNumberFormat="1" applyFont="1" applyFill="1" applyBorder="1">
      <alignment vertical="center"/>
    </xf>
    <xf numFmtId="176" fontId="11" fillId="8" borderId="21" xfId="0" applyNumberFormat="1" applyFont="1" applyFill="1" applyBorder="1">
      <alignment vertical="center"/>
    </xf>
    <xf numFmtId="177" fontId="12" fillId="8" borderId="21" xfId="0" applyNumberFormat="1" applyFont="1" applyFill="1" applyBorder="1">
      <alignment vertical="center"/>
    </xf>
    <xf numFmtId="10" fontId="12" fillId="8" borderId="21" xfId="0" applyNumberFormat="1" applyFont="1" applyFill="1" applyBorder="1">
      <alignment vertical="center"/>
    </xf>
    <xf numFmtId="177" fontId="12" fillId="8" borderId="22" xfId="1" applyNumberFormat="1" applyFont="1" applyFill="1" applyBorder="1">
      <alignment vertical="center"/>
    </xf>
    <xf numFmtId="10" fontId="11" fillId="8" borderId="21" xfId="0" applyNumberFormat="1" applyFont="1" applyFill="1" applyBorder="1">
      <alignment vertical="center"/>
    </xf>
    <xf numFmtId="10" fontId="28" fillId="8" borderId="44" xfId="0" applyNumberFormat="1" applyFont="1" applyFill="1" applyBorder="1">
      <alignment vertical="center"/>
    </xf>
    <xf numFmtId="176" fontId="12" fillId="8" borderId="23" xfId="1" applyNumberFormat="1" applyFont="1" applyFill="1" applyBorder="1">
      <alignment vertical="center"/>
    </xf>
    <xf numFmtId="177" fontId="12" fillId="8" borderId="21" xfId="1" applyNumberFormat="1" applyFont="1" applyFill="1" applyBorder="1">
      <alignment vertical="center"/>
    </xf>
    <xf numFmtId="176" fontId="12" fillId="8" borderId="21" xfId="1" applyNumberFormat="1" applyFont="1" applyFill="1" applyBorder="1">
      <alignment vertical="center"/>
    </xf>
    <xf numFmtId="177" fontId="27" fillId="8" borderId="21" xfId="1" applyNumberFormat="1" applyFont="1" applyFill="1" applyBorder="1">
      <alignment vertical="center"/>
    </xf>
    <xf numFmtId="0" fontId="19" fillId="8" borderId="21" xfId="0" applyFont="1" applyFill="1" applyBorder="1">
      <alignment vertical="center"/>
    </xf>
    <xf numFmtId="176" fontId="12" fillId="8" borderId="21" xfId="0" applyNumberFormat="1" applyFont="1" applyFill="1" applyBorder="1">
      <alignment vertical="center"/>
    </xf>
    <xf numFmtId="179" fontId="12" fillId="8" borderId="22" xfId="0" applyNumberFormat="1" applyFont="1" applyFill="1" applyBorder="1">
      <alignment vertical="center"/>
    </xf>
    <xf numFmtId="176" fontId="12" fillId="8" borderId="1" xfId="1" applyNumberFormat="1" applyFont="1" applyFill="1" applyBorder="1">
      <alignment vertical="center"/>
    </xf>
    <xf numFmtId="0" fontId="19" fillId="8" borderId="0" xfId="0" applyFont="1" applyFill="1" applyBorder="1">
      <alignment vertical="center"/>
    </xf>
    <xf numFmtId="176" fontId="12" fillId="8" borderId="0" xfId="0" applyNumberFormat="1" applyFont="1" applyFill="1" applyBorder="1">
      <alignment vertical="center"/>
    </xf>
    <xf numFmtId="176" fontId="12" fillId="0" borderId="23" xfId="1" applyNumberFormat="1" applyFont="1" applyFill="1" applyBorder="1">
      <alignment vertical="center"/>
    </xf>
    <xf numFmtId="0" fontId="19" fillId="0" borderId="21" xfId="0" applyFont="1" applyFill="1" applyBorder="1">
      <alignment vertical="center"/>
    </xf>
    <xf numFmtId="176" fontId="12" fillId="0" borderId="21" xfId="0" applyNumberFormat="1" applyFont="1" applyFill="1" applyBorder="1">
      <alignment vertical="center"/>
    </xf>
    <xf numFmtId="179" fontId="12" fillId="0" borderId="22" xfId="0" applyNumberFormat="1" applyFont="1" applyFill="1" applyBorder="1">
      <alignment vertical="center"/>
    </xf>
    <xf numFmtId="183" fontId="12" fillId="0" borderId="22" xfId="0" applyNumberFormat="1" applyFont="1" applyFill="1" applyBorder="1">
      <alignment vertical="center"/>
    </xf>
    <xf numFmtId="10" fontId="12" fillId="0" borderId="18" xfId="0" applyNumberFormat="1" applyFont="1" applyFill="1" applyBorder="1">
      <alignment vertical="center"/>
    </xf>
    <xf numFmtId="0" fontId="45" fillId="0" borderId="23" xfId="0" applyFont="1" applyBorder="1">
      <alignment vertical="center"/>
    </xf>
    <xf numFmtId="0" fontId="45" fillId="0" borderId="21" xfId="0" applyFont="1" applyFill="1" applyBorder="1">
      <alignment vertical="center"/>
    </xf>
    <xf numFmtId="0" fontId="44" fillId="0" borderId="21" xfId="0" applyFont="1" applyBorder="1">
      <alignment vertical="center"/>
    </xf>
    <xf numFmtId="0" fontId="62" fillId="0" borderId="22" xfId="0" applyFont="1" applyBorder="1">
      <alignment vertical="center"/>
    </xf>
    <xf numFmtId="0" fontId="29" fillId="2" borderId="23" xfId="0" applyFont="1" applyFill="1" applyBorder="1" applyAlignment="1">
      <alignment horizontal="left" vertical="center"/>
    </xf>
    <xf numFmtId="0" fontId="29" fillId="2" borderId="22" xfId="0" applyFont="1" applyFill="1" applyBorder="1" applyAlignment="1">
      <alignment horizontal="left" vertical="center"/>
    </xf>
    <xf numFmtId="0" fontId="49" fillId="0" borderId="23" xfId="0" applyFont="1" applyBorder="1">
      <alignment vertical="center"/>
    </xf>
    <xf numFmtId="0" fontId="59" fillId="0" borderId="21" xfId="0" applyFont="1" applyBorder="1" applyAlignment="1">
      <alignment horizontal="left" vertical="center"/>
    </xf>
    <xf numFmtId="0" fontId="59" fillId="0" borderId="45" xfId="0" applyFont="1" applyBorder="1">
      <alignment vertical="center"/>
    </xf>
    <xf numFmtId="0" fontId="49" fillId="0" borderId="22" xfId="0" applyFont="1" applyBorder="1" applyAlignment="1">
      <alignment horizontal="left" vertical="center"/>
    </xf>
    <xf numFmtId="0" fontId="52" fillId="0" borderId="22" xfId="0" applyFont="1" applyBorder="1" applyAlignment="1">
      <alignment horizontal="left" vertical="center"/>
    </xf>
    <xf numFmtId="177" fontId="29" fillId="0" borderId="31" xfId="1" applyNumberFormat="1" applyFont="1" applyFill="1" applyBorder="1" applyAlignment="1">
      <alignment horizontal="right" vertical="center"/>
    </xf>
    <xf numFmtId="187" fontId="12" fillId="0" borderId="0" xfId="2" applyNumberFormat="1" applyFont="1" applyFill="1" applyBorder="1">
      <alignment vertical="center"/>
    </xf>
    <xf numFmtId="0" fontId="85" fillId="0" borderId="0" xfId="6" applyFont="1" applyFill="1" applyBorder="1" applyAlignment="1">
      <alignment vertical="center" wrapText="1"/>
    </xf>
    <xf numFmtId="0" fontId="87" fillId="0" borderId="0" xfId="6" applyFont="1" applyFill="1" applyBorder="1" applyAlignment="1">
      <alignment vertical="center" wrapText="1"/>
    </xf>
    <xf numFmtId="0" fontId="151" fillId="0" borderId="0" xfId="4" applyFont="1" applyFill="1" applyBorder="1" applyAlignment="1">
      <alignment vertical="center"/>
    </xf>
    <xf numFmtId="0" fontId="61" fillId="0" borderId="0" xfId="0" applyFont="1" applyFill="1" applyBorder="1" applyAlignment="1"/>
    <xf numFmtId="181" fontId="88" fillId="0" borderId="26" xfId="2" applyNumberFormat="1" applyFont="1" applyFill="1" applyBorder="1" applyAlignment="1">
      <alignment vertical="center"/>
    </xf>
    <xf numFmtId="181" fontId="88" fillId="0" borderId="27" xfId="2" applyNumberFormat="1" applyFont="1" applyFill="1" applyBorder="1" applyAlignment="1">
      <alignment vertical="center"/>
    </xf>
    <xf numFmtId="181" fontId="89" fillId="0" borderId="27" xfId="2" applyNumberFormat="1" applyFont="1" applyFill="1" applyBorder="1" applyAlignment="1">
      <alignment vertical="center"/>
    </xf>
    <xf numFmtId="181" fontId="88" fillId="0" borderId="28" xfId="2" applyNumberFormat="1" applyFont="1" applyFill="1" applyBorder="1" applyAlignment="1">
      <alignment vertical="center"/>
    </xf>
    <xf numFmtId="200" fontId="152" fillId="0" borderId="0" xfId="79" applyNumberFormat="1" applyFont="1" applyBorder="1">
      <alignment vertical="center"/>
    </xf>
    <xf numFmtId="200" fontId="153" fillId="0" borderId="0" xfId="79" applyNumberFormat="1" applyFont="1" applyBorder="1" applyAlignment="1">
      <alignment horizontal="right" vertical="center"/>
    </xf>
    <xf numFmtId="192" fontId="11" fillId="0" borderId="22" xfId="0" applyNumberFormat="1" applyFont="1" applyFill="1" applyBorder="1">
      <alignment vertical="center"/>
    </xf>
    <xf numFmtId="177" fontId="30" fillId="0" borderId="0" xfId="0" applyNumberFormat="1" applyFont="1" applyFill="1" applyAlignment="1">
      <alignment horizontal="right" vertical="center"/>
    </xf>
    <xf numFmtId="177" fontId="7" fillId="0" borderId="0" xfId="0" applyNumberFormat="1" applyFont="1" applyFill="1" applyAlignment="1">
      <alignment horizontal="right" vertical="center"/>
    </xf>
    <xf numFmtId="177" fontId="30" fillId="0" borderId="2" xfId="0" applyNumberFormat="1" applyFont="1" applyFill="1" applyBorder="1" applyAlignment="1">
      <alignment horizontal="right" vertical="center"/>
    </xf>
    <xf numFmtId="177" fontId="10" fillId="0" borderId="0" xfId="0" applyNumberFormat="1" applyFont="1" applyFill="1" applyAlignment="1">
      <alignment horizontal="right" vertical="center"/>
    </xf>
    <xf numFmtId="177" fontId="30" fillId="0" borderId="0" xfId="0" applyNumberFormat="1" applyFont="1" applyAlignment="1">
      <alignment horizontal="right" vertical="center"/>
    </xf>
    <xf numFmtId="177" fontId="10" fillId="0" borderId="0" xfId="0" applyNumberFormat="1" applyFont="1" applyAlignment="1">
      <alignment horizontal="right" vertical="center"/>
    </xf>
    <xf numFmtId="176" fontId="11" fillId="0" borderId="7" xfId="0" applyNumberFormat="1" applyFont="1" applyFill="1" applyBorder="1">
      <alignment vertical="center"/>
    </xf>
    <xf numFmtId="177" fontId="12" fillId="0" borderId="7" xfId="0" applyNumberFormat="1" applyFont="1" applyFill="1" applyBorder="1">
      <alignment vertical="center"/>
    </xf>
    <xf numFmtId="10" fontId="12" fillId="0" borderId="7" xfId="0" applyNumberFormat="1" applyFont="1" applyFill="1" applyBorder="1">
      <alignment vertical="center"/>
    </xf>
    <xf numFmtId="177" fontId="12" fillId="0" borderId="10" xfId="1" applyNumberFormat="1" applyFont="1" applyFill="1" applyBorder="1">
      <alignment vertical="center"/>
    </xf>
    <xf numFmtId="10" fontId="11" fillId="0" borderId="7" xfId="0" applyNumberFormat="1" applyFont="1" applyFill="1" applyBorder="1">
      <alignment vertical="center"/>
    </xf>
    <xf numFmtId="10" fontId="28" fillId="0" borderId="46" xfId="0" applyNumberFormat="1" applyFont="1" applyFill="1" applyBorder="1">
      <alignment vertical="center"/>
    </xf>
    <xf numFmtId="178" fontId="29" fillId="2" borderId="1" xfId="0" applyNumberFormat="1" applyFont="1" applyFill="1" applyBorder="1" applyAlignment="1">
      <alignment horizontal="center" vertical="center"/>
    </xf>
    <xf numFmtId="176" fontId="12" fillId="0" borderId="14" xfId="1" applyNumberFormat="1" applyFont="1" applyFill="1" applyBorder="1">
      <alignment vertical="center"/>
    </xf>
    <xf numFmtId="177" fontId="12" fillId="0" borderId="7" xfId="1" applyNumberFormat="1" applyFont="1" applyFill="1" applyBorder="1">
      <alignment vertical="center"/>
    </xf>
    <xf numFmtId="176" fontId="12" fillId="0" borderId="7" xfId="1" applyNumberFormat="1" applyFont="1" applyFill="1" applyBorder="1">
      <alignment vertical="center"/>
    </xf>
    <xf numFmtId="177" fontId="27" fillId="0" borderId="7" xfId="1" applyNumberFormat="1" applyFont="1" applyFill="1" applyBorder="1">
      <alignment vertical="center"/>
    </xf>
    <xf numFmtId="0" fontId="19" fillId="0" borderId="7" xfId="0" applyFont="1" applyFill="1" applyBorder="1">
      <alignment vertical="center"/>
    </xf>
    <xf numFmtId="176" fontId="12" fillId="0" borderId="7" xfId="0" applyNumberFormat="1" applyFont="1" applyFill="1" applyBorder="1">
      <alignment vertical="center"/>
    </xf>
    <xf numFmtId="179" fontId="12" fillId="0" borderId="10" xfId="0" applyNumberFormat="1" applyFont="1" applyFill="1" applyBorder="1">
      <alignment vertical="center"/>
    </xf>
    <xf numFmtId="183" fontId="19" fillId="0" borderId="0" xfId="0" applyNumberFormat="1" applyFont="1" applyBorder="1">
      <alignment vertical="center"/>
    </xf>
    <xf numFmtId="183" fontId="12" fillId="0" borderId="2" xfId="0" applyNumberFormat="1" applyFont="1" applyBorder="1">
      <alignment vertical="center"/>
    </xf>
    <xf numFmtId="178" fontId="29" fillId="2" borderId="1" xfId="0" applyNumberFormat="1" applyFont="1" applyFill="1" applyBorder="1" applyAlignment="1">
      <alignment horizontal="center" vertical="center"/>
    </xf>
    <xf numFmtId="182" fontId="10" fillId="5" borderId="0" xfId="0" applyNumberFormat="1" applyFont="1" applyFill="1">
      <alignment vertical="center"/>
    </xf>
    <xf numFmtId="182" fontId="7" fillId="5" borderId="0" xfId="1" applyNumberFormat="1" applyFont="1" applyFill="1" applyBorder="1">
      <alignment vertical="center"/>
    </xf>
    <xf numFmtId="182" fontId="7" fillId="5" borderId="42" xfId="1" applyNumberFormat="1" applyFont="1" applyFill="1" applyBorder="1">
      <alignment vertical="center"/>
    </xf>
    <xf numFmtId="182" fontId="10" fillId="5" borderId="2" xfId="0" applyNumberFormat="1" applyFont="1" applyFill="1" applyBorder="1">
      <alignment vertical="center"/>
    </xf>
    <xf numFmtId="182" fontId="30" fillId="5" borderId="2" xfId="0" applyNumberFormat="1" applyFont="1" applyFill="1" applyBorder="1">
      <alignment vertical="center"/>
    </xf>
    <xf numFmtId="183" fontId="28" fillId="0" borderId="19" xfId="2" applyNumberFormat="1" applyFont="1" applyBorder="1">
      <alignment vertical="center"/>
    </xf>
    <xf numFmtId="183" fontId="26" fillId="0" borderId="20" xfId="2" applyNumberFormat="1" applyFont="1" applyBorder="1">
      <alignment vertical="center"/>
    </xf>
    <xf numFmtId="183" fontId="27" fillId="0" borderId="21" xfId="2" applyNumberFormat="1" applyFont="1" applyBorder="1">
      <alignment vertical="center"/>
    </xf>
    <xf numFmtId="183" fontId="27" fillId="0" borderId="56" xfId="2" applyNumberFormat="1" applyFont="1" applyBorder="1">
      <alignment vertical="center"/>
    </xf>
    <xf numFmtId="183" fontId="27" fillId="0" borderId="22" xfId="2" applyNumberFormat="1" applyFont="1" applyBorder="1">
      <alignment vertical="center"/>
    </xf>
    <xf numFmtId="183" fontId="27" fillId="0" borderId="31" xfId="0" applyNumberFormat="1" applyFont="1" applyBorder="1">
      <alignment vertical="center"/>
    </xf>
    <xf numFmtId="183" fontId="27" fillId="0" borderId="22" xfId="0" applyNumberFormat="1" applyFont="1" applyBorder="1">
      <alignment vertical="center"/>
    </xf>
    <xf numFmtId="176" fontId="11" fillId="5" borderId="23" xfId="0" applyNumberFormat="1" applyFont="1" applyFill="1" applyBorder="1">
      <alignment vertical="center"/>
    </xf>
    <xf numFmtId="176" fontId="11" fillId="0" borderId="1" xfId="0" applyNumberFormat="1" applyFont="1" applyBorder="1">
      <alignment vertical="center"/>
    </xf>
    <xf numFmtId="176" fontId="12" fillId="5" borderId="21" xfId="0" applyNumberFormat="1" applyFont="1" applyFill="1" applyBorder="1">
      <alignment vertical="center"/>
    </xf>
    <xf numFmtId="177" fontId="33" fillId="5" borderId="24" xfId="1" applyNumberFormat="1" applyFont="1" applyFill="1" applyBorder="1">
      <alignment vertical="center"/>
    </xf>
    <xf numFmtId="177" fontId="33" fillId="0" borderId="11" xfId="1" applyNumberFormat="1" applyFont="1" applyBorder="1">
      <alignment vertical="center"/>
    </xf>
    <xf numFmtId="176" fontId="12" fillId="5" borderId="51" xfId="0" applyNumberFormat="1" applyFont="1" applyFill="1" applyBorder="1">
      <alignment vertical="center"/>
    </xf>
    <xf numFmtId="183" fontId="12" fillId="0" borderId="0" xfId="0" applyNumberFormat="1" applyFont="1">
      <alignment vertical="center"/>
    </xf>
    <xf numFmtId="176" fontId="12" fillId="5" borderId="22" xfId="0" applyNumberFormat="1" applyFont="1" applyFill="1" applyBorder="1">
      <alignment vertical="center"/>
    </xf>
    <xf numFmtId="176" fontId="12" fillId="0" borderId="2" xfId="0" applyNumberFormat="1" applyFont="1" applyBorder="1">
      <alignment vertical="center"/>
    </xf>
    <xf numFmtId="183" fontId="12" fillId="0" borderId="18" xfId="0" applyNumberFormat="1" applyFont="1" applyBorder="1">
      <alignment vertical="center"/>
    </xf>
    <xf numFmtId="183" fontId="12" fillId="0" borderId="16" xfId="0" applyNumberFormat="1" applyFont="1" applyBorder="1">
      <alignment vertical="center"/>
    </xf>
    <xf numFmtId="178" fontId="29" fillId="2" borderId="2" xfId="0" applyNumberFormat="1" applyFont="1" applyFill="1" applyBorder="1" applyAlignment="1">
      <alignment horizontal="center" vertical="center"/>
    </xf>
    <xf numFmtId="177" fontId="28" fillId="0" borderId="14" xfId="1" applyNumberFormat="1" applyFont="1" applyFill="1" applyBorder="1">
      <alignment vertical="center"/>
    </xf>
    <xf numFmtId="182" fontId="27" fillId="0" borderId="7" xfId="1" applyNumberFormat="1" applyFont="1" applyFill="1" applyBorder="1">
      <alignment vertical="center"/>
    </xf>
    <xf numFmtId="182" fontId="27" fillId="0" borderId="10" xfId="0" applyNumberFormat="1" applyFont="1" applyFill="1" applyBorder="1">
      <alignment vertical="center"/>
    </xf>
    <xf numFmtId="177" fontId="29" fillId="7" borderId="12" xfId="1" applyNumberFormat="1" applyFont="1" applyFill="1" applyBorder="1">
      <alignment vertical="center"/>
    </xf>
    <xf numFmtId="178" fontId="49" fillId="2" borderId="14" xfId="0" applyNumberFormat="1" applyFont="1" applyFill="1" applyBorder="1" applyAlignment="1">
      <alignment horizontal="center" vertical="center"/>
    </xf>
    <xf numFmtId="178" fontId="49" fillId="2" borderId="1" xfId="0" applyNumberFormat="1" applyFont="1" applyFill="1" applyBorder="1" applyAlignment="1">
      <alignment horizontal="center" vertical="center"/>
    </xf>
    <xf numFmtId="178" fontId="49" fillId="2" borderId="47" xfId="0" applyNumberFormat="1" applyFont="1" applyFill="1" applyBorder="1" applyAlignment="1">
      <alignment horizontal="center" vertical="center"/>
    </xf>
    <xf numFmtId="0" fontId="49" fillId="2" borderId="53" xfId="0" applyFont="1" applyFill="1" applyBorder="1" applyAlignment="1">
      <alignment horizontal="center" vertical="center"/>
    </xf>
    <xf numFmtId="0" fontId="49" fillId="2" borderId="1" xfId="0" applyFont="1" applyFill="1" applyBorder="1" applyAlignment="1">
      <alignment horizontal="center" vertical="center"/>
    </xf>
    <xf numFmtId="0" fontId="54" fillId="0" borderId="0" xfId="0" applyFont="1" applyAlignment="1">
      <alignment horizontal="center" vertical="center"/>
    </xf>
    <xf numFmtId="0" fontId="54" fillId="0" borderId="2" xfId="0" applyFont="1" applyBorder="1" applyAlignment="1">
      <alignment horizontal="center" vertical="center"/>
    </xf>
    <xf numFmtId="0" fontId="49" fillId="0" borderId="1" xfId="0" applyFont="1" applyBorder="1" applyAlignment="1">
      <alignment horizontal="center" vertical="center"/>
    </xf>
    <xf numFmtId="0" fontId="49" fillId="0" borderId="0" xfId="0" applyFont="1" applyAlignment="1">
      <alignment horizontal="center" vertical="center"/>
    </xf>
    <xf numFmtId="0" fontId="49" fillId="0" borderId="43" xfId="0" applyFont="1" applyBorder="1" applyAlignment="1">
      <alignment horizontal="center" vertical="center"/>
    </xf>
    <xf numFmtId="0" fontId="49" fillId="0" borderId="42" xfId="0" applyFont="1" applyBorder="1" applyAlignment="1">
      <alignment horizontal="center" vertical="center"/>
    </xf>
    <xf numFmtId="178" fontId="29" fillId="2" borderId="14" xfId="0" applyNumberFormat="1" applyFont="1" applyFill="1" applyBorder="1" applyAlignment="1">
      <alignment horizontal="center" vertical="center"/>
    </xf>
    <xf numFmtId="178" fontId="29" fillId="2" borderId="1" xfId="0" applyNumberFormat="1" applyFont="1" applyFill="1" applyBorder="1" applyAlignment="1">
      <alignment horizontal="center" vertical="center"/>
    </xf>
    <xf numFmtId="178" fontId="29" fillId="2" borderId="23" xfId="0" applyNumberFormat="1" applyFont="1" applyFill="1" applyBorder="1" applyAlignment="1">
      <alignment horizontal="center" vertical="center"/>
    </xf>
    <xf numFmtId="0" fontId="57" fillId="2" borderId="2" xfId="0" applyFont="1" applyFill="1" applyBorder="1" applyAlignment="1">
      <alignment horizontal="center" vertical="center"/>
    </xf>
    <xf numFmtId="0" fontId="57" fillId="2" borderId="22" xfId="0" applyFont="1" applyFill="1" applyBorder="1" applyAlignment="1">
      <alignment horizontal="center" vertical="center"/>
    </xf>
    <xf numFmtId="0" fontId="57" fillId="2" borderId="10" xfId="0" applyFont="1" applyFill="1" applyBorder="1" applyAlignment="1">
      <alignment horizontal="center" vertical="center"/>
    </xf>
    <xf numFmtId="0" fontId="57" fillId="2" borderId="29" xfId="0" applyFont="1" applyFill="1" applyBorder="1" applyAlignment="1">
      <alignment horizontal="center" vertical="center"/>
    </xf>
    <xf numFmtId="0" fontId="57" fillId="2" borderId="18" xfId="0" applyFont="1" applyFill="1" applyBorder="1" applyAlignment="1">
      <alignment horizontal="center" vertical="center"/>
    </xf>
    <xf numFmtId="0" fontId="80" fillId="9" borderId="0" xfId="4" applyFont="1" applyFill="1" applyAlignment="1">
      <alignment horizontal="center" vertical="center" wrapText="1"/>
    </xf>
    <xf numFmtId="0" fontId="83" fillId="0" borderId="0" xfId="4" applyFont="1" applyAlignment="1">
      <alignment horizontal="center" vertical="center" wrapText="1"/>
    </xf>
  </cellXfs>
  <cellStyles count="1065">
    <cellStyle name="20% - 강조색1" xfId="40" builtinId="30" customBuiltin="1"/>
    <cellStyle name="20% - 강조색1 2" xfId="175" xr:uid="{00000000-0005-0000-0000-000001000000}"/>
    <cellStyle name="20% - 강조색1 2 2" xfId="176" xr:uid="{00000000-0005-0000-0000-000002000000}"/>
    <cellStyle name="20% - 강조색1 2 3" xfId="594" xr:uid="{00000000-0005-0000-0000-000003000000}"/>
    <cellStyle name="20% - 강조색1 2 4" xfId="954" xr:uid="{00000000-0005-0000-0000-000004000000}"/>
    <cellStyle name="20% - 강조색1 3" xfId="177" xr:uid="{00000000-0005-0000-0000-000005000000}"/>
    <cellStyle name="20% - 강조색1 3 2" xfId="595" xr:uid="{00000000-0005-0000-0000-000006000000}"/>
    <cellStyle name="20% - 강조색1 3 3" xfId="953" xr:uid="{00000000-0005-0000-0000-000007000000}"/>
    <cellStyle name="20% - 강조색1 4" xfId="178" xr:uid="{00000000-0005-0000-0000-000008000000}"/>
    <cellStyle name="20% - 강조색1 4 2" xfId="596" xr:uid="{00000000-0005-0000-0000-000009000000}"/>
    <cellStyle name="20% - 강조색1 4 3" xfId="952" xr:uid="{00000000-0005-0000-0000-00000A000000}"/>
    <cellStyle name="20% - 강조색1 5" xfId="179" xr:uid="{00000000-0005-0000-0000-00000B000000}"/>
    <cellStyle name="20% - 강조색1 5 2" xfId="597" xr:uid="{00000000-0005-0000-0000-00000C000000}"/>
    <cellStyle name="20% - 강조색1 5 3" xfId="951" xr:uid="{00000000-0005-0000-0000-00000D000000}"/>
    <cellStyle name="20% - 강조색1 6" xfId="180" xr:uid="{00000000-0005-0000-0000-00000E000000}"/>
    <cellStyle name="20% - 강조색1 6 2" xfId="598" xr:uid="{00000000-0005-0000-0000-00000F000000}"/>
    <cellStyle name="20% - 강조색1 6 3" xfId="950" xr:uid="{00000000-0005-0000-0000-000010000000}"/>
    <cellStyle name="20% - 강조색2" xfId="43" builtinId="34" customBuiltin="1"/>
    <cellStyle name="20% - 강조색2 2" xfId="181" xr:uid="{00000000-0005-0000-0000-000012000000}"/>
    <cellStyle name="20% - 강조색2 2 2" xfId="182" xr:uid="{00000000-0005-0000-0000-000013000000}"/>
    <cellStyle name="20% - 강조색2 2 3" xfId="599" xr:uid="{00000000-0005-0000-0000-000014000000}"/>
    <cellStyle name="20% - 강조색2 2 4" xfId="949" xr:uid="{00000000-0005-0000-0000-000015000000}"/>
    <cellStyle name="20% - 강조색2 3" xfId="183" xr:uid="{00000000-0005-0000-0000-000016000000}"/>
    <cellStyle name="20% - 강조색2 3 2" xfId="600" xr:uid="{00000000-0005-0000-0000-000017000000}"/>
    <cellStyle name="20% - 강조색2 3 3" xfId="948" xr:uid="{00000000-0005-0000-0000-000018000000}"/>
    <cellStyle name="20% - 강조색2 4" xfId="184" xr:uid="{00000000-0005-0000-0000-000019000000}"/>
    <cellStyle name="20% - 강조색2 4 2" xfId="601" xr:uid="{00000000-0005-0000-0000-00001A000000}"/>
    <cellStyle name="20% - 강조색2 4 3" xfId="947" xr:uid="{00000000-0005-0000-0000-00001B000000}"/>
    <cellStyle name="20% - 강조색2 5" xfId="185" xr:uid="{00000000-0005-0000-0000-00001C000000}"/>
    <cellStyle name="20% - 강조색2 5 2" xfId="602" xr:uid="{00000000-0005-0000-0000-00001D000000}"/>
    <cellStyle name="20% - 강조색2 5 3" xfId="946" xr:uid="{00000000-0005-0000-0000-00001E000000}"/>
    <cellStyle name="20% - 강조색2 6" xfId="186" xr:uid="{00000000-0005-0000-0000-00001F000000}"/>
    <cellStyle name="20% - 강조색2 6 2" xfId="603" xr:uid="{00000000-0005-0000-0000-000020000000}"/>
    <cellStyle name="20% - 강조색2 6 3" xfId="945" xr:uid="{00000000-0005-0000-0000-000021000000}"/>
    <cellStyle name="20% - 강조색3" xfId="46" builtinId="38" customBuiltin="1"/>
    <cellStyle name="20% - 강조색3 2" xfId="187" xr:uid="{00000000-0005-0000-0000-000023000000}"/>
    <cellStyle name="20% - 강조색3 2 2" xfId="188" xr:uid="{00000000-0005-0000-0000-000024000000}"/>
    <cellStyle name="20% - 강조색3 2 3" xfId="604" xr:uid="{00000000-0005-0000-0000-000025000000}"/>
    <cellStyle name="20% - 강조색3 2 4" xfId="944" xr:uid="{00000000-0005-0000-0000-000026000000}"/>
    <cellStyle name="20% - 강조색3 3" xfId="189" xr:uid="{00000000-0005-0000-0000-000027000000}"/>
    <cellStyle name="20% - 강조색3 3 2" xfId="605" xr:uid="{00000000-0005-0000-0000-000028000000}"/>
    <cellStyle name="20% - 강조색3 3 3" xfId="943" xr:uid="{00000000-0005-0000-0000-000029000000}"/>
    <cellStyle name="20% - 강조색3 4" xfId="190" xr:uid="{00000000-0005-0000-0000-00002A000000}"/>
    <cellStyle name="20% - 강조색3 4 2" xfId="606" xr:uid="{00000000-0005-0000-0000-00002B000000}"/>
    <cellStyle name="20% - 강조색3 4 3" xfId="942" xr:uid="{00000000-0005-0000-0000-00002C000000}"/>
    <cellStyle name="20% - 강조색3 5" xfId="191" xr:uid="{00000000-0005-0000-0000-00002D000000}"/>
    <cellStyle name="20% - 강조색3 5 2" xfId="607" xr:uid="{00000000-0005-0000-0000-00002E000000}"/>
    <cellStyle name="20% - 강조색3 5 3" xfId="941" xr:uid="{00000000-0005-0000-0000-00002F000000}"/>
    <cellStyle name="20% - 강조색3 6" xfId="192" xr:uid="{00000000-0005-0000-0000-000030000000}"/>
    <cellStyle name="20% - 강조색3 6 2" xfId="608" xr:uid="{00000000-0005-0000-0000-000031000000}"/>
    <cellStyle name="20% - 강조색3 6 3" xfId="940" xr:uid="{00000000-0005-0000-0000-000032000000}"/>
    <cellStyle name="20% - 강조색4" xfId="49" builtinId="42" customBuiltin="1"/>
    <cellStyle name="20% - 강조색4 2" xfId="193" xr:uid="{00000000-0005-0000-0000-000034000000}"/>
    <cellStyle name="20% - 강조색4 2 2" xfId="194" xr:uid="{00000000-0005-0000-0000-000035000000}"/>
    <cellStyle name="20% - 강조색4 2 3" xfId="609" xr:uid="{00000000-0005-0000-0000-000036000000}"/>
    <cellStyle name="20% - 강조색4 2 4" xfId="939" xr:uid="{00000000-0005-0000-0000-000037000000}"/>
    <cellStyle name="20% - 강조색4 3" xfId="195" xr:uid="{00000000-0005-0000-0000-000038000000}"/>
    <cellStyle name="20% - 강조색4 3 2" xfId="610" xr:uid="{00000000-0005-0000-0000-000039000000}"/>
    <cellStyle name="20% - 강조색4 3 3" xfId="938" xr:uid="{00000000-0005-0000-0000-00003A000000}"/>
    <cellStyle name="20% - 강조색4 4" xfId="196" xr:uid="{00000000-0005-0000-0000-00003B000000}"/>
    <cellStyle name="20% - 강조색4 4 2" xfId="611" xr:uid="{00000000-0005-0000-0000-00003C000000}"/>
    <cellStyle name="20% - 강조색4 4 3" xfId="937" xr:uid="{00000000-0005-0000-0000-00003D000000}"/>
    <cellStyle name="20% - 강조색4 5" xfId="197" xr:uid="{00000000-0005-0000-0000-00003E000000}"/>
    <cellStyle name="20% - 강조색4 5 2" xfId="612" xr:uid="{00000000-0005-0000-0000-00003F000000}"/>
    <cellStyle name="20% - 강조색4 5 3" xfId="936" xr:uid="{00000000-0005-0000-0000-000040000000}"/>
    <cellStyle name="20% - 강조색4 6" xfId="198" xr:uid="{00000000-0005-0000-0000-000041000000}"/>
    <cellStyle name="20% - 강조색4 6 2" xfId="613" xr:uid="{00000000-0005-0000-0000-000042000000}"/>
    <cellStyle name="20% - 강조색4 6 3" xfId="935" xr:uid="{00000000-0005-0000-0000-000043000000}"/>
    <cellStyle name="20% - 강조색5" xfId="52" builtinId="46" customBuiltin="1"/>
    <cellStyle name="20% - 강조색5 2" xfId="199" xr:uid="{00000000-0005-0000-0000-000045000000}"/>
    <cellStyle name="20% - 강조색5 2 2" xfId="200" xr:uid="{00000000-0005-0000-0000-000046000000}"/>
    <cellStyle name="20% - 강조색5 2 3" xfId="614" xr:uid="{00000000-0005-0000-0000-000047000000}"/>
    <cellStyle name="20% - 강조색5 2 4" xfId="934" xr:uid="{00000000-0005-0000-0000-000048000000}"/>
    <cellStyle name="20% - 강조색5 3" xfId="201" xr:uid="{00000000-0005-0000-0000-000049000000}"/>
    <cellStyle name="20% - 강조색5 3 2" xfId="615" xr:uid="{00000000-0005-0000-0000-00004A000000}"/>
    <cellStyle name="20% - 강조색5 3 3" xfId="933" xr:uid="{00000000-0005-0000-0000-00004B000000}"/>
    <cellStyle name="20% - 강조색5 4" xfId="202" xr:uid="{00000000-0005-0000-0000-00004C000000}"/>
    <cellStyle name="20% - 강조색5 4 2" xfId="616" xr:uid="{00000000-0005-0000-0000-00004D000000}"/>
    <cellStyle name="20% - 강조색5 4 3" xfId="932" xr:uid="{00000000-0005-0000-0000-00004E000000}"/>
    <cellStyle name="20% - 강조색5 5" xfId="203" xr:uid="{00000000-0005-0000-0000-00004F000000}"/>
    <cellStyle name="20% - 강조색5 5 2" xfId="617" xr:uid="{00000000-0005-0000-0000-000050000000}"/>
    <cellStyle name="20% - 강조색5 5 3" xfId="931" xr:uid="{00000000-0005-0000-0000-000051000000}"/>
    <cellStyle name="20% - 강조색5 6" xfId="204" xr:uid="{00000000-0005-0000-0000-000052000000}"/>
    <cellStyle name="20% - 강조색5 6 2" xfId="618" xr:uid="{00000000-0005-0000-0000-000053000000}"/>
    <cellStyle name="20% - 강조색5 6 3" xfId="930" xr:uid="{00000000-0005-0000-0000-000054000000}"/>
    <cellStyle name="20% - 강조색6" xfId="55" builtinId="50" customBuiltin="1"/>
    <cellStyle name="20% - 강조색6 2" xfId="205" xr:uid="{00000000-0005-0000-0000-000056000000}"/>
    <cellStyle name="20% - 강조색6 2 2" xfId="206" xr:uid="{00000000-0005-0000-0000-000057000000}"/>
    <cellStyle name="20% - 강조색6 2 3" xfId="619" xr:uid="{00000000-0005-0000-0000-000058000000}"/>
    <cellStyle name="20% - 강조색6 2 4" xfId="929" xr:uid="{00000000-0005-0000-0000-000059000000}"/>
    <cellStyle name="20% - 강조색6 3" xfId="207" xr:uid="{00000000-0005-0000-0000-00005A000000}"/>
    <cellStyle name="20% - 강조색6 3 2" xfId="620" xr:uid="{00000000-0005-0000-0000-00005B000000}"/>
    <cellStyle name="20% - 강조색6 3 3" xfId="928" xr:uid="{00000000-0005-0000-0000-00005C000000}"/>
    <cellStyle name="20% - 강조색6 4" xfId="208" xr:uid="{00000000-0005-0000-0000-00005D000000}"/>
    <cellStyle name="20% - 강조색6 4 2" xfId="621" xr:uid="{00000000-0005-0000-0000-00005E000000}"/>
    <cellStyle name="20% - 강조색6 4 3" xfId="927" xr:uid="{00000000-0005-0000-0000-00005F000000}"/>
    <cellStyle name="20% - 강조색6 5" xfId="209" xr:uid="{00000000-0005-0000-0000-000060000000}"/>
    <cellStyle name="20% - 강조색6 5 2" xfId="622" xr:uid="{00000000-0005-0000-0000-000061000000}"/>
    <cellStyle name="20% - 강조색6 5 3" xfId="926" xr:uid="{00000000-0005-0000-0000-000062000000}"/>
    <cellStyle name="20% - 강조색6 6" xfId="210" xr:uid="{00000000-0005-0000-0000-000063000000}"/>
    <cellStyle name="20% - 강조색6 6 2" xfId="623" xr:uid="{00000000-0005-0000-0000-000064000000}"/>
    <cellStyle name="20% - 강조색6 6 3" xfId="925" xr:uid="{00000000-0005-0000-0000-000065000000}"/>
    <cellStyle name="40% - 강조색1" xfId="41" builtinId="31" customBuiltin="1"/>
    <cellStyle name="40% - 강조색1 2" xfId="211" xr:uid="{00000000-0005-0000-0000-000067000000}"/>
    <cellStyle name="40% - 강조색1 2 2" xfId="212" xr:uid="{00000000-0005-0000-0000-000068000000}"/>
    <cellStyle name="40% - 강조색1 2 3" xfId="624" xr:uid="{00000000-0005-0000-0000-000069000000}"/>
    <cellStyle name="40% - 강조색1 2 4" xfId="924" xr:uid="{00000000-0005-0000-0000-00006A000000}"/>
    <cellStyle name="40% - 강조색1 3" xfId="213" xr:uid="{00000000-0005-0000-0000-00006B000000}"/>
    <cellStyle name="40% - 강조색1 3 2" xfId="625" xr:uid="{00000000-0005-0000-0000-00006C000000}"/>
    <cellStyle name="40% - 강조색1 3 3" xfId="923" xr:uid="{00000000-0005-0000-0000-00006D000000}"/>
    <cellStyle name="40% - 강조색1 4" xfId="214" xr:uid="{00000000-0005-0000-0000-00006E000000}"/>
    <cellStyle name="40% - 강조색1 4 2" xfId="626" xr:uid="{00000000-0005-0000-0000-00006F000000}"/>
    <cellStyle name="40% - 강조색1 4 3" xfId="922" xr:uid="{00000000-0005-0000-0000-000070000000}"/>
    <cellStyle name="40% - 강조색1 5" xfId="215" xr:uid="{00000000-0005-0000-0000-000071000000}"/>
    <cellStyle name="40% - 강조색1 5 2" xfId="627" xr:uid="{00000000-0005-0000-0000-000072000000}"/>
    <cellStyle name="40% - 강조색1 5 3" xfId="921" xr:uid="{00000000-0005-0000-0000-000073000000}"/>
    <cellStyle name="40% - 강조색1 6" xfId="216" xr:uid="{00000000-0005-0000-0000-000074000000}"/>
    <cellStyle name="40% - 강조색1 6 2" xfId="628" xr:uid="{00000000-0005-0000-0000-000075000000}"/>
    <cellStyle name="40% - 강조색1 6 3" xfId="920" xr:uid="{00000000-0005-0000-0000-000076000000}"/>
    <cellStyle name="40% - 강조색2" xfId="44" builtinId="35" customBuiltin="1"/>
    <cellStyle name="40% - 강조색2 2" xfId="217" xr:uid="{00000000-0005-0000-0000-000078000000}"/>
    <cellStyle name="40% - 강조색2 2 2" xfId="218" xr:uid="{00000000-0005-0000-0000-000079000000}"/>
    <cellStyle name="40% - 강조색2 2 3" xfId="629" xr:uid="{00000000-0005-0000-0000-00007A000000}"/>
    <cellStyle name="40% - 강조색2 2 4" xfId="919" xr:uid="{00000000-0005-0000-0000-00007B000000}"/>
    <cellStyle name="40% - 강조색2 3" xfId="219" xr:uid="{00000000-0005-0000-0000-00007C000000}"/>
    <cellStyle name="40% - 강조색2 3 2" xfId="630" xr:uid="{00000000-0005-0000-0000-00007D000000}"/>
    <cellStyle name="40% - 강조색2 3 3" xfId="918" xr:uid="{00000000-0005-0000-0000-00007E000000}"/>
    <cellStyle name="40% - 강조색2 4" xfId="220" xr:uid="{00000000-0005-0000-0000-00007F000000}"/>
    <cellStyle name="40% - 강조색2 4 2" xfId="631" xr:uid="{00000000-0005-0000-0000-000080000000}"/>
    <cellStyle name="40% - 강조색2 4 3" xfId="917" xr:uid="{00000000-0005-0000-0000-000081000000}"/>
    <cellStyle name="40% - 강조색2 5" xfId="221" xr:uid="{00000000-0005-0000-0000-000082000000}"/>
    <cellStyle name="40% - 강조색2 5 2" xfId="632" xr:uid="{00000000-0005-0000-0000-000083000000}"/>
    <cellStyle name="40% - 강조색2 5 3" xfId="916" xr:uid="{00000000-0005-0000-0000-000084000000}"/>
    <cellStyle name="40% - 강조색2 6" xfId="222" xr:uid="{00000000-0005-0000-0000-000085000000}"/>
    <cellStyle name="40% - 강조색2 6 2" xfId="633" xr:uid="{00000000-0005-0000-0000-000086000000}"/>
    <cellStyle name="40% - 강조색2 6 3" xfId="915" xr:uid="{00000000-0005-0000-0000-000087000000}"/>
    <cellStyle name="40% - 강조색3" xfId="47" builtinId="39" customBuiltin="1"/>
    <cellStyle name="40% - 강조색3 2" xfId="223" xr:uid="{00000000-0005-0000-0000-000089000000}"/>
    <cellStyle name="40% - 강조색3 2 2" xfId="224" xr:uid="{00000000-0005-0000-0000-00008A000000}"/>
    <cellStyle name="40% - 강조색3 2 3" xfId="634" xr:uid="{00000000-0005-0000-0000-00008B000000}"/>
    <cellStyle name="40% - 강조색3 2 4" xfId="914" xr:uid="{00000000-0005-0000-0000-00008C000000}"/>
    <cellStyle name="40% - 강조색3 3" xfId="225" xr:uid="{00000000-0005-0000-0000-00008D000000}"/>
    <cellStyle name="40% - 강조색3 3 2" xfId="635" xr:uid="{00000000-0005-0000-0000-00008E000000}"/>
    <cellStyle name="40% - 강조색3 3 3" xfId="913" xr:uid="{00000000-0005-0000-0000-00008F000000}"/>
    <cellStyle name="40% - 강조색3 4" xfId="226" xr:uid="{00000000-0005-0000-0000-000090000000}"/>
    <cellStyle name="40% - 강조색3 4 2" xfId="636" xr:uid="{00000000-0005-0000-0000-000091000000}"/>
    <cellStyle name="40% - 강조색3 4 3" xfId="912" xr:uid="{00000000-0005-0000-0000-000092000000}"/>
    <cellStyle name="40% - 강조색3 5" xfId="227" xr:uid="{00000000-0005-0000-0000-000093000000}"/>
    <cellStyle name="40% - 강조색3 5 2" xfId="637" xr:uid="{00000000-0005-0000-0000-000094000000}"/>
    <cellStyle name="40% - 강조색3 5 3" xfId="911" xr:uid="{00000000-0005-0000-0000-000095000000}"/>
    <cellStyle name="40% - 강조색3 6" xfId="228" xr:uid="{00000000-0005-0000-0000-000096000000}"/>
    <cellStyle name="40% - 강조색3 6 2" xfId="638" xr:uid="{00000000-0005-0000-0000-000097000000}"/>
    <cellStyle name="40% - 강조색3 6 3" xfId="910" xr:uid="{00000000-0005-0000-0000-000098000000}"/>
    <cellStyle name="40% - 강조색4" xfId="50" builtinId="43" customBuiltin="1"/>
    <cellStyle name="40% - 강조색4 2" xfId="229" xr:uid="{00000000-0005-0000-0000-00009A000000}"/>
    <cellStyle name="40% - 강조색4 2 2" xfId="230" xr:uid="{00000000-0005-0000-0000-00009B000000}"/>
    <cellStyle name="40% - 강조색4 2 3" xfId="639" xr:uid="{00000000-0005-0000-0000-00009C000000}"/>
    <cellStyle name="40% - 강조색4 2 4" xfId="909" xr:uid="{00000000-0005-0000-0000-00009D000000}"/>
    <cellStyle name="40% - 강조색4 3" xfId="231" xr:uid="{00000000-0005-0000-0000-00009E000000}"/>
    <cellStyle name="40% - 강조색4 3 2" xfId="640" xr:uid="{00000000-0005-0000-0000-00009F000000}"/>
    <cellStyle name="40% - 강조색4 3 3" xfId="908" xr:uid="{00000000-0005-0000-0000-0000A0000000}"/>
    <cellStyle name="40% - 강조색4 4" xfId="232" xr:uid="{00000000-0005-0000-0000-0000A1000000}"/>
    <cellStyle name="40% - 강조색4 4 2" xfId="641" xr:uid="{00000000-0005-0000-0000-0000A2000000}"/>
    <cellStyle name="40% - 강조색4 4 3" xfId="907" xr:uid="{00000000-0005-0000-0000-0000A3000000}"/>
    <cellStyle name="40% - 강조색4 5" xfId="233" xr:uid="{00000000-0005-0000-0000-0000A4000000}"/>
    <cellStyle name="40% - 강조색4 5 2" xfId="642" xr:uid="{00000000-0005-0000-0000-0000A5000000}"/>
    <cellStyle name="40% - 강조색4 5 3" xfId="906" xr:uid="{00000000-0005-0000-0000-0000A6000000}"/>
    <cellStyle name="40% - 강조색4 6" xfId="234" xr:uid="{00000000-0005-0000-0000-0000A7000000}"/>
    <cellStyle name="40% - 강조색4 6 2" xfId="643" xr:uid="{00000000-0005-0000-0000-0000A8000000}"/>
    <cellStyle name="40% - 강조색4 6 3" xfId="905" xr:uid="{00000000-0005-0000-0000-0000A9000000}"/>
    <cellStyle name="40% - 강조색5" xfId="53" builtinId="47" customBuiltin="1"/>
    <cellStyle name="40% - 강조색5 2" xfId="235" xr:uid="{00000000-0005-0000-0000-0000AB000000}"/>
    <cellStyle name="40% - 강조색5 2 2" xfId="236" xr:uid="{00000000-0005-0000-0000-0000AC000000}"/>
    <cellStyle name="40% - 강조색5 2 3" xfId="644" xr:uid="{00000000-0005-0000-0000-0000AD000000}"/>
    <cellStyle name="40% - 강조색5 2 4" xfId="904" xr:uid="{00000000-0005-0000-0000-0000AE000000}"/>
    <cellStyle name="40% - 강조색5 3" xfId="237" xr:uid="{00000000-0005-0000-0000-0000AF000000}"/>
    <cellStyle name="40% - 강조색5 3 2" xfId="645" xr:uid="{00000000-0005-0000-0000-0000B0000000}"/>
    <cellStyle name="40% - 강조색5 3 3" xfId="903" xr:uid="{00000000-0005-0000-0000-0000B1000000}"/>
    <cellStyle name="40% - 강조색5 4" xfId="238" xr:uid="{00000000-0005-0000-0000-0000B2000000}"/>
    <cellStyle name="40% - 강조색5 4 2" xfId="646" xr:uid="{00000000-0005-0000-0000-0000B3000000}"/>
    <cellStyle name="40% - 강조색5 4 3" xfId="902" xr:uid="{00000000-0005-0000-0000-0000B4000000}"/>
    <cellStyle name="40% - 강조색5 5" xfId="239" xr:uid="{00000000-0005-0000-0000-0000B5000000}"/>
    <cellStyle name="40% - 강조색5 5 2" xfId="647" xr:uid="{00000000-0005-0000-0000-0000B6000000}"/>
    <cellStyle name="40% - 강조색5 5 3" xfId="901" xr:uid="{00000000-0005-0000-0000-0000B7000000}"/>
    <cellStyle name="40% - 강조색5 6" xfId="240" xr:uid="{00000000-0005-0000-0000-0000B8000000}"/>
    <cellStyle name="40% - 강조색5 6 2" xfId="648" xr:uid="{00000000-0005-0000-0000-0000B9000000}"/>
    <cellStyle name="40% - 강조색5 6 3" xfId="900" xr:uid="{00000000-0005-0000-0000-0000BA000000}"/>
    <cellStyle name="40% - 강조색6" xfId="56" builtinId="51" customBuiltin="1"/>
    <cellStyle name="40% - 강조색6 2" xfId="241" xr:uid="{00000000-0005-0000-0000-0000BC000000}"/>
    <cellStyle name="40% - 강조색6 2 2" xfId="242" xr:uid="{00000000-0005-0000-0000-0000BD000000}"/>
    <cellStyle name="40% - 강조색6 2 3" xfId="649" xr:uid="{00000000-0005-0000-0000-0000BE000000}"/>
    <cellStyle name="40% - 강조색6 2 4" xfId="899" xr:uid="{00000000-0005-0000-0000-0000BF000000}"/>
    <cellStyle name="40% - 강조색6 3" xfId="243" xr:uid="{00000000-0005-0000-0000-0000C0000000}"/>
    <cellStyle name="40% - 강조색6 3 2" xfId="650" xr:uid="{00000000-0005-0000-0000-0000C1000000}"/>
    <cellStyle name="40% - 강조색6 3 3" xfId="898" xr:uid="{00000000-0005-0000-0000-0000C2000000}"/>
    <cellStyle name="40% - 강조색6 4" xfId="244" xr:uid="{00000000-0005-0000-0000-0000C3000000}"/>
    <cellStyle name="40% - 강조색6 4 2" xfId="651" xr:uid="{00000000-0005-0000-0000-0000C4000000}"/>
    <cellStyle name="40% - 강조색6 4 3" xfId="897" xr:uid="{00000000-0005-0000-0000-0000C5000000}"/>
    <cellStyle name="40% - 강조색6 5" xfId="245" xr:uid="{00000000-0005-0000-0000-0000C6000000}"/>
    <cellStyle name="40% - 강조색6 5 2" xfId="652" xr:uid="{00000000-0005-0000-0000-0000C7000000}"/>
    <cellStyle name="40% - 강조색6 5 3" xfId="896" xr:uid="{00000000-0005-0000-0000-0000C8000000}"/>
    <cellStyle name="40% - 강조색6 6" xfId="246" xr:uid="{00000000-0005-0000-0000-0000C9000000}"/>
    <cellStyle name="40% - 강조색6 6 2" xfId="653" xr:uid="{00000000-0005-0000-0000-0000CA000000}"/>
    <cellStyle name="40% - 강조색6 6 3" xfId="895" xr:uid="{00000000-0005-0000-0000-0000CB000000}"/>
    <cellStyle name="60% - 강조색1 2" xfId="64" xr:uid="{00000000-0005-0000-0000-0000CC000000}"/>
    <cellStyle name="60% - 강조색1 2 2" xfId="248" xr:uid="{00000000-0005-0000-0000-0000CD000000}"/>
    <cellStyle name="60% - 강조색1 2 3" xfId="654" xr:uid="{00000000-0005-0000-0000-0000CE000000}"/>
    <cellStyle name="60% - 강조색1 2 4" xfId="894" xr:uid="{00000000-0005-0000-0000-0000CF000000}"/>
    <cellStyle name="60% - 강조색1 2 5" xfId="247" xr:uid="{00000000-0005-0000-0000-0000D0000000}"/>
    <cellStyle name="60% - 강조색1 3" xfId="249" xr:uid="{00000000-0005-0000-0000-0000D1000000}"/>
    <cellStyle name="60% - 강조색1 3 2" xfId="655" xr:uid="{00000000-0005-0000-0000-0000D2000000}"/>
    <cellStyle name="60% - 강조색1 3 3" xfId="893" xr:uid="{00000000-0005-0000-0000-0000D3000000}"/>
    <cellStyle name="60% - 강조색1 4" xfId="250" xr:uid="{00000000-0005-0000-0000-0000D4000000}"/>
    <cellStyle name="60% - 강조색1 4 2" xfId="656" xr:uid="{00000000-0005-0000-0000-0000D5000000}"/>
    <cellStyle name="60% - 강조색1 4 3" xfId="892" xr:uid="{00000000-0005-0000-0000-0000D6000000}"/>
    <cellStyle name="60% - 강조색1 5" xfId="251" xr:uid="{00000000-0005-0000-0000-0000D7000000}"/>
    <cellStyle name="60% - 강조색1 5 2" xfId="657" xr:uid="{00000000-0005-0000-0000-0000D8000000}"/>
    <cellStyle name="60% - 강조색1 5 3" xfId="891" xr:uid="{00000000-0005-0000-0000-0000D9000000}"/>
    <cellStyle name="60% - 강조색1 6" xfId="252" xr:uid="{00000000-0005-0000-0000-0000DA000000}"/>
    <cellStyle name="60% - 강조색1 6 2" xfId="658" xr:uid="{00000000-0005-0000-0000-0000DB000000}"/>
    <cellStyle name="60% - 강조색1 6 3" xfId="890" xr:uid="{00000000-0005-0000-0000-0000DC000000}"/>
    <cellStyle name="60% - 강조색2 2" xfId="65" xr:uid="{00000000-0005-0000-0000-0000DD000000}"/>
    <cellStyle name="60% - 강조색2 2 2" xfId="254" xr:uid="{00000000-0005-0000-0000-0000DE000000}"/>
    <cellStyle name="60% - 강조색2 2 3" xfId="659" xr:uid="{00000000-0005-0000-0000-0000DF000000}"/>
    <cellStyle name="60% - 강조색2 2 4" xfId="889" xr:uid="{00000000-0005-0000-0000-0000E0000000}"/>
    <cellStyle name="60% - 강조색2 2 5" xfId="253" xr:uid="{00000000-0005-0000-0000-0000E1000000}"/>
    <cellStyle name="60% - 강조색2 3" xfId="255" xr:uid="{00000000-0005-0000-0000-0000E2000000}"/>
    <cellStyle name="60% - 강조색2 3 2" xfId="660" xr:uid="{00000000-0005-0000-0000-0000E3000000}"/>
    <cellStyle name="60% - 강조색2 3 3" xfId="888" xr:uid="{00000000-0005-0000-0000-0000E4000000}"/>
    <cellStyle name="60% - 강조색2 4" xfId="256" xr:uid="{00000000-0005-0000-0000-0000E5000000}"/>
    <cellStyle name="60% - 강조색2 4 2" xfId="661" xr:uid="{00000000-0005-0000-0000-0000E6000000}"/>
    <cellStyle name="60% - 강조색2 4 3" xfId="887" xr:uid="{00000000-0005-0000-0000-0000E7000000}"/>
    <cellStyle name="60% - 강조색2 5" xfId="257" xr:uid="{00000000-0005-0000-0000-0000E8000000}"/>
    <cellStyle name="60% - 강조색2 5 2" xfId="662" xr:uid="{00000000-0005-0000-0000-0000E9000000}"/>
    <cellStyle name="60% - 강조색2 5 3" xfId="886" xr:uid="{00000000-0005-0000-0000-0000EA000000}"/>
    <cellStyle name="60% - 강조색2 6" xfId="258" xr:uid="{00000000-0005-0000-0000-0000EB000000}"/>
    <cellStyle name="60% - 강조색2 6 2" xfId="663" xr:uid="{00000000-0005-0000-0000-0000EC000000}"/>
    <cellStyle name="60% - 강조색2 6 3" xfId="885" xr:uid="{00000000-0005-0000-0000-0000ED000000}"/>
    <cellStyle name="60% - 강조색3 2" xfId="66" xr:uid="{00000000-0005-0000-0000-0000EE000000}"/>
    <cellStyle name="60% - 강조색3 2 2" xfId="260" xr:uid="{00000000-0005-0000-0000-0000EF000000}"/>
    <cellStyle name="60% - 강조색3 2 3" xfId="664" xr:uid="{00000000-0005-0000-0000-0000F0000000}"/>
    <cellStyle name="60% - 강조색3 2 4" xfId="884" xr:uid="{00000000-0005-0000-0000-0000F1000000}"/>
    <cellStyle name="60% - 강조색3 2 5" xfId="259" xr:uid="{00000000-0005-0000-0000-0000F2000000}"/>
    <cellStyle name="60% - 강조색3 3" xfId="261" xr:uid="{00000000-0005-0000-0000-0000F3000000}"/>
    <cellStyle name="60% - 강조색3 3 2" xfId="665" xr:uid="{00000000-0005-0000-0000-0000F4000000}"/>
    <cellStyle name="60% - 강조색3 3 3" xfId="883" xr:uid="{00000000-0005-0000-0000-0000F5000000}"/>
    <cellStyle name="60% - 강조색3 4" xfId="262" xr:uid="{00000000-0005-0000-0000-0000F6000000}"/>
    <cellStyle name="60% - 강조색3 4 2" xfId="666" xr:uid="{00000000-0005-0000-0000-0000F7000000}"/>
    <cellStyle name="60% - 강조색3 4 3" xfId="882" xr:uid="{00000000-0005-0000-0000-0000F8000000}"/>
    <cellStyle name="60% - 강조색3 5" xfId="263" xr:uid="{00000000-0005-0000-0000-0000F9000000}"/>
    <cellStyle name="60% - 강조색3 5 2" xfId="667" xr:uid="{00000000-0005-0000-0000-0000FA000000}"/>
    <cellStyle name="60% - 강조색3 5 3" xfId="881" xr:uid="{00000000-0005-0000-0000-0000FB000000}"/>
    <cellStyle name="60% - 강조색3 6" xfId="264" xr:uid="{00000000-0005-0000-0000-0000FC000000}"/>
    <cellStyle name="60% - 강조색3 6 2" xfId="668" xr:uid="{00000000-0005-0000-0000-0000FD000000}"/>
    <cellStyle name="60% - 강조색3 6 3" xfId="880" xr:uid="{00000000-0005-0000-0000-0000FE000000}"/>
    <cellStyle name="60% - 강조색4 2" xfId="68" xr:uid="{00000000-0005-0000-0000-0000FF000000}"/>
    <cellStyle name="60% - 강조색4 2 2" xfId="266" xr:uid="{00000000-0005-0000-0000-000000010000}"/>
    <cellStyle name="60% - 강조색4 2 3" xfId="669" xr:uid="{00000000-0005-0000-0000-000001010000}"/>
    <cellStyle name="60% - 강조색4 2 4" xfId="879" xr:uid="{00000000-0005-0000-0000-000002010000}"/>
    <cellStyle name="60% - 강조색4 2 5" xfId="265" xr:uid="{00000000-0005-0000-0000-000003010000}"/>
    <cellStyle name="60% - 강조색4 3" xfId="267" xr:uid="{00000000-0005-0000-0000-000004010000}"/>
    <cellStyle name="60% - 강조색4 3 2" xfId="670" xr:uid="{00000000-0005-0000-0000-000005010000}"/>
    <cellStyle name="60% - 강조색4 3 3" xfId="878" xr:uid="{00000000-0005-0000-0000-000006010000}"/>
    <cellStyle name="60% - 강조색4 4" xfId="268" xr:uid="{00000000-0005-0000-0000-000007010000}"/>
    <cellStyle name="60% - 강조색4 4 2" xfId="671" xr:uid="{00000000-0005-0000-0000-000008010000}"/>
    <cellStyle name="60% - 강조색4 4 3" xfId="877" xr:uid="{00000000-0005-0000-0000-000009010000}"/>
    <cellStyle name="60% - 강조색4 5" xfId="269" xr:uid="{00000000-0005-0000-0000-00000A010000}"/>
    <cellStyle name="60% - 강조색4 5 2" xfId="672" xr:uid="{00000000-0005-0000-0000-00000B010000}"/>
    <cellStyle name="60% - 강조색4 5 3" xfId="876" xr:uid="{00000000-0005-0000-0000-00000C010000}"/>
    <cellStyle name="60% - 강조색4 6" xfId="270" xr:uid="{00000000-0005-0000-0000-00000D010000}"/>
    <cellStyle name="60% - 강조색4 6 2" xfId="673" xr:uid="{00000000-0005-0000-0000-00000E010000}"/>
    <cellStyle name="60% - 강조색4 6 3" xfId="875" xr:uid="{00000000-0005-0000-0000-00000F010000}"/>
    <cellStyle name="60% - 강조색5 2" xfId="69" xr:uid="{00000000-0005-0000-0000-000010010000}"/>
    <cellStyle name="60% - 강조색5 2 2" xfId="272" xr:uid="{00000000-0005-0000-0000-000011010000}"/>
    <cellStyle name="60% - 강조색5 2 3" xfId="674" xr:uid="{00000000-0005-0000-0000-000012010000}"/>
    <cellStyle name="60% - 강조색5 2 4" xfId="874" xr:uid="{00000000-0005-0000-0000-000013010000}"/>
    <cellStyle name="60% - 강조색5 2 5" xfId="271" xr:uid="{00000000-0005-0000-0000-000014010000}"/>
    <cellStyle name="60% - 강조색5 3" xfId="273" xr:uid="{00000000-0005-0000-0000-000015010000}"/>
    <cellStyle name="60% - 강조색5 3 2" xfId="675" xr:uid="{00000000-0005-0000-0000-000016010000}"/>
    <cellStyle name="60% - 강조색5 3 3" xfId="873" xr:uid="{00000000-0005-0000-0000-000017010000}"/>
    <cellStyle name="60% - 강조색5 4" xfId="274" xr:uid="{00000000-0005-0000-0000-000018010000}"/>
    <cellStyle name="60% - 강조색5 4 2" xfId="676" xr:uid="{00000000-0005-0000-0000-000019010000}"/>
    <cellStyle name="60% - 강조색5 4 3" xfId="872" xr:uid="{00000000-0005-0000-0000-00001A010000}"/>
    <cellStyle name="60% - 강조색5 5" xfId="275" xr:uid="{00000000-0005-0000-0000-00001B010000}"/>
    <cellStyle name="60% - 강조색5 5 2" xfId="677" xr:uid="{00000000-0005-0000-0000-00001C010000}"/>
    <cellStyle name="60% - 강조색5 5 3" xfId="871" xr:uid="{00000000-0005-0000-0000-00001D010000}"/>
    <cellStyle name="60% - 강조색5 6" xfId="276" xr:uid="{00000000-0005-0000-0000-00001E010000}"/>
    <cellStyle name="60% - 강조색5 6 2" xfId="678" xr:uid="{00000000-0005-0000-0000-00001F010000}"/>
    <cellStyle name="60% - 강조색5 6 3" xfId="870" xr:uid="{00000000-0005-0000-0000-000020010000}"/>
    <cellStyle name="60% - 강조색6 2" xfId="71" xr:uid="{00000000-0005-0000-0000-000021010000}"/>
    <cellStyle name="60% - 강조색6 2 2" xfId="278" xr:uid="{00000000-0005-0000-0000-000022010000}"/>
    <cellStyle name="60% - 강조색6 2 3" xfId="679" xr:uid="{00000000-0005-0000-0000-000023010000}"/>
    <cellStyle name="60% - 강조색6 2 4" xfId="869" xr:uid="{00000000-0005-0000-0000-000024010000}"/>
    <cellStyle name="60% - 강조색6 2 5" xfId="277" xr:uid="{00000000-0005-0000-0000-000025010000}"/>
    <cellStyle name="60% - 강조색6 3" xfId="279" xr:uid="{00000000-0005-0000-0000-000026010000}"/>
    <cellStyle name="60% - 강조색6 3 2" xfId="680" xr:uid="{00000000-0005-0000-0000-000027010000}"/>
    <cellStyle name="60% - 강조색6 3 3" xfId="868" xr:uid="{00000000-0005-0000-0000-000028010000}"/>
    <cellStyle name="60% - 강조색6 4" xfId="280" xr:uid="{00000000-0005-0000-0000-000029010000}"/>
    <cellStyle name="60% - 강조색6 4 2" xfId="681" xr:uid="{00000000-0005-0000-0000-00002A010000}"/>
    <cellStyle name="60% - 강조색6 4 3" xfId="867" xr:uid="{00000000-0005-0000-0000-00002B010000}"/>
    <cellStyle name="60% - 강조색6 5" xfId="281" xr:uid="{00000000-0005-0000-0000-00002C010000}"/>
    <cellStyle name="60% - 강조색6 5 2" xfId="682" xr:uid="{00000000-0005-0000-0000-00002D010000}"/>
    <cellStyle name="60% - 강조색6 5 3" xfId="866" xr:uid="{00000000-0005-0000-0000-00002E010000}"/>
    <cellStyle name="60% - 강조색6 6" xfId="282" xr:uid="{00000000-0005-0000-0000-00002F010000}"/>
    <cellStyle name="60% - 강조색6 6 2" xfId="683" xr:uid="{00000000-0005-0000-0000-000030010000}"/>
    <cellStyle name="60% - 강조색6 6 3" xfId="865" xr:uid="{00000000-0005-0000-0000-000031010000}"/>
    <cellStyle name="Comma [0]" xfId="154" xr:uid="{00000000-0005-0000-0000-000032010000}"/>
    <cellStyle name="Comma_ SG&amp;A Bridge " xfId="149" xr:uid="{00000000-0005-0000-0000-000033010000}"/>
    <cellStyle name="Currency [0]" xfId="153" xr:uid="{00000000-0005-0000-0000-000034010000}"/>
    <cellStyle name="Currency_ SG&amp;A Bridge " xfId="147" xr:uid="{00000000-0005-0000-0000-000035010000}"/>
    <cellStyle name="Currency1" xfId="151" xr:uid="{00000000-0005-0000-0000-000036010000}"/>
    <cellStyle name="Header1" xfId="73" xr:uid="{00000000-0005-0000-0000-000037010000}"/>
    <cellStyle name="Header2" xfId="152" xr:uid="{00000000-0005-0000-0000-000038010000}"/>
    <cellStyle name="Normal_ SG&amp;A Bridge " xfId="148" xr:uid="{00000000-0005-0000-0000-000039010000}"/>
    <cellStyle name="Percent [2]" xfId="150" xr:uid="{00000000-0005-0000-0000-00003A010000}"/>
    <cellStyle name="subhead" xfId="146" xr:uid="{00000000-0005-0000-0000-00003B010000}"/>
    <cellStyle name="강조색1" xfId="39" builtinId="29" customBuiltin="1"/>
    <cellStyle name="강조색1 2" xfId="283" xr:uid="{00000000-0005-0000-0000-00003D010000}"/>
    <cellStyle name="강조색1 2 2" xfId="284" xr:uid="{00000000-0005-0000-0000-00003E010000}"/>
    <cellStyle name="강조색1 2 3" xfId="684" xr:uid="{00000000-0005-0000-0000-00003F010000}"/>
    <cellStyle name="강조색1 2 4" xfId="864" xr:uid="{00000000-0005-0000-0000-000040010000}"/>
    <cellStyle name="강조색1 3" xfId="285" xr:uid="{00000000-0005-0000-0000-000041010000}"/>
    <cellStyle name="강조색1 3 2" xfId="685" xr:uid="{00000000-0005-0000-0000-000042010000}"/>
    <cellStyle name="강조색1 3 3" xfId="863" xr:uid="{00000000-0005-0000-0000-000043010000}"/>
    <cellStyle name="강조색1 4" xfId="286" xr:uid="{00000000-0005-0000-0000-000044010000}"/>
    <cellStyle name="강조색1 4 2" xfId="686" xr:uid="{00000000-0005-0000-0000-000045010000}"/>
    <cellStyle name="강조색1 4 3" xfId="862" xr:uid="{00000000-0005-0000-0000-000046010000}"/>
    <cellStyle name="강조색1 5" xfId="287" xr:uid="{00000000-0005-0000-0000-000047010000}"/>
    <cellStyle name="강조색1 5 2" xfId="687" xr:uid="{00000000-0005-0000-0000-000048010000}"/>
    <cellStyle name="강조색1 5 3" xfId="861" xr:uid="{00000000-0005-0000-0000-000049010000}"/>
    <cellStyle name="강조색1 6" xfId="288" xr:uid="{00000000-0005-0000-0000-00004A010000}"/>
    <cellStyle name="강조색1 6 2" xfId="688" xr:uid="{00000000-0005-0000-0000-00004B010000}"/>
    <cellStyle name="강조색1 6 3" xfId="860" xr:uid="{00000000-0005-0000-0000-00004C010000}"/>
    <cellStyle name="강조색2" xfId="42" builtinId="33" customBuiltin="1"/>
    <cellStyle name="강조색2 2" xfId="289" xr:uid="{00000000-0005-0000-0000-00004E010000}"/>
    <cellStyle name="강조색2 2 2" xfId="290" xr:uid="{00000000-0005-0000-0000-00004F010000}"/>
    <cellStyle name="강조색2 2 3" xfId="689" xr:uid="{00000000-0005-0000-0000-000050010000}"/>
    <cellStyle name="강조색2 2 4" xfId="859" xr:uid="{00000000-0005-0000-0000-000051010000}"/>
    <cellStyle name="강조색2 3" xfId="291" xr:uid="{00000000-0005-0000-0000-000052010000}"/>
    <cellStyle name="강조색2 3 2" xfId="690" xr:uid="{00000000-0005-0000-0000-000053010000}"/>
    <cellStyle name="강조색2 3 3" xfId="858" xr:uid="{00000000-0005-0000-0000-000054010000}"/>
    <cellStyle name="강조색2 4" xfId="292" xr:uid="{00000000-0005-0000-0000-000055010000}"/>
    <cellStyle name="강조색2 4 2" xfId="691" xr:uid="{00000000-0005-0000-0000-000056010000}"/>
    <cellStyle name="강조색2 4 3" xfId="857" xr:uid="{00000000-0005-0000-0000-000057010000}"/>
    <cellStyle name="강조색2 5" xfId="293" xr:uid="{00000000-0005-0000-0000-000058010000}"/>
    <cellStyle name="강조색2 5 2" xfId="692" xr:uid="{00000000-0005-0000-0000-000059010000}"/>
    <cellStyle name="강조색2 5 3" xfId="856" xr:uid="{00000000-0005-0000-0000-00005A010000}"/>
    <cellStyle name="강조색2 6" xfId="294" xr:uid="{00000000-0005-0000-0000-00005B010000}"/>
    <cellStyle name="강조색2 6 2" xfId="693" xr:uid="{00000000-0005-0000-0000-00005C010000}"/>
    <cellStyle name="강조색2 6 3" xfId="855" xr:uid="{00000000-0005-0000-0000-00005D010000}"/>
    <cellStyle name="강조색3" xfId="45" builtinId="37" customBuiltin="1"/>
    <cellStyle name="강조색3 2" xfId="295" xr:uid="{00000000-0005-0000-0000-00005F010000}"/>
    <cellStyle name="강조색3 2 2" xfId="296" xr:uid="{00000000-0005-0000-0000-000060010000}"/>
    <cellStyle name="강조색3 2 3" xfId="694" xr:uid="{00000000-0005-0000-0000-000061010000}"/>
    <cellStyle name="강조색3 2 4" xfId="854" xr:uid="{00000000-0005-0000-0000-000062010000}"/>
    <cellStyle name="강조색3 3" xfId="297" xr:uid="{00000000-0005-0000-0000-000063010000}"/>
    <cellStyle name="강조색3 3 2" xfId="695" xr:uid="{00000000-0005-0000-0000-000064010000}"/>
    <cellStyle name="강조색3 3 3" xfId="853" xr:uid="{00000000-0005-0000-0000-000065010000}"/>
    <cellStyle name="강조색3 4" xfId="298" xr:uid="{00000000-0005-0000-0000-000066010000}"/>
    <cellStyle name="강조색3 4 2" xfId="696" xr:uid="{00000000-0005-0000-0000-000067010000}"/>
    <cellStyle name="강조색3 4 3" xfId="852" xr:uid="{00000000-0005-0000-0000-000068010000}"/>
    <cellStyle name="강조색3 5" xfId="299" xr:uid="{00000000-0005-0000-0000-000069010000}"/>
    <cellStyle name="강조색3 5 2" xfId="697" xr:uid="{00000000-0005-0000-0000-00006A010000}"/>
    <cellStyle name="강조색3 5 3" xfId="851" xr:uid="{00000000-0005-0000-0000-00006B010000}"/>
    <cellStyle name="강조색3 6" xfId="300" xr:uid="{00000000-0005-0000-0000-00006C010000}"/>
    <cellStyle name="강조색3 6 2" xfId="698" xr:uid="{00000000-0005-0000-0000-00006D010000}"/>
    <cellStyle name="강조색3 6 3" xfId="850" xr:uid="{00000000-0005-0000-0000-00006E010000}"/>
    <cellStyle name="강조색4" xfId="48" builtinId="41" customBuiltin="1"/>
    <cellStyle name="강조색4 2" xfId="301" xr:uid="{00000000-0005-0000-0000-000070010000}"/>
    <cellStyle name="강조색4 2 2" xfId="302" xr:uid="{00000000-0005-0000-0000-000071010000}"/>
    <cellStyle name="강조색4 2 3" xfId="699" xr:uid="{00000000-0005-0000-0000-000072010000}"/>
    <cellStyle name="강조색4 2 4" xfId="849" xr:uid="{00000000-0005-0000-0000-000073010000}"/>
    <cellStyle name="강조색4 3" xfId="303" xr:uid="{00000000-0005-0000-0000-000074010000}"/>
    <cellStyle name="강조색4 3 2" xfId="700" xr:uid="{00000000-0005-0000-0000-000075010000}"/>
    <cellStyle name="강조색4 3 3" xfId="848" xr:uid="{00000000-0005-0000-0000-000076010000}"/>
    <cellStyle name="강조색4 4" xfId="304" xr:uid="{00000000-0005-0000-0000-000077010000}"/>
    <cellStyle name="강조색4 4 2" xfId="701" xr:uid="{00000000-0005-0000-0000-000078010000}"/>
    <cellStyle name="강조색4 4 3" xfId="847" xr:uid="{00000000-0005-0000-0000-000079010000}"/>
    <cellStyle name="강조색4 5" xfId="305" xr:uid="{00000000-0005-0000-0000-00007A010000}"/>
    <cellStyle name="강조색4 5 2" xfId="702" xr:uid="{00000000-0005-0000-0000-00007B010000}"/>
    <cellStyle name="강조색4 5 3" xfId="846" xr:uid="{00000000-0005-0000-0000-00007C010000}"/>
    <cellStyle name="강조색4 6" xfId="306" xr:uid="{00000000-0005-0000-0000-00007D010000}"/>
    <cellStyle name="강조색4 6 2" xfId="703" xr:uid="{00000000-0005-0000-0000-00007E010000}"/>
    <cellStyle name="강조색4 6 3" xfId="845" xr:uid="{00000000-0005-0000-0000-00007F010000}"/>
    <cellStyle name="강조색5" xfId="51" builtinId="45" customBuiltin="1"/>
    <cellStyle name="강조색5 2" xfId="307" xr:uid="{00000000-0005-0000-0000-000081010000}"/>
    <cellStyle name="강조색5 2 2" xfId="308" xr:uid="{00000000-0005-0000-0000-000082010000}"/>
    <cellStyle name="강조색5 2 3" xfId="704" xr:uid="{00000000-0005-0000-0000-000083010000}"/>
    <cellStyle name="강조색5 2 4" xfId="844" xr:uid="{00000000-0005-0000-0000-000084010000}"/>
    <cellStyle name="강조색5 3" xfId="309" xr:uid="{00000000-0005-0000-0000-000085010000}"/>
    <cellStyle name="강조색5 3 2" xfId="705" xr:uid="{00000000-0005-0000-0000-000086010000}"/>
    <cellStyle name="강조색5 3 3" xfId="843" xr:uid="{00000000-0005-0000-0000-000087010000}"/>
    <cellStyle name="강조색5 4" xfId="310" xr:uid="{00000000-0005-0000-0000-000088010000}"/>
    <cellStyle name="강조색5 4 2" xfId="706" xr:uid="{00000000-0005-0000-0000-000089010000}"/>
    <cellStyle name="강조색5 4 3" xfId="842" xr:uid="{00000000-0005-0000-0000-00008A010000}"/>
    <cellStyle name="강조색5 5" xfId="311" xr:uid="{00000000-0005-0000-0000-00008B010000}"/>
    <cellStyle name="강조색5 5 2" xfId="707" xr:uid="{00000000-0005-0000-0000-00008C010000}"/>
    <cellStyle name="강조색5 5 3" xfId="841" xr:uid="{00000000-0005-0000-0000-00008D010000}"/>
    <cellStyle name="강조색5 6" xfId="312" xr:uid="{00000000-0005-0000-0000-00008E010000}"/>
    <cellStyle name="강조색5 6 2" xfId="708" xr:uid="{00000000-0005-0000-0000-00008F010000}"/>
    <cellStyle name="강조색5 6 3" xfId="840" xr:uid="{00000000-0005-0000-0000-000090010000}"/>
    <cellStyle name="강조색6" xfId="54" builtinId="49" customBuiltin="1"/>
    <cellStyle name="강조색6 2" xfId="313" xr:uid="{00000000-0005-0000-0000-000092010000}"/>
    <cellStyle name="강조색6 2 2" xfId="314" xr:uid="{00000000-0005-0000-0000-000093010000}"/>
    <cellStyle name="강조색6 2 3" xfId="709" xr:uid="{00000000-0005-0000-0000-000094010000}"/>
    <cellStyle name="강조색6 2 4" xfId="839" xr:uid="{00000000-0005-0000-0000-000095010000}"/>
    <cellStyle name="강조색6 3" xfId="315" xr:uid="{00000000-0005-0000-0000-000096010000}"/>
    <cellStyle name="강조색6 3 2" xfId="710" xr:uid="{00000000-0005-0000-0000-000097010000}"/>
    <cellStyle name="강조색6 3 3" xfId="838" xr:uid="{00000000-0005-0000-0000-000098010000}"/>
    <cellStyle name="강조색6 4" xfId="316" xr:uid="{00000000-0005-0000-0000-000099010000}"/>
    <cellStyle name="강조색6 4 2" xfId="711" xr:uid="{00000000-0005-0000-0000-00009A010000}"/>
    <cellStyle name="강조색6 4 3" xfId="837" xr:uid="{00000000-0005-0000-0000-00009B010000}"/>
    <cellStyle name="강조색6 5" xfId="317" xr:uid="{00000000-0005-0000-0000-00009C010000}"/>
    <cellStyle name="강조색6 5 2" xfId="712" xr:uid="{00000000-0005-0000-0000-00009D010000}"/>
    <cellStyle name="강조색6 5 3" xfId="836" xr:uid="{00000000-0005-0000-0000-00009E010000}"/>
    <cellStyle name="강조색6 6" xfId="318" xr:uid="{00000000-0005-0000-0000-00009F010000}"/>
    <cellStyle name="강조색6 6 2" xfId="713" xr:uid="{00000000-0005-0000-0000-0000A0010000}"/>
    <cellStyle name="강조색6 6 3" xfId="835" xr:uid="{00000000-0005-0000-0000-0000A1010000}"/>
    <cellStyle name="경고문" xfId="36" builtinId="11" customBuiltin="1"/>
    <cellStyle name="경고문 2" xfId="319" xr:uid="{00000000-0005-0000-0000-0000A3010000}"/>
    <cellStyle name="경고문 2 2" xfId="320" xr:uid="{00000000-0005-0000-0000-0000A4010000}"/>
    <cellStyle name="경고문 2 3" xfId="714" xr:uid="{00000000-0005-0000-0000-0000A5010000}"/>
    <cellStyle name="경고문 2 4" xfId="834" xr:uid="{00000000-0005-0000-0000-0000A6010000}"/>
    <cellStyle name="경고문 3" xfId="321" xr:uid="{00000000-0005-0000-0000-0000A7010000}"/>
    <cellStyle name="경고문 3 2" xfId="715" xr:uid="{00000000-0005-0000-0000-0000A8010000}"/>
    <cellStyle name="경고문 3 3" xfId="833" xr:uid="{00000000-0005-0000-0000-0000A9010000}"/>
    <cellStyle name="경고문 4" xfId="322" xr:uid="{00000000-0005-0000-0000-0000AA010000}"/>
    <cellStyle name="경고문 4 2" xfId="716" xr:uid="{00000000-0005-0000-0000-0000AB010000}"/>
    <cellStyle name="경고문 4 3" xfId="832" xr:uid="{00000000-0005-0000-0000-0000AC010000}"/>
    <cellStyle name="경고문 5" xfId="323" xr:uid="{00000000-0005-0000-0000-0000AD010000}"/>
    <cellStyle name="경고문 5 2" xfId="717" xr:uid="{00000000-0005-0000-0000-0000AE010000}"/>
    <cellStyle name="경고문 5 3" xfId="831" xr:uid="{00000000-0005-0000-0000-0000AF010000}"/>
    <cellStyle name="경고문 6" xfId="324" xr:uid="{00000000-0005-0000-0000-0000B0010000}"/>
    <cellStyle name="경고문 6 2" xfId="718" xr:uid="{00000000-0005-0000-0000-0000B1010000}"/>
    <cellStyle name="경고문 6 3" xfId="830" xr:uid="{00000000-0005-0000-0000-0000B2010000}"/>
    <cellStyle name="계산" xfId="33" builtinId="22" customBuiltin="1"/>
    <cellStyle name="계산 2" xfId="325" xr:uid="{00000000-0005-0000-0000-0000B4010000}"/>
    <cellStyle name="계산 2 2" xfId="326" xr:uid="{00000000-0005-0000-0000-0000B5010000}"/>
    <cellStyle name="계산 2 3" xfId="719" xr:uid="{00000000-0005-0000-0000-0000B6010000}"/>
    <cellStyle name="계산 2 4" xfId="829" xr:uid="{00000000-0005-0000-0000-0000B7010000}"/>
    <cellStyle name="계산 3" xfId="327" xr:uid="{00000000-0005-0000-0000-0000B8010000}"/>
    <cellStyle name="계산 3 2" xfId="720" xr:uid="{00000000-0005-0000-0000-0000B9010000}"/>
    <cellStyle name="계산 3 3" xfId="828" xr:uid="{00000000-0005-0000-0000-0000BA010000}"/>
    <cellStyle name="계산 4" xfId="328" xr:uid="{00000000-0005-0000-0000-0000BB010000}"/>
    <cellStyle name="계산 4 2" xfId="721" xr:uid="{00000000-0005-0000-0000-0000BC010000}"/>
    <cellStyle name="계산 4 3" xfId="827" xr:uid="{00000000-0005-0000-0000-0000BD010000}"/>
    <cellStyle name="계산 5" xfId="329" xr:uid="{00000000-0005-0000-0000-0000BE010000}"/>
    <cellStyle name="계산 5 2" xfId="722" xr:uid="{00000000-0005-0000-0000-0000BF010000}"/>
    <cellStyle name="계산 5 3" xfId="826" xr:uid="{00000000-0005-0000-0000-0000C0010000}"/>
    <cellStyle name="계산 6" xfId="330" xr:uid="{00000000-0005-0000-0000-0000C1010000}"/>
    <cellStyle name="계산 6 2" xfId="723" xr:uid="{00000000-0005-0000-0000-0000C2010000}"/>
    <cellStyle name="계산 6 3" xfId="825" xr:uid="{00000000-0005-0000-0000-0000C3010000}"/>
    <cellStyle name="나쁨" xfId="30" builtinId="27" customBuiltin="1"/>
    <cellStyle name="나쁨 2" xfId="331" xr:uid="{00000000-0005-0000-0000-0000C5010000}"/>
    <cellStyle name="나쁨 2 2" xfId="332" xr:uid="{00000000-0005-0000-0000-0000C6010000}"/>
    <cellStyle name="나쁨 2 3" xfId="724" xr:uid="{00000000-0005-0000-0000-0000C7010000}"/>
    <cellStyle name="나쁨 2 4" xfId="824" xr:uid="{00000000-0005-0000-0000-0000C8010000}"/>
    <cellStyle name="나쁨 3" xfId="333" xr:uid="{00000000-0005-0000-0000-0000C9010000}"/>
    <cellStyle name="나쁨 3 2" xfId="725" xr:uid="{00000000-0005-0000-0000-0000CA010000}"/>
    <cellStyle name="나쁨 3 3" xfId="823" xr:uid="{00000000-0005-0000-0000-0000CB010000}"/>
    <cellStyle name="나쁨 4" xfId="334" xr:uid="{00000000-0005-0000-0000-0000CC010000}"/>
    <cellStyle name="나쁨 4 2" xfId="726" xr:uid="{00000000-0005-0000-0000-0000CD010000}"/>
    <cellStyle name="나쁨 4 3" xfId="822" xr:uid="{00000000-0005-0000-0000-0000CE010000}"/>
    <cellStyle name="나쁨 5" xfId="335" xr:uid="{00000000-0005-0000-0000-0000CF010000}"/>
    <cellStyle name="나쁨 5 2" xfId="727" xr:uid="{00000000-0005-0000-0000-0000D0010000}"/>
    <cellStyle name="나쁨 5 3" xfId="821" xr:uid="{00000000-0005-0000-0000-0000D1010000}"/>
    <cellStyle name="나쁨 6" xfId="336" xr:uid="{00000000-0005-0000-0000-0000D2010000}"/>
    <cellStyle name="나쁨 6 2" xfId="728" xr:uid="{00000000-0005-0000-0000-0000D3010000}"/>
    <cellStyle name="나쁨 6 3" xfId="820" xr:uid="{00000000-0005-0000-0000-0000D4010000}"/>
    <cellStyle name="메모 2" xfId="63" xr:uid="{00000000-0005-0000-0000-0000D5010000}"/>
    <cellStyle name="메모 2 2" xfId="338" xr:uid="{00000000-0005-0000-0000-0000D6010000}"/>
    <cellStyle name="메모 2 3" xfId="729" xr:uid="{00000000-0005-0000-0000-0000D7010000}"/>
    <cellStyle name="메모 2 4" xfId="814" xr:uid="{00000000-0005-0000-0000-0000D8010000}"/>
    <cellStyle name="메모 2 5" xfId="337" xr:uid="{00000000-0005-0000-0000-0000D9010000}"/>
    <cellStyle name="메모 3" xfId="339" xr:uid="{00000000-0005-0000-0000-0000DA010000}"/>
    <cellStyle name="메모 3 2" xfId="730" xr:uid="{00000000-0005-0000-0000-0000DB010000}"/>
    <cellStyle name="메모 3 3" xfId="819" xr:uid="{00000000-0005-0000-0000-0000DC010000}"/>
    <cellStyle name="메모 4" xfId="340" xr:uid="{00000000-0005-0000-0000-0000DD010000}"/>
    <cellStyle name="메모 4 2" xfId="731" xr:uid="{00000000-0005-0000-0000-0000DE010000}"/>
    <cellStyle name="메모 4 3" xfId="818" xr:uid="{00000000-0005-0000-0000-0000DF010000}"/>
    <cellStyle name="메모 5" xfId="341" xr:uid="{00000000-0005-0000-0000-0000E0010000}"/>
    <cellStyle name="메모 5 2" xfId="732" xr:uid="{00000000-0005-0000-0000-0000E1010000}"/>
    <cellStyle name="메모 5 3" xfId="817" xr:uid="{00000000-0005-0000-0000-0000E2010000}"/>
    <cellStyle name="메모 6" xfId="342" xr:uid="{00000000-0005-0000-0000-0000E3010000}"/>
    <cellStyle name="메모 6 2" xfId="733" xr:uid="{00000000-0005-0000-0000-0000E4010000}"/>
    <cellStyle name="메모 6 3" xfId="816" xr:uid="{00000000-0005-0000-0000-0000E5010000}"/>
    <cellStyle name="백분율" xfId="1" builtinId="5"/>
    <cellStyle name="백분율 2" xfId="167" xr:uid="{00000000-0005-0000-0000-0000E7010000}"/>
    <cellStyle name="백분율 3" xfId="990" xr:uid="{00000000-0005-0000-0000-0000E8010000}"/>
    <cellStyle name="보통 2" xfId="61" xr:uid="{00000000-0005-0000-0000-0000E9010000}"/>
    <cellStyle name="보통 2 2" xfId="344" xr:uid="{00000000-0005-0000-0000-0000EA010000}"/>
    <cellStyle name="보통 2 3" xfId="734" xr:uid="{00000000-0005-0000-0000-0000EB010000}"/>
    <cellStyle name="보통 2 4" xfId="815" xr:uid="{00000000-0005-0000-0000-0000EC010000}"/>
    <cellStyle name="보통 2 5" xfId="343" xr:uid="{00000000-0005-0000-0000-0000ED010000}"/>
    <cellStyle name="보통 3" xfId="345" xr:uid="{00000000-0005-0000-0000-0000EE010000}"/>
    <cellStyle name="보통 3 2" xfId="735" xr:uid="{00000000-0005-0000-0000-0000EF010000}"/>
    <cellStyle name="보통 3 3" xfId="799" xr:uid="{00000000-0005-0000-0000-0000F0010000}"/>
    <cellStyle name="보통 4" xfId="346" xr:uid="{00000000-0005-0000-0000-0000F1010000}"/>
    <cellStyle name="보통 4 2" xfId="736" xr:uid="{00000000-0005-0000-0000-0000F2010000}"/>
    <cellStyle name="보통 4 3" xfId="593" xr:uid="{00000000-0005-0000-0000-0000F3010000}"/>
    <cellStyle name="보통 5" xfId="347" xr:uid="{00000000-0005-0000-0000-0000F4010000}"/>
    <cellStyle name="보통 5 2" xfId="737" xr:uid="{00000000-0005-0000-0000-0000F5010000}"/>
    <cellStyle name="보통 5 3" xfId="592" xr:uid="{00000000-0005-0000-0000-0000F6010000}"/>
    <cellStyle name="보통 6" xfId="348" xr:uid="{00000000-0005-0000-0000-0000F7010000}"/>
    <cellStyle name="보통 6 2" xfId="738" xr:uid="{00000000-0005-0000-0000-0000F8010000}"/>
    <cellStyle name="보통 6 3" xfId="579" xr:uid="{00000000-0005-0000-0000-0000F9010000}"/>
    <cellStyle name="설명 텍스트" xfId="37" builtinId="53" customBuiltin="1"/>
    <cellStyle name="설명 텍스트 2" xfId="349" xr:uid="{00000000-0005-0000-0000-0000FB010000}"/>
    <cellStyle name="설명 텍스트 2 2" xfId="350" xr:uid="{00000000-0005-0000-0000-0000FC010000}"/>
    <cellStyle name="설명 텍스트 2 3" xfId="739" xr:uid="{00000000-0005-0000-0000-0000FD010000}"/>
    <cellStyle name="설명 텍스트 2 4" xfId="800" xr:uid="{00000000-0005-0000-0000-0000FE010000}"/>
    <cellStyle name="설명 텍스트 3" xfId="351" xr:uid="{00000000-0005-0000-0000-0000FF010000}"/>
    <cellStyle name="설명 텍스트 3 2" xfId="740" xr:uid="{00000000-0005-0000-0000-000000020000}"/>
    <cellStyle name="설명 텍스트 3 3" xfId="801" xr:uid="{00000000-0005-0000-0000-000001020000}"/>
    <cellStyle name="설명 텍스트 4" xfId="352" xr:uid="{00000000-0005-0000-0000-000002020000}"/>
    <cellStyle name="설명 텍스트 4 2" xfId="741" xr:uid="{00000000-0005-0000-0000-000003020000}"/>
    <cellStyle name="설명 텍스트 4 3" xfId="802" xr:uid="{00000000-0005-0000-0000-000004020000}"/>
    <cellStyle name="설명 텍스트 5" xfId="353" xr:uid="{00000000-0005-0000-0000-000005020000}"/>
    <cellStyle name="설명 텍스트 5 2" xfId="742" xr:uid="{00000000-0005-0000-0000-000006020000}"/>
    <cellStyle name="설명 텍스트 5 3" xfId="591" xr:uid="{00000000-0005-0000-0000-000007020000}"/>
    <cellStyle name="설명 텍스트 6" xfId="354" xr:uid="{00000000-0005-0000-0000-000008020000}"/>
    <cellStyle name="설명 텍스트 6 2" xfId="743" xr:uid="{00000000-0005-0000-0000-000009020000}"/>
    <cellStyle name="설명 텍스트 6 3" xfId="590" xr:uid="{00000000-0005-0000-0000-00000A020000}"/>
    <cellStyle name="셀 확인" xfId="35" builtinId="23" customBuiltin="1"/>
    <cellStyle name="셀 확인 2" xfId="355" xr:uid="{00000000-0005-0000-0000-00000C020000}"/>
    <cellStyle name="셀 확인 2 2" xfId="356" xr:uid="{00000000-0005-0000-0000-00000D020000}"/>
    <cellStyle name="셀 확인 2 3" xfId="744" xr:uid="{00000000-0005-0000-0000-00000E020000}"/>
    <cellStyle name="셀 확인 2 4" xfId="803" xr:uid="{00000000-0005-0000-0000-00000F020000}"/>
    <cellStyle name="셀 확인 3" xfId="357" xr:uid="{00000000-0005-0000-0000-000010020000}"/>
    <cellStyle name="셀 확인 3 2" xfId="745" xr:uid="{00000000-0005-0000-0000-000011020000}"/>
    <cellStyle name="셀 확인 3 3" xfId="804" xr:uid="{00000000-0005-0000-0000-000012020000}"/>
    <cellStyle name="셀 확인 4" xfId="358" xr:uid="{00000000-0005-0000-0000-000013020000}"/>
    <cellStyle name="셀 확인 4 2" xfId="746" xr:uid="{00000000-0005-0000-0000-000014020000}"/>
    <cellStyle name="셀 확인 4 3" xfId="589" xr:uid="{00000000-0005-0000-0000-000015020000}"/>
    <cellStyle name="셀 확인 5" xfId="359" xr:uid="{00000000-0005-0000-0000-000016020000}"/>
    <cellStyle name="셀 확인 5 2" xfId="747" xr:uid="{00000000-0005-0000-0000-000017020000}"/>
    <cellStyle name="셀 확인 5 3" xfId="588" xr:uid="{00000000-0005-0000-0000-000018020000}"/>
    <cellStyle name="셀 확인 6" xfId="360" xr:uid="{00000000-0005-0000-0000-000019020000}"/>
    <cellStyle name="셀 확인 6 2" xfId="748" xr:uid="{00000000-0005-0000-0000-00001A020000}"/>
    <cellStyle name="셀 확인 6 3" xfId="805" xr:uid="{00000000-0005-0000-0000-00001B020000}"/>
    <cellStyle name="쉼표 [0]" xfId="2" builtinId="6"/>
    <cellStyle name="쉼표 [0] 14" xfId="7" xr:uid="{00000000-0005-0000-0000-00001D020000}"/>
    <cellStyle name="쉼표 [0] 14 2" xfId="14" xr:uid="{00000000-0005-0000-0000-00001E020000}"/>
    <cellStyle name="쉼표 [0] 14 2 2" xfId="22" xr:uid="{00000000-0005-0000-0000-00001F020000}"/>
    <cellStyle name="쉼표 [0] 14 2 3" xfId="60" xr:uid="{00000000-0005-0000-0000-000020020000}"/>
    <cellStyle name="쉼표 [0] 14 3" xfId="18" xr:uid="{00000000-0005-0000-0000-000021020000}"/>
    <cellStyle name="쉼표 [0] 14 4" xfId="171" xr:uid="{00000000-0005-0000-0000-000022020000}"/>
    <cellStyle name="쉼표 [0] 15 2" xfId="15" xr:uid="{00000000-0005-0000-0000-000023020000}"/>
    <cellStyle name="쉼표 [0] 15 2 2" xfId="23" xr:uid="{00000000-0005-0000-0000-000024020000}"/>
    <cellStyle name="쉼표 [0] 15 2 3" xfId="67" xr:uid="{00000000-0005-0000-0000-000025020000}"/>
    <cellStyle name="쉼표 [0] 2" xfId="12" xr:uid="{00000000-0005-0000-0000-000026020000}"/>
    <cellStyle name="쉼표 [0] 2 10" xfId="134" xr:uid="{00000000-0005-0000-0000-000027020000}"/>
    <cellStyle name="쉼표 [0] 2 11" xfId="70" xr:uid="{00000000-0005-0000-0000-000028020000}"/>
    <cellStyle name="쉼표 [0] 2 12" xfId="1035" xr:uid="{00000000-0005-0000-0000-000029020000}"/>
    <cellStyle name="쉼표 [0] 2 2" xfId="20" xr:uid="{00000000-0005-0000-0000-00002A020000}"/>
    <cellStyle name="쉼표 [0] 2 2 2" xfId="77" xr:uid="{00000000-0005-0000-0000-00002B020000}"/>
    <cellStyle name="쉼표 [0] 2 3" xfId="143" xr:uid="{00000000-0005-0000-0000-00002C020000}"/>
    <cellStyle name="쉼표 [0] 2 4" xfId="156" xr:uid="{00000000-0005-0000-0000-00002D020000}"/>
    <cellStyle name="쉼표 [0] 2 5" xfId="158" xr:uid="{00000000-0005-0000-0000-00002E020000}"/>
    <cellStyle name="쉼표 [0] 2 6" xfId="163" xr:uid="{00000000-0005-0000-0000-00002F020000}"/>
    <cellStyle name="쉼표 [0] 2 7" xfId="164" xr:uid="{00000000-0005-0000-0000-000030020000}"/>
    <cellStyle name="쉼표 [0] 2 8" xfId="160" xr:uid="{00000000-0005-0000-0000-000031020000}"/>
    <cellStyle name="쉼표 [0] 2 9" xfId="166" xr:uid="{00000000-0005-0000-0000-000032020000}"/>
    <cellStyle name="쉼표 [0] 3" xfId="17" xr:uid="{00000000-0005-0000-0000-000033020000}"/>
    <cellStyle name="쉼표 [0] 3 2" xfId="76" xr:uid="{00000000-0005-0000-0000-000034020000}"/>
    <cellStyle name="쉼표 [0] 4" xfId="58" xr:uid="{00000000-0005-0000-0000-000035020000}"/>
    <cellStyle name="쉼표 [0] 5" xfId="172" xr:uid="{00000000-0005-0000-0000-000036020000}"/>
    <cellStyle name="쉼표 [0] 6" xfId="174" xr:uid="{00000000-0005-0000-0000-000037020000}"/>
    <cellStyle name="쉼표 [0] 9" xfId="1064" xr:uid="{00000000-0005-0000-0000-000038020000}"/>
    <cellStyle name="연결된 셀" xfId="34" builtinId="24" customBuiltin="1"/>
    <cellStyle name="연결된 셀 2" xfId="361" xr:uid="{00000000-0005-0000-0000-00003A020000}"/>
    <cellStyle name="연결된 셀 2 2" xfId="362" xr:uid="{00000000-0005-0000-0000-00003B020000}"/>
    <cellStyle name="연결된 셀 2 3" xfId="749" xr:uid="{00000000-0005-0000-0000-00003C020000}"/>
    <cellStyle name="연결된 셀 2 4" xfId="806" xr:uid="{00000000-0005-0000-0000-00003D020000}"/>
    <cellStyle name="연결된 셀 3" xfId="363" xr:uid="{00000000-0005-0000-0000-00003E020000}"/>
    <cellStyle name="연결된 셀 3 2" xfId="750" xr:uid="{00000000-0005-0000-0000-00003F020000}"/>
    <cellStyle name="연결된 셀 3 3" xfId="807" xr:uid="{00000000-0005-0000-0000-000040020000}"/>
    <cellStyle name="연결된 셀 4" xfId="364" xr:uid="{00000000-0005-0000-0000-000041020000}"/>
    <cellStyle name="연결된 셀 4 2" xfId="751" xr:uid="{00000000-0005-0000-0000-000042020000}"/>
    <cellStyle name="연결된 셀 4 3" xfId="587" xr:uid="{00000000-0005-0000-0000-000043020000}"/>
    <cellStyle name="연결된 셀 5" xfId="365" xr:uid="{00000000-0005-0000-0000-000044020000}"/>
    <cellStyle name="연결된 셀 5 2" xfId="752" xr:uid="{00000000-0005-0000-0000-000045020000}"/>
    <cellStyle name="연결된 셀 5 3" xfId="586" xr:uid="{00000000-0005-0000-0000-000046020000}"/>
    <cellStyle name="연결된 셀 6" xfId="366" xr:uid="{00000000-0005-0000-0000-000047020000}"/>
    <cellStyle name="연결된 셀 6 2" xfId="753" xr:uid="{00000000-0005-0000-0000-000048020000}"/>
    <cellStyle name="연결된 셀 6 3" xfId="808" xr:uid="{00000000-0005-0000-0000-000049020000}"/>
    <cellStyle name="요약" xfId="38" builtinId="25" customBuiltin="1"/>
    <cellStyle name="요약 2" xfId="367" xr:uid="{00000000-0005-0000-0000-00004B020000}"/>
    <cellStyle name="요약 2 2" xfId="368" xr:uid="{00000000-0005-0000-0000-00004C020000}"/>
    <cellStyle name="요약 2 3" xfId="754" xr:uid="{00000000-0005-0000-0000-00004D020000}"/>
    <cellStyle name="요약 2 4" xfId="809" xr:uid="{00000000-0005-0000-0000-00004E020000}"/>
    <cellStyle name="요약 3" xfId="369" xr:uid="{00000000-0005-0000-0000-00004F020000}"/>
    <cellStyle name="요약 3 2" xfId="755" xr:uid="{00000000-0005-0000-0000-000050020000}"/>
    <cellStyle name="요약 3 3" xfId="810" xr:uid="{00000000-0005-0000-0000-000051020000}"/>
    <cellStyle name="요약 4" xfId="370" xr:uid="{00000000-0005-0000-0000-000052020000}"/>
    <cellStyle name="요약 4 2" xfId="756" xr:uid="{00000000-0005-0000-0000-000053020000}"/>
    <cellStyle name="요약 4 3" xfId="585" xr:uid="{00000000-0005-0000-0000-000054020000}"/>
    <cellStyle name="요약 5" xfId="371" xr:uid="{00000000-0005-0000-0000-000055020000}"/>
    <cellStyle name="요약 5 2" xfId="757" xr:uid="{00000000-0005-0000-0000-000056020000}"/>
    <cellStyle name="요약 5 3" xfId="584" xr:uid="{00000000-0005-0000-0000-000057020000}"/>
    <cellStyle name="요약 6" xfId="372" xr:uid="{00000000-0005-0000-0000-000058020000}"/>
    <cellStyle name="요약 6 2" xfId="758" xr:uid="{00000000-0005-0000-0000-000059020000}"/>
    <cellStyle name="요약 6 3" xfId="811" xr:uid="{00000000-0005-0000-0000-00005A020000}"/>
    <cellStyle name="입력" xfId="31" builtinId="20" customBuiltin="1"/>
    <cellStyle name="입력 2" xfId="373" xr:uid="{00000000-0005-0000-0000-00005C020000}"/>
    <cellStyle name="입력 2 2" xfId="374" xr:uid="{00000000-0005-0000-0000-00005D020000}"/>
    <cellStyle name="입력 2 3" xfId="759" xr:uid="{00000000-0005-0000-0000-00005E020000}"/>
    <cellStyle name="입력 2 4" xfId="583" xr:uid="{00000000-0005-0000-0000-00005F020000}"/>
    <cellStyle name="입력 3" xfId="375" xr:uid="{00000000-0005-0000-0000-000060020000}"/>
    <cellStyle name="입력 3 2" xfId="760" xr:uid="{00000000-0005-0000-0000-000061020000}"/>
    <cellStyle name="입력 3 3" xfId="582" xr:uid="{00000000-0005-0000-0000-000062020000}"/>
    <cellStyle name="입력 4" xfId="376" xr:uid="{00000000-0005-0000-0000-000063020000}"/>
    <cellStyle name="입력 4 2" xfId="761" xr:uid="{00000000-0005-0000-0000-000064020000}"/>
    <cellStyle name="입력 4 3" xfId="581" xr:uid="{00000000-0005-0000-0000-000065020000}"/>
    <cellStyle name="입력 5" xfId="377" xr:uid="{00000000-0005-0000-0000-000066020000}"/>
    <cellStyle name="입력 5 2" xfId="762" xr:uid="{00000000-0005-0000-0000-000067020000}"/>
    <cellStyle name="입력 5 3" xfId="812" xr:uid="{00000000-0005-0000-0000-000068020000}"/>
    <cellStyle name="입력 6" xfId="378" xr:uid="{00000000-0005-0000-0000-000069020000}"/>
    <cellStyle name="입력 6 2" xfId="763" xr:uid="{00000000-0005-0000-0000-00006A020000}"/>
    <cellStyle name="입력 6 3" xfId="813" xr:uid="{00000000-0005-0000-0000-00006B020000}"/>
    <cellStyle name="제목 1" xfId="25" builtinId="16" customBuiltin="1"/>
    <cellStyle name="제목 1 2" xfId="379" xr:uid="{00000000-0005-0000-0000-00006D020000}"/>
    <cellStyle name="제목 1 2 2" xfId="380" xr:uid="{00000000-0005-0000-0000-00006E020000}"/>
    <cellStyle name="제목 1 2 3" xfId="764" xr:uid="{00000000-0005-0000-0000-00006F020000}"/>
    <cellStyle name="제목 1 2 4" xfId="580" xr:uid="{00000000-0005-0000-0000-000070020000}"/>
    <cellStyle name="제목 1 3" xfId="381" xr:uid="{00000000-0005-0000-0000-000071020000}"/>
    <cellStyle name="제목 1 3 2" xfId="765" xr:uid="{00000000-0005-0000-0000-000072020000}"/>
    <cellStyle name="제목 1 3 3" xfId="955" xr:uid="{00000000-0005-0000-0000-000073020000}"/>
    <cellStyle name="제목 1 4" xfId="382" xr:uid="{00000000-0005-0000-0000-000074020000}"/>
    <cellStyle name="제목 1 4 2" xfId="766" xr:uid="{00000000-0005-0000-0000-000075020000}"/>
    <cellStyle name="제목 1 4 3" xfId="956" xr:uid="{00000000-0005-0000-0000-000076020000}"/>
    <cellStyle name="제목 1 5" xfId="383" xr:uid="{00000000-0005-0000-0000-000077020000}"/>
    <cellStyle name="제목 1 5 2" xfId="767" xr:uid="{00000000-0005-0000-0000-000078020000}"/>
    <cellStyle name="제목 1 5 3" xfId="957" xr:uid="{00000000-0005-0000-0000-000079020000}"/>
    <cellStyle name="제목 1 6" xfId="384" xr:uid="{00000000-0005-0000-0000-00007A020000}"/>
    <cellStyle name="제목 1 6 2" xfId="768" xr:uid="{00000000-0005-0000-0000-00007B020000}"/>
    <cellStyle name="제목 1 6 3" xfId="958" xr:uid="{00000000-0005-0000-0000-00007C020000}"/>
    <cellStyle name="제목 2" xfId="26" builtinId="17" customBuiltin="1"/>
    <cellStyle name="제목 2 2" xfId="385" xr:uid="{00000000-0005-0000-0000-00007E020000}"/>
    <cellStyle name="제목 2 2 2" xfId="386" xr:uid="{00000000-0005-0000-0000-00007F020000}"/>
    <cellStyle name="제목 2 2 3" xfId="769" xr:uid="{00000000-0005-0000-0000-000080020000}"/>
    <cellStyle name="제목 2 2 4" xfId="959" xr:uid="{00000000-0005-0000-0000-000081020000}"/>
    <cellStyle name="제목 2 3" xfId="387" xr:uid="{00000000-0005-0000-0000-000082020000}"/>
    <cellStyle name="제목 2 3 2" xfId="770" xr:uid="{00000000-0005-0000-0000-000083020000}"/>
    <cellStyle name="제목 2 3 3" xfId="960" xr:uid="{00000000-0005-0000-0000-000084020000}"/>
    <cellStyle name="제목 2 4" xfId="388" xr:uid="{00000000-0005-0000-0000-000085020000}"/>
    <cellStyle name="제목 2 4 2" xfId="771" xr:uid="{00000000-0005-0000-0000-000086020000}"/>
    <cellStyle name="제목 2 4 3" xfId="961" xr:uid="{00000000-0005-0000-0000-000087020000}"/>
    <cellStyle name="제목 2 5" xfId="389" xr:uid="{00000000-0005-0000-0000-000088020000}"/>
    <cellStyle name="제목 2 5 2" xfId="772" xr:uid="{00000000-0005-0000-0000-000089020000}"/>
    <cellStyle name="제목 2 5 3" xfId="962" xr:uid="{00000000-0005-0000-0000-00008A020000}"/>
    <cellStyle name="제목 2 6" xfId="390" xr:uid="{00000000-0005-0000-0000-00008B020000}"/>
    <cellStyle name="제목 2 6 2" xfId="773" xr:uid="{00000000-0005-0000-0000-00008C020000}"/>
    <cellStyle name="제목 2 6 3" xfId="963" xr:uid="{00000000-0005-0000-0000-00008D020000}"/>
    <cellStyle name="제목 3" xfId="27" builtinId="18" customBuiltin="1"/>
    <cellStyle name="제목 3 2" xfId="391" xr:uid="{00000000-0005-0000-0000-00008F020000}"/>
    <cellStyle name="제목 3 2 2" xfId="392" xr:uid="{00000000-0005-0000-0000-000090020000}"/>
    <cellStyle name="제목 3 2 3" xfId="774" xr:uid="{00000000-0005-0000-0000-000091020000}"/>
    <cellStyle name="제목 3 2 4" xfId="964" xr:uid="{00000000-0005-0000-0000-000092020000}"/>
    <cellStyle name="제목 3 3" xfId="393" xr:uid="{00000000-0005-0000-0000-000093020000}"/>
    <cellStyle name="제목 3 3 2" xfId="775" xr:uid="{00000000-0005-0000-0000-000094020000}"/>
    <cellStyle name="제목 3 3 3" xfId="965" xr:uid="{00000000-0005-0000-0000-000095020000}"/>
    <cellStyle name="제목 3 4" xfId="394" xr:uid="{00000000-0005-0000-0000-000096020000}"/>
    <cellStyle name="제목 3 4 2" xfId="776" xr:uid="{00000000-0005-0000-0000-000097020000}"/>
    <cellStyle name="제목 3 4 3" xfId="966" xr:uid="{00000000-0005-0000-0000-000098020000}"/>
    <cellStyle name="제목 3 5" xfId="395" xr:uid="{00000000-0005-0000-0000-000099020000}"/>
    <cellStyle name="제목 3 5 2" xfId="777" xr:uid="{00000000-0005-0000-0000-00009A020000}"/>
    <cellStyle name="제목 3 5 3" xfId="967" xr:uid="{00000000-0005-0000-0000-00009B020000}"/>
    <cellStyle name="제목 3 6" xfId="396" xr:uid="{00000000-0005-0000-0000-00009C020000}"/>
    <cellStyle name="제목 3 6 2" xfId="778" xr:uid="{00000000-0005-0000-0000-00009D020000}"/>
    <cellStyle name="제목 3 6 3" xfId="968" xr:uid="{00000000-0005-0000-0000-00009E020000}"/>
    <cellStyle name="제목 4" xfId="28" builtinId="19" customBuiltin="1"/>
    <cellStyle name="제목 4 2" xfId="397" xr:uid="{00000000-0005-0000-0000-0000A0020000}"/>
    <cellStyle name="제목 4 2 2" xfId="398" xr:uid="{00000000-0005-0000-0000-0000A1020000}"/>
    <cellStyle name="제목 4 2 3" xfId="779" xr:uid="{00000000-0005-0000-0000-0000A2020000}"/>
    <cellStyle name="제목 4 2 4" xfId="969" xr:uid="{00000000-0005-0000-0000-0000A3020000}"/>
    <cellStyle name="제목 4 3" xfId="399" xr:uid="{00000000-0005-0000-0000-0000A4020000}"/>
    <cellStyle name="제목 4 3 2" xfId="780" xr:uid="{00000000-0005-0000-0000-0000A5020000}"/>
    <cellStyle name="제목 4 3 3" xfId="970" xr:uid="{00000000-0005-0000-0000-0000A6020000}"/>
    <cellStyle name="제목 4 4" xfId="400" xr:uid="{00000000-0005-0000-0000-0000A7020000}"/>
    <cellStyle name="제목 4 4 2" xfId="781" xr:uid="{00000000-0005-0000-0000-0000A8020000}"/>
    <cellStyle name="제목 4 4 3" xfId="971" xr:uid="{00000000-0005-0000-0000-0000A9020000}"/>
    <cellStyle name="제목 4 5" xfId="401" xr:uid="{00000000-0005-0000-0000-0000AA020000}"/>
    <cellStyle name="제목 4 5 2" xfId="782" xr:uid="{00000000-0005-0000-0000-0000AB020000}"/>
    <cellStyle name="제목 4 5 3" xfId="972" xr:uid="{00000000-0005-0000-0000-0000AC020000}"/>
    <cellStyle name="제목 4 6" xfId="402" xr:uid="{00000000-0005-0000-0000-0000AD020000}"/>
    <cellStyle name="제목 4 6 2" xfId="783" xr:uid="{00000000-0005-0000-0000-0000AE020000}"/>
    <cellStyle name="제목 4 6 3" xfId="973" xr:uid="{00000000-0005-0000-0000-0000AF020000}"/>
    <cellStyle name="제목 5" xfId="59" xr:uid="{00000000-0005-0000-0000-0000B0020000}"/>
    <cellStyle name="제목 5 2" xfId="404" xr:uid="{00000000-0005-0000-0000-0000B1020000}"/>
    <cellStyle name="제목 5 3" xfId="784" xr:uid="{00000000-0005-0000-0000-0000B2020000}"/>
    <cellStyle name="제목 5 4" xfId="974" xr:uid="{00000000-0005-0000-0000-0000B3020000}"/>
    <cellStyle name="제목 5 5" xfId="403" xr:uid="{00000000-0005-0000-0000-0000B4020000}"/>
    <cellStyle name="제목 6" xfId="405" xr:uid="{00000000-0005-0000-0000-0000B5020000}"/>
    <cellStyle name="제목 6 2" xfId="785" xr:uid="{00000000-0005-0000-0000-0000B6020000}"/>
    <cellStyle name="제목 6 3" xfId="975" xr:uid="{00000000-0005-0000-0000-0000B7020000}"/>
    <cellStyle name="제목 7" xfId="406" xr:uid="{00000000-0005-0000-0000-0000B8020000}"/>
    <cellStyle name="제목 7 2" xfId="786" xr:uid="{00000000-0005-0000-0000-0000B9020000}"/>
    <cellStyle name="제목 7 3" xfId="976" xr:uid="{00000000-0005-0000-0000-0000BA020000}"/>
    <cellStyle name="제목 8" xfId="407" xr:uid="{00000000-0005-0000-0000-0000BB020000}"/>
    <cellStyle name="제목 8 2" xfId="787" xr:uid="{00000000-0005-0000-0000-0000BC020000}"/>
    <cellStyle name="제목 8 3" xfId="977" xr:uid="{00000000-0005-0000-0000-0000BD020000}"/>
    <cellStyle name="제목 9" xfId="408" xr:uid="{00000000-0005-0000-0000-0000BE020000}"/>
    <cellStyle name="제목 9 2" xfId="788" xr:uid="{00000000-0005-0000-0000-0000BF020000}"/>
    <cellStyle name="제목 9 3" xfId="978" xr:uid="{00000000-0005-0000-0000-0000C0020000}"/>
    <cellStyle name="좋음" xfId="29" builtinId="26" customBuiltin="1"/>
    <cellStyle name="좋음 2" xfId="409" xr:uid="{00000000-0005-0000-0000-0000C2020000}"/>
    <cellStyle name="좋음 2 2" xfId="410" xr:uid="{00000000-0005-0000-0000-0000C3020000}"/>
    <cellStyle name="좋음 2 3" xfId="789" xr:uid="{00000000-0005-0000-0000-0000C4020000}"/>
    <cellStyle name="좋음 2 4" xfId="979" xr:uid="{00000000-0005-0000-0000-0000C5020000}"/>
    <cellStyle name="좋음 3" xfId="411" xr:uid="{00000000-0005-0000-0000-0000C6020000}"/>
    <cellStyle name="좋음 3 2" xfId="790" xr:uid="{00000000-0005-0000-0000-0000C7020000}"/>
    <cellStyle name="좋음 3 3" xfId="980" xr:uid="{00000000-0005-0000-0000-0000C8020000}"/>
    <cellStyle name="좋음 4" xfId="412" xr:uid="{00000000-0005-0000-0000-0000C9020000}"/>
    <cellStyle name="좋음 4 2" xfId="791" xr:uid="{00000000-0005-0000-0000-0000CA020000}"/>
    <cellStyle name="좋음 4 3" xfId="981" xr:uid="{00000000-0005-0000-0000-0000CB020000}"/>
    <cellStyle name="좋음 5" xfId="413" xr:uid="{00000000-0005-0000-0000-0000CC020000}"/>
    <cellStyle name="좋음 5 2" xfId="792" xr:uid="{00000000-0005-0000-0000-0000CD020000}"/>
    <cellStyle name="좋음 5 3" xfId="982" xr:uid="{00000000-0005-0000-0000-0000CE020000}"/>
    <cellStyle name="좋음 6" xfId="414" xr:uid="{00000000-0005-0000-0000-0000CF020000}"/>
    <cellStyle name="좋음 6 2" xfId="793" xr:uid="{00000000-0005-0000-0000-0000D0020000}"/>
    <cellStyle name="좋음 6 3" xfId="983" xr:uid="{00000000-0005-0000-0000-0000D1020000}"/>
    <cellStyle name="출력" xfId="32" builtinId="21" customBuiltin="1"/>
    <cellStyle name="출력 2" xfId="415" xr:uid="{00000000-0005-0000-0000-0000D3020000}"/>
    <cellStyle name="출력 2 2" xfId="416" xr:uid="{00000000-0005-0000-0000-0000D4020000}"/>
    <cellStyle name="출력 2 3" xfId="794" xr:uid="{00000000-0005-0000-0000-0000D5020000}"/>
    <cellStyle name="출력 2 4" xfId="984" xr:uid="{00000000-0005-0000-0000-0000D6020000}"/>
    <cellStyle name="출력 3" xfId="417" xr:uid="{00000000-0005-0000-0000-0000D7020000}"/>
    <cellStyle name="출력 3 2" xfId="795" xr:uid="{00000000-0005-0000-0000-0000D8020000}"/>
    <cellStyle name="출력 3 3" xfId="985" xr:uid="{00000000-0005-0000-0000-0000D9020000}"/>
    <cellStyle name="출력 4" xfId="418" xr:uid="{00000000-0005-0000-0000-0000DA020000}"/>
    <cellStyle name="출력 4 2" xfId="796" xr:uid="{00000000-0005-0000-0000-0000DB020000}"/>
    <cellStyle name="출력 4 3" xfId="986" xr:uid="{00000000-0005-0000-0000-0000DC020000}"/>
    <cellStyle name="출력 5" xfId="419" xr:uid="{00000000-0005-0000-0000-0000DD020000}"/>
    <cellStyle name="출력 5 2" xfId="797" xr:uid="{00000000-0005-0000-0000-0000DE020000}"/>
    <cellStyle name="출력 5 3" xfId="987" xr:uid="{00000000-0005-0000-0000-0000DF020000}"/>
    <cellStyle name="출력 6" xfId="420" xr:uid="{00000000-0005-0000-0000-0000E0020000}"/>
    <cellStyle name="출력 6 2" xfId="798" xr:uid="{00000000-0005-0000-0000-0000E1020000}"/>
    <cellStyle name="출력 6 3" xfId="988" xr:uid="{00000000-0005-0000-0000-0000E2020000}"/>
    <cellStyle name="콤마 [0]_11월인원" xfId="144" xr:uid="{00000000-0005-0000-0000-0000E3020000}"/>
    <cellStyle name="콤마_95" xfId="145" xr:uid="{00000000-0005-0000-0000-0000E4020000}"/>
    <cellStyle name="표준" xfId="0" builtinId="0"/>
    <cellStyle name="표준 10" xfId="82" xr:uid="{00000000-0005-0000-0000-0000E6020000}"/>
    <cellStyle name="표준 10 2" xfId="422" xr:uid="{00000000-0005-0000-0000-0000E7020000}"/>
    <cellStyle name="표준 10 3" xfId="173" xr:uid="{00000000-0005-0000-0000-0000E8020000}"/>
    <cellStyle name="표준 10 3 2" xfId="423" xr:uid="{00000000-0005-0000-0000-0000E9020000}"/>
    <cellStyle name="표준 10 4" xfId="424" xr:uid="{00000000-0005-0000-0000-0000EA020000}"/>
    <cellStyle name="표준 10 5" xfId="425" xr:uid="{00000000-0005-0000-0000-0000EB020000}"/>
    <cellStyle name="표준 10 6" xfId="426" xr:uid="{00000000-0005-0000-0000-0000EC020000}"/>
    <cellStyle name="표준 10 7" xfId="421" xr:uid="{00000000-0005-0000-0000-0000ED020000}"/>
    <cellStyle name="표준 11" xfId="83" xr:uid="{00000000-0005-0000-0000-0000EE020000}"/>
    <cellStyle name="표준 11 2" xfId="428" xr:uid="{00000000-0005-0000-0000-0000EF020000}"/>
    <cellStyle name="표준 11 3" xfId="429" xr:uid="{00000000-0005-0000-0000-0000F0020000}"/>
    <cellStyle name="표준 11 4" xfId="430" xr:uid="{00000000-0005-0000-0000-0000F1020000}"/>
    <cellStyle name="표준 11 5" xfId="431" xr:uid="{00000000-0005-0000-0000-0000F2020000}"/>
    <cellStyle name="표준 11 6" xfId="432" xr:uid="{00000000-0005-0000-0000-0000F3020000}"/>
    <cellStyle name="표준 11 7" xfId="427" xr:uid="{00000000-0005-0000-0000-0000F4020000}"/>
    <cellStyle name="표준 12" xfId="84" xr:uid="{00000000-0005-0000-0000-0000F5020000}"/>
    <cellStyle name="표준 12 2" xfId="434" xr:uid="{00000000-0005-0000-0000-0000F6020000}"/>
    <cellStyle name="표준 12 3" xfId="435" xr:uid="{00000000-0005-0000-0000-0000F7020000}"/>
    <cellStyle name="표준 12 4" xfId="436" xr:uid="{00000000-0005-0000-0000-0000F8020000}"/>
    <cellStyle name="표준 12 5" xfId="437" xr:uid="{00000000-0005-0000-0000-0000F9020000}"/>
    <cellStyle name="표준 12 6" xfId="438" xr:uid="{00000000-0005-0000-0000-0000FA020000}"/>
    <cellStyle name="표준 12 7" xfId="433" xr:uid="{00000000-0005-0000-0000-0000FB020000}"/>
    <cellStyle name="표준 13" xfId="88" xr:uid="{00000000-0005-0000-0000-0000FC020000}"/>
    <cellStyle name="표준 13 2" xfId="1016" xr:uid="{00000000-0005-0000-0000-0000FD020000}"/>
    <cellStyle name="표준 13 2 2" xfId="1045" xr:uid="{00000000-0005-0000-0000-0000FE020000}"/>
    <cellStyle name="표준 13 3" xfId="1033" xr:uid="{00000000-0005-0000-0000-0000FF020000}"/>
    <cellStyle name="표준 13 3 2" xfId="1062" xr:uid="{00000000-0005-0000-0000-000000030000}"/>
    <cellStyle name="표준 13 4" xfId="1014" xr:uid="{00000000-0005-0000-0000-000001030000}"/>
    <cellStyle name="표준 13 4 2" xfId="1043" xr:uid="{00000000-0005-0000-0000-000002030000}"/>
    <cellStyle name="표준 13 5" xfId="991" xr:uid="{00000000-0005-0000-0000-000003030000}"/>
    <cellStyle name="표준 14" xfId="89" xr:uid="{00000000-0005-0000-0000-000004030000}"/>
    <cellStyle name="표준 14 2" xfId="1046" xr:uid="{00000000-0005-0000-0000-000005030000}"/>
    <cellStyle name="표준 14 3" xfId="1017" xr:uid="{00000000-0005-0000-0000-000006030000}"/>
    <cellStyle name="표준 15" xfId="90" xr:uid="{00000000-0005-0000-0000-000007030000}"/>
    <cellStyle name="표준 15 2" xfId="1047" xr:uid="{00000000-0005-0000-0000-000008030000}"/>
    <cellStyle name="표준 15 3" xfId="1018" xr:uid="{00000000-0005-0000-0000-000009030000}"/>
    <cellStyle name="표준 16" xfId="93" xr:uid="{00000000-0005-0000-0000-00000A030000}"/>
    <cellStyle name="표준 16 2" xfId="1053" xr:uid="{00000000-0005-0000-0000-00000B030000}"/>
    <cellStyle name="표준 16 3" xfId="1024" xr:uid="{00000000-0005-0000-0000-00000C030000}"/>
    <cellStyle name="표준 17" xfId="91" xr:uid="{00000000-0005-0000-0000-00000D030000}"/>
    <cellStyle name="표준 17 2" xfId="1054" xr:uid="{00000000-0005-0000-0000-00000E030000}"/>
    <cellStyle name="표준 17 3" xfId="1025" xr:uid="{00000000-0005-0000-0000-00000F030000}"/>
    <cellStyle name="표준 18" xfId="94" xr:uid="{00000000-0005-0000-0000-000010030000}"/>
    <cellStyle name="표준 18 2" xfId="1049" xr:uid="{00000000-0005-0000-0000-000011030000}"/>
    <cellStyle name="표준 18 3" xfId="1020" xr:uid="{00000000-0005-0000-0000-000012030000}"/>
    <cellStyle name="표준 19" xfId="92" xr:uid="{00000000-0005-0000-0000-000013030000}"/>
    <cellStyle name="표준 19 2" xfId="1050" xr:uid="{00000000-0005-0000-0000-000014030000}"/>
    <cellStyle name="표준 19 3" xfId="1021" xr:uid="{00000000-0005-0000-0000-000015030000}"/>
    <cellStyle name="표준 2" xfId="3" xr:uid="{00000000-0005-0000-0000-000016030000}"/>
    <cellStyle name="표준 2 10" xfId="75" xr:uid="{00000000-0005-0000-0000-000017030000}"/>
    <cellStyle name="표준 2 10 2" xfId="1048" xr:uid="{00000000-0005-0000-0000-000018030000}"/>
    <cellStyle name="표준 2 10 3" xfId="1019" xr:uid="{00000000-0005-0000-0000-000019030000}"/>
    <cellStyle name="표준 2 11" xfId="1034" xr:uid="{00000000-0005-0000-0000-00001A030000}"/>
    <cellStyle name="표준 2 11 2" xfId="1063" xr:uid="{00000000-0005-0000-0000-00001B030000}"/>
    <cellStyle name="표준 2 12" xfId="1012" xr:uid="{00000000-0005-0000-0000-00001C030000}"/>
    <cellStyle name="표준 2 12 2" xfId="1041" xr:uid="{00000000-0005-0000-0000-00001D030000}"/>
    <cellStyle name="표준 2 13" xfId="989" xr:uid="{00000000-0005-0000-0000-00001E030000}"/>
    <cellStyle name="표준 2 2" xfId="5" xr:uid="{00000000-0005-0000-0000-00001F030000}"/>
    <cellStyle name="표준 2 2 2" xfId="439" xr:uid="{00000000-0005-0000-0000-000020030000}"/>
    <cellStyle name="표준 2 2 2 2" xfId="440" xr:uid="{00000000-0005-0000-0000-000021030000}"/>
    <cellStyle name="표준 2 2 2 2 2" xfId="441" xr:uid="{00000000-0005-0000-0000-000022030000}"/>
    <cellStyle name="표준 2 2 2 2 2 2" xfId="442" xr:uid="{00000000-0005-0000-0000-000023030000}"/>
    <cellStyle name="표준 2 2 2 2 2 2 2" xfId="443" xr:uid="{00000000-0005-0000-0000-000024030000}"/>
    <cellStyle name="표준 2 2 2 2 2 2 2 2" xfId="444" xr:uid="{00000000-0005-0000-0000-000025030000}"/>
    <cellStyle name="표준 2 2 2 2 2 2 2 2 2" xfId="445" xr:uid="{00000000-0005-0000-0000-000026030000}"/>
    <cellStyle name="표준 2 2 2 2 2 2 2 2 2 2" xfId="446" xr:uid="{00000000-0005-0000-0000-000027030000}"/>
    <cellStyle name="표준 2 2 2 2 2 2 2 2 2 2 2" xfId="447" xr:uid="{00000000-0005-0000-0000-000028030000}"/>
    <cellStyle name="표준 2 2 2 2 2 2 2 2 2 2 2 2" xfId="448" xr:uid="{00000000-0005-0000-0000-000029030000}"/>
    <cellStyle name="표준 2 2 2 2 2 2 2 2 2 2 2 2 2" xfId="449" xr:uid="{00000000-0005-0000-0000-00002A030000}"/>
    <cellStyle name="표준 2 2 2 2 2 2 2 2 2 2 2 2 2 2" xfId="450" xr:uid="{00000000-0005-0000-0000-00002B030000}"/>
    <cellStyle name="표준 2 2 2 2 2 2 2 2 2 2 3" xfId="451" xr:uid="{00000000-0005-0000-0000-00002C030000}"/>
    <cellStyle name="표준 2 2 2 2 2 2 2 2 2 3" xfId="452" xr:uid="{00000000-0005-0000-0000-00002D030000}"/>
    <cellStyle name="표준 2 2 2 2 2 2 2 2 2 3 2" xfId="453" xr:uid="{00000000-0005-0000-0000-00002E030000}"/>
    <cellStyle name="표준 2 2 2 2 2 2 2 2 3" xfId="454" xr:uid="{00000000-0005-0000-0000-00002F030000}"/>
    <cellStyle name="표준 2 2 2 2 2 2 2 2 3 2" xfId="455" xr:uid="{00000000-0005-0000-0000-000030030000}"/>
    <cellStyle name="표준 2 2 2 2 2 2 2 2 3 2 2" xfId="456" xr:uid="{00000000-0005-0000-0000-000031030000}"/>
    <cellStyle name="표준 2 2 2 2 2 2 2 2 4" xfId="457" xr:uid="{00000000-0005-0000-0000-000032030000}"/>
    <cellStyle name="표준 2 2 2 2 2 2 2 3" xfId="458" xr:uid="{00000000-0005-0000-0000-000033030000}"/>
    <cellStyle name="표준 2 2 2 2 2 2 2 3 2" xfId="459" xr:uid="{00000000-0005-0000-0000-000034030000}"/>
    <cellStyle name="표준 2 2 2 2 2 2 2 3 2 2" xfId="460" xr:uid="{00000000-0005-0000-0000-000035030000}"/>
    <cellStyle name="표준 2 2 2 2 2 2 2 3 2 2 2" xfId="461" xr:uid="{00000000-0005-0000-0000-000036030000}"/>
    <cellStyle name="표준 2 2 2 2 2 2 2 3 3" xfId="462" xr:uid="{00000000-0005-0000-0000-000037030000}"/>
    <cellStyle name="표준 2 2 2 2 2 2 2 4" xfId="463" xr:uid="{00000000-0005-0000-0000-000038030000}"/>
    <cellStyle name="표준 2 2 2 2 2 2 2 4 2" xfId="464" xr:uid="{00000000-0005-0000-0000-000039030000}"/>
    <cellStyle name="표준 2 2 2 2 2 2 3" xfId="465" xr:uid="{00000000-0005-0000-0000-00003A030000}"/>
    <cellStyle name="표준 2 2 2 2 2 2 4" xfId="466" xr:uid="{00000000-0005-0000-0000-00003B030000}"/>
    <cellStyle name="표준 2 2 2 2 2 2 4 2" xfId="467" xr:uid="{00000000-0005-0000-0000-00003C030000}"/>
    <cellStyle name="표준 2 2 2 2 2 2 4 2 2" xfId="468" xr:uid="{00000000-0005-0000-0000-00003D030000}"/>
    <cellStyle name="표준 2 2 2 2 2 2 4 2 2 2" xfId="469" xr:uid="{00000000-0005-0000-0000-00003E030000}"/>
    <cellStyle name="표준 2 2 2 2 2 2 4 2 2 2 2" xfId="470" xr:uid="{00000000-0005-0000-0000-00003F030000}"/>
    <cellStyle name="표준 2 2 2 2 2 2 4 2 3" xfId="471" xr:uid="{00000000-0005-0000-0000-000040030000}"/>
    <cellStyle name="표준 2 2 2 2 2 2 4 3" xfId="472" xr:uid="{00000000-0005-0000-0000-000041030000}"/>
    <cellStyle name="표준 2 2 2 2 2 2 4 3 2" xfId="473" xr:uid="{00000000-0005-0000-0000-000042030000}"/>
    <cellStyle name="표준 2 2 2 2 2 2 5" xfId="474" xr:uid="{00000000-0005-0000-0000-000043030000}"/>
    <cellStyle name="표준 2 2 2 2 2 2 5 2" xfId="475" xr:uid="{00000000-0005-0000-0000-000044030000}"/>
    <cellStyle name="표준 2 2 2 2 2 2 5 2 2" xfId="476" xr:uid="{00000000-0005-0000-0000-000045030000}"/>
    <cellStyle name="표준 2 2 2 2 2 2 6" xfId="477" xr:uid="{00000000-0005-0000-0000-000046030000}"/>
    <cellStyle name="표준 2 2 2 2 2 3" xfId="478" xr:uid="{00000000-0005-0000-0000-000047030000}"/>
    <cellStyle name="표준 2 2 2 2 2 4" xfId="479" xr:uid="{00000000-0005-0000-0000-000048030000}"/>
    <cellStyle name="표준 2 2 2 2 2 4 2" xfId="480" xr:uid="{00000000-0005-0000-0000-000049030000}"/>
    <cellStyle name="표준 2 2 2 2 2 4 2 2" xfId="481" xr:uid="{00000000-0005-0000-0000-00004A030000}"/>
    <cellStyle name="표준 2 2 2 2 2 4 2 2 2" xfId="482" xr:uid="{00000000-0005-0000-0000-00004B030000}"/>
    <cellStyle name="표준 2 2 2 2 2 4 2 2 2 2" xfId="483" xr:uid="{00000000-0005-0000-0000-00004C030000}"/>
    <cellStyle name="표준 2 2 2 2 2 4 2 3" xfId="484" xr:uid="{00000000-0005-0000-0000-00004D030000}"/>
    <cellStyle name="표준 2 2 2 2 2 4 3" xfId="485" xr:uid="{00000000-0005-0000-0000-00004E030000}"/>
    <cellStyle name="표준 2 2 2 2 2 4 3 2" xfId="486" xr:uid="{00000000-0005-0000-0000-00004F030000}"/>
    <cellStyle name="표준 2 2 2 2 2 5" xfId="487" xr:uid="{00000000-0005-0000-0000-000050030000}"/>
    <cellStyle name="표준 2 2 2 2 2 5 2" xfId="488" xr:uid="{00000000-0005-0000-0000-000051030000}"/>
    <cellStyle name="표준 2 2 2 2 2 5 2 2" xfId="489" xr:uid="{00000000-0005-0000-0000-000052030000}"/>
    <cellStyle name="표준 2 2 2 2 2 6" xfId="490" xr:uid="{00000000-0005-0000-0000-000053030000}"/>
    <cellStyle name="표준 2 2 2 2 3" xfId="491" xr:uid="{00000000-0005-0000-0000-000054030000}"/>
    <cellStyle name="표준 2 2 2 2 4" xfId="492" xr:uid="{00000000-0005-0000-0000-000055030000}"/>
    <cellStyle name="표준 2 2 2 2 5" xfId="493" xr:uid="{00000000-0005-0000-0000-000056030000}"/>
    <cellStyle name="표준 2 2 2 2 5 2" xfId="494" xr:uid="{00000000-0005-0000-0000-000057030000}"/>
    <cellStyle name="표준 2 2 2 2 5 2 2" xfId="495" xr:uid="{00000000-0005-0000-0000-000058030000}"/>
    <cellStyle name="표준 2 2 2 2 5 2 2 2" xfId="496" xr:uid="{00000000-0005-0000-0000-000059030000}"/>
    <cellStyle name="표준 2 2 2 2 5 2 2 2 2" xfId="497" xr:uid="{00000000-0005-0000-0000-00005A030000}"/>
    <cellStyle name="표준 2 2 2 2 5 2 3" xfId="498" xr:uid="{00000000-0005-0000-0000-00005B030000}"/>
    <cellStyle name="표준 2 2 2 2 5 3" xfId="499" xr:uid="{00000000-0005-0000-0000-00005C030000}"/>
    <cellStyle name="표준 2 2 2 2 5 3 2" xfId="500" xr:uid="{00000000-0005-0000-0000-00005D030000}"/>
    <cellStyle name="표준 2 2 2 2 6" xfId="501" xr:uid="{00000000-0005-0000-0000-00005E030000}"/>
    <cellStyle name="표준 2 2 2 2 6 2" xfId="502" xr:uid="{00000000-0005-0000-0000-00005F030000}"/>
    <cellStyle name="표준 2 2 2 2 6 2 2" xfId="503" xr:uid="{00000000-0005-0000-0000-000060030000}"/>
    <cellStyle name="표준 2 2 2 2 7" xfId="504" xr:uid="{00000000-0005-0000-0000-000061030000}"/>
    <cellStyle name="표준 2 2 2 3" xfId="505" xr:uid="{00000000-0005-0000-0000-000062030000}"/>
    <cellStyle name="표준 2 2 2 3 2" xfId="506" xr:uid="{00000000-0005-0000-0000-000063030000}"/>
    <cellStyle name="표준 2 2 2 3 3" xfId="507" xr:uid="{00000000-0005-0000-0000-000064030000}"/>
    <cellStyle name="표준 2 2 2 4" xfId="508" xr:uid="{00000000-0005-0000-0000-000065030000}"/>
    <cellStyle name="표준 2 2 2 5" xfId="509" xr:uid="{00000000-0005-0000-0000-000066030000}"/>
    <cellStyle name="표준 2 2 2 5 2" xfId="510" xr:uid="{00000000-0005-0000-0000-000067030000}"/>
    <cellStyle name="표준 2 2 2 5 2 2" xfId="511" xr:uid="{00000000-0005-0000-0000-000068030000}"/>
    <cellStyle name="표준 2 2 2 5 2 2 2" xfId="512" xr:uid="{00000000-0005-0000-0000-000069030000}"/>
    <cellStyle name="표준 2 2 2 5 2 2 2 2" xfId="513" xr:uid="{00000000-0005-0000-0000-00006A030000}"/>
    <cellStyle name="표준 2 2 2 5 2 3" xfId="514" xr:uid="{00000000-0005-0000-0000-00006B030000}"/>
    <cellStyle name="표준 2 2 2 5 3" xfId="515" xr:uid="{00000000-0005-0000-0000-00006C030000}"/>
    <cellStyle name="표준 2 2 2 5 3 2" xfId="516" xr:uid="{00000000-0005-0000-0000-00006D030000}"/>
    <cellStyle name="표준 2 2 2 6" xfId="517" xr:uid="{00000000-0005-0000-0000-00006E030000}"/>
    <cellStyle name="표준 2 2 2 6 2" xfId="518" xr:uid="{00000000-0005-0000-0000-00006F030000}"/>
    <cellStyle name="표준 2 2 2 6 2 2" xfId="519" xr:uid="{00000000-0005-0000-0000-000070030000}"/>
    <cellStyle name="표준 2 2 2 7" xfId="520" xr:uid="{00000000-0005-0000-0000-000071030000}"/>
    <cellStyle name="표준 2 2 3" xfId="521" xr:uid="{00000000-0005-0000-0000-000072030000}"/>
    <cellStyle name="표준 2 2 3 2" xfId="522" xr:uid="{00000000-0005-0000-0000-000073030000}"/>
    <cellStyle name="표준 2 2 3 2 2" xfId="523" xr:uid="{00000000-0005-0000-0000-000074030000}"/>
    <cellStyle name="표준 2 2 3 2 3" xfId="524" xr:uid="{00000000-0005-0000-0000-000075030000}"/>
    <cellStyle name="표준 2 2 3 3" xfId="525" xr:uid="{00000000-0005-0000-0000-000076030000}"/>
    <cellStyle name="표준 2 2 4" xfId="4" xr:uid="{00000000-0005-0000-0000-000077030000}"/>
    <cellStyle name="표준 2 2 4 2" xfId="526" xr:uid="{00000000-0005-0000-0000-000078030000}"/>
    <cellStyle name="표준 2 2 5" xfId="527" xr:uid="{00000000-0005-0000-0000-000079030000}"/>
    <cellStyle name="표준 2 2 6" xfId="528" xr:uid="{00000000-0005-0000-0000-00007A030000}"/>
    <cellStyle name="표준 2 2 6 2" xfId="529" xr:uid="{00000000-0005-0000-0000-00007B030000}"/>
    <cellStyle name="표준 2 2 6 2 2" xfId="530" xr:uid="{00000000-0005-0000-0000-00007C030000}"/>
    <cellStyle name="표준 2 2 6 2 2 2" xfId="531" xr:uid="{00000000-0005-0000-0000-00007D030000}"/>
    <cellStyle name="표준 2 2 6 2 2 2 2" xfId="532" xr:uid="{00000000-0005-0000-0000-00007E030000}"/>
    <cellStyle name="표준 2 2 6 2 3" xfId="533" xr:uid="{00000000-0005-0000-0000-00007F030000}"/>
    <cellStyle name="표준 2 2 6 3" xfId="534" xr:uid="{00000000-0005-0000-0000-000080030000}"/>
    <cellStyle name="표준 2 2 6 3 2" xfId="535" xr:uid="{00000000-0005-0000-0000-000081030000}"/>
    <cellStyle name="표준 2 2 7" xfId="536" xr:uid="{00000000-0005-0000-0000-000082030000}"/>
    <cellStyle name="표준 2 2 7 2" xfId="537" xr:uid="{00000000-0005-0000-0000-000083030000}"/>
    <cellStyle name="표준 2 2 7 2 2" xfId="538" xr:uid="{00000000-0005-0000-0000-000084030000}"/>
    <cellStyle name="표준 2 2 8" xfId="539" xr:uid="{00000000-0005-0000-0000-000085030000}"/>
    <cellStyle name="표준 2 3" xfId="142" xr:uid="{00000000-0005-0000-0000-000086030000}"/>
    <cellStyle name="표준 2 3 2" xfId="540" xr:uid="{00000000-0005-0000-0000-000087030000}"/>
    <cellStyle name="표준 2 4" xfId="155" xr:uid="{00000000-0005-0000-0000-000088030000}"/>
    <cellStyle name="표준 2 4 2" xfId="541" xr:uid="{00000000-0005-0000-0000-000089030000}"/>
    <cellStyle name="표준 2 5" xfId="159" xr:uid="{00000000-0005-0000-0000-00008A030000}"/>
    <cellStyle name="표준 2 5 2" xfId="542" xr:uid="{00000000-0005-0000-0000-00008B030000}"/>
    <cellStyle name="표준 2 6" xfId="157" xr:uid="{00000000-0005-0000-0000-00008C030000}"/>
    <cellStyle name="표준 2 6 2" xfId="543" xr:uid="{00000000-0005-0000-0000-00008D030000}"/>
    <cellStyle name="표준 2 7" xfId="161" xr:uid="{00000000-0005-0000-0000-00008E030000}"/>
    <cellStyle name="표준 2 7 2" xfId="544" xr:uid="{00000000-0005-0000-0000-00008F030000}"/>
    <cellStyle name="표준 2 8" xfId="6" xr:uid="{00000000-0005-0000-0000-000090030000}"/>
    <cellStyle name="표준 2 8 2" xfId="162" xr:uid="{00000000-0005-0000-0000-000091030000}"/>
    <cellStyle name="표준 2 8 3" xfId="545" xr:uid="{00000000-0005-0000-0000-000092030000}"/>
    <cellStyle name="표준 2 9" xfId="165" xr:uid="{00000000-0005-0000-0000-000093030000}"/>
    <cellStyle name="표준 2 9 2" xfId="546" xr:uid="{00000000-0005-0000-0000-000094030000}"/>
    <cellStyle name="표준 2_Sheet2" xfId="72" xr:uid="{00000000-0005-0000-0000-000095030000}"/>
    <cellStyle name="표준 20" xfId="95" xr:uid="{00000000-0005-0000-0000-000096030000}"/>
    <cellStyle name="표준 20 2" xfId="1055" xr:uid="{00000000-0005-0000-0000-000097030000}"/>
    <cellStyle name="표준 20 3" xfId="1026" xr:uid="{00000000-0005-0000-0000-000098030000}"/>
    <cellStyle name="표준 21" xfId="13" xr:uid="{00000000-0005-0000-0000-000099030000}"/>
    <cellStyle name="표준 21 2" xfId="21" xr:uid="{00000000-0005-0000-0000-00009A030000}"/>
    <cellStyle name="표준 21 2 2" xfId="1051" xr:uid="{00000000-0005-0000-0000-00009B030000}"/>
    <cellStyle name="표준 21 3" xfId="96" xr:uid="{00000000-0005-0000-0000-00009C030000}"/>
    <cellStyle name="표준 21 4" xfId="62" xr:uid="{00000000-0005-0000-0000-00009D030000}"/>
    <cellStyle name="표준 21 5" xfId="1022" xr:uid="{00000000-0005-0000-0000-00009E030000}"/>
    <cellStyle name="표준 22" xfId="97" xr:uid="{00000000-0005-0000-0000-00009F030000}"/>
    <cellStyle name="표준 22 2" xfId="1052" xr:uid="{00000000-0005-0000-0000-0000A0030000}"/>
    <cellStyle name="표준 22 3" xfId="1023" xr:uid="{00000000-0005-0000-0000-0000A1030000}"/>
    <cellStyle name="표준 23" xfId="98" xr:uid="{00000000-0005-0000-0000-0000A2030000}"/>
    <cellStyle name="표준 23 2" xfId="1056" xr:uid="{00000000-0005-0000-0000-0000A3030000}"/>
    <cellStyle name="표준 23 3" xfId="1027" xr:uid="{00000000-0005-0000-0000-0000A4030000}"/>
    <cellStyle name="표준 24" xfId="80" xr:uid="{00000000-0005-0000-0000-0000A5030000}"/>
    <cellStyle name="표준 24 2" xfId="1057" xr:uid="{00000000-0005-0000-0000-0000A6030000}"/>
    <cellStyle name="표준 24 3" xfId="1028" xr:uid="{00000000-0005-0000-0000-0000A7030000}"/>
    <cellStyle name="표준 25" xfId="85" xr:uid="{00000000-0005-0000-0000-0000A8030000}"/>
    <cellStyle name="표준 25 2" xfId="1058" xr:uid="{00000000-0005-0000-0000-0000A9030000}"/>
    <cellStyle name="표준 25 3" xfId="1029" xr:uid="{00000000-0005-0000-0000-0000AA030000}"/>
    <cellStyle name="표준 26" xfId="86" xr:uid="{00000000-0005-0000-0000-0000AB030000}"/>
    <cellStyle name="표준 26 2" xfId="1059" xr:uid="{00000000-0005-0000-0000-0000AC030000}"/>
    <cellStyle name="표준 26 3" xfId="1030" xr:uid="{00000000-0005-0000-0000-0000AD030000}"/>
    <cellStyle name="표준 27" xfId="87" xr:uid="{00000000-0005-0000-0000-0000AE030000}"/>
    <cellStyle name="표준 27 2" xfId="1060" xr:uid="{00000000-0005-0000-0000-0000AF030000}"/>
    <cellStyle name="표준 27 3" xfId="1031" xr:uid="{00000000-0005-0000-0000-0000B0030000}"/>
    <cellStyle name="표준 28" xfId="99" xr:uid="{00000000-0005-0000-0000-0000B1030000}"/>
    <cellStyle name="표준 29" xfId="57" xr:uid="{00000000-0005-0000-0000-0000B2030000}"/>
    <cellStyle name="표준 3" xfId="79" xr:uid="{00000000-0005-0000-0000-0000B3030000}"/>
    <cellStyle name="표준 3 10" xfId="992" xr:uid="{00000000-0005-0000-0000-0000B4030000}"/>
    <cellStyle name="표준 3 2" xfId="135" xr:uid="{00000000-0005-0000-0000-0000B5030000}"/>
    <cellStyle name="표준 3 2 2" xfId="547" xr:uid="{00000000-0005-0000-0000-0000B6030000}"/>
    <cellStyle name="표준 3 3" xfId="16" xr:uid="{00000000-0005-0000-0000-0000B7030000}"/>
    <cellStyle name="표준 3 3 2" xfId="24" xr:uid="{00000000-0005-0000-0000-0000B8030000}"/>
    <cellStyle name="표준 3 3 3" xfId="169" xr:uid="{00000000-0005-0000-0000-0000B9030000}"/>
    <cellStyle name="표준 3 3 4" xfId="548" xr:uid="{00000000-0005-0000-0000-0000BA030000}"/>
    <cellStyle name="표준 3 4" xfId="549" xr:uid="{00000000-0005-0000-0000-0000BB030000}"/>
    <cellStyle name="표준 3 5" xfId="550" xr:uid="{00000000-0005-0000-0000-0000BC030000}"/>
    <cellStyle name="표준 3 6" xfId="551" xr:uid="{00000000-0005-0000-0000-0000BD030000}"/>
    <cellStyle name="표준 3 7" xfId="1015" xr:uid="{00000000-0005-0000-0000-0000BE030000}"/>
    <cellStyle name="표준 3 7 2" xfId="1044" xr:uid="{00000000-0005-0000-0000-0000BF030000}"/>
    <cellStyle name="표준 3 8" xfId="1032" xr:uid="{00000000-0005-0000-0000-0000C0030000}"/>
    <cellStyle name="표준 3 8 2" xfId="1061" xr:uid="{00000000-0005-0000-0000-0000C1030000}"/>
    <cellStyle name="표준 3 9" xfId="1013" xr:uid="{00000000-0005-0000-0000-0000C2030000}"/>
    <cellStyle name="표준 3 9 2" xfId="1042" xr:uid="{00000000-0005-0000-0000-0000C3030000}"/>
    <cellStyle name="표준 30" xfId="100" xr:uid="{00000000-0005-0000-0000-0000C4030000}"/>
    <cellStyle name="표준 31" xfId="105" xr:uid="{00000000-0005-0000-0000-0000C5030000}"/>
    <cellStyle name="표준 32" xfId="107" xr:uid="{00000000-0005-0000-0000-0000C6030000}"/>
    <cellStyle name="표준 33" xfId="109" xr:uid="{00000000-0005-0000-0000-0000C7030000}"/>
    <cellStyle name="표준 34" xfId="111" xr:uid="{00000000-0005-0000-0000-0000C8030000}"/>
    <cellStyle name="표준 35" xfId="112" xr:uid="{00000000-0005-0000-0000-0000C9030000}"/>
    <cellStyle name="표준 36" xfId="113" xr:uid="{00000000-0005-0000-0000-0000CA030000}"/>
    <cellStyle name="표준 37" xfId="114" xr:uid="{00000000-0005-0000-0000-0000CB030000}"/>
    <cellStyle name="표준 38" xfId="115" xr:uid="{00000000-0005-0000-0000-0000CC030000}"/>
    <cellStyle name="표준 39" xfId="116" xr:uid="{00000000-0005-0000-0000-0000CD030000}"/>
    <cellStyle name="표준 4" xfId="74" xr:uid="{00000000-0005-0000-0000-0000CE030000}"/>
    <cellStyle name="표준 4 2" xfId="552" xr:uid="{00000000-0005-0000-0000-0000CF030000}"/>
    <cellStyle name="표준 4 3" xfId="8" xr:uid="{00000000-0005-0000-0000-0000D0030000}"/>
    <cellStyle name="표준 4 4" xfId="553" xr:uid="{00000000-0005-0000-0000-0000D1030000}"/>
    <cellStyle name="표준 4 5" xfId="554" xr:uid="{00000000-0005-0000-0000-0000D2030000}"/>
    <cellStyle name="표준 40" xfId="117" xr:uid="{00000000-0005-0000-0000-0000D3030000}"/>
    <cellStyle name="표준 41" xfId="119" xr:uid="{00000000-0005-0000-0000-0000D4030000}"/>
    <cellStyle name="표준 42" xfId="120" xr:uid="{00000000-0005-0000-0000-0000D5030000}"/>
    <cellStyle name="표준 43" xfId="121" xr:uid="{00000000-0005-0000-0000-0000D6030000}"/>
    <cellStyle name="표준 44" xfId="122" xr:uid="{00000000-0005-0000-0000-0000D7030000}"/>
    <cellStyle name="표준 45" xfId="140" xr:uid="{00000000-0005-0000-0000-0000D8030000}"/>
    <cellStyle name="표준 46" xfId="123" xr:uid="{00000000-0005-0000-0000-0000D9030000}"/>
    <cellStyle name="표준 47" xfId="124" xr:uid="{00000000-0005-0000-0000-0000DA030000}"/>
    <cellStyle name="표준 48" xfId="125" xr:uid="{00000000-0005-0000-0000-0000DB030000}"/>
    <cellStyle name="표준 49" xfId="127" xr:uid="{00000000-0005-0000-0000-0000DC030000}"/>
    <cellStyle name="표준 5" xfId="133" xr:uid="{00000000-0005-0000-0000-0000DD030000}"/>
    <cellStyle name="표준 5 2" xfId="556" xr:uid="{00000000-0005-0000-0000-0000DE030000}"/>
    <cellStyle name="표준 5 3" xfId="9" xr:uid="{00000000-0005-0000-0000-0000DF030000}"/>
    <cellStyle name="표준 5 3 2" xfId="557" xr:uid="{00000000-0005-0000-0000-0000E0030000}"/>
    <cellStyle name="표준 5 4" xfId="558" xr:uid="{00000000-0005-0000-0000-0000E1030000}"/>
    <cellStyle name="표준 5 5" xfId="559" xr:uid="{00000000-0005-0000-0000-0000E2030000}"/>
    <cellStyle name="표준 5 6" xfId="555" xr:uid="{00000000-0005-0000-0000-0000E3030000}"/>
    <cellStyle name="표준 50" xfId="128" xr:uid="{00000000-0005-0000-0000-0000E4030000}"/>
    <cellStyle name="표준 51" xfId="129" xr:uid="{00000000-0005-0000-0000-0000E5030000}"/>
    <cellStyle name="표준 52" xfId="170" xr:uid="{00000000-0005-0000-0000-0000E6030000}"/>
    <cellStyle name="표준 53" xfId="131" xr:uid="{00000000-0005-0000-0000-0000E7030000}"/>
    <cellStyle name="표준 54" xfId="132" xr:uid="{00000000-0005-0000-0000-0000E8030000}"/>
    <cellStyle name="표준 56" xfId="993" xr:uid="{00000000-0005-0000-0000-0000E9030000}"/>
    <cellStyle name="표준 57" xfId="994" xr:uid="{00000000-0005-0000-0000-0000EA030000}"/>
    <cellStyle name="표준 58" xfId="995" xr:uid="{00000000-0005-0000-0000-0000EB030000}"/>
    <cellStyle name="표준 59" xfId="996" xr:uid="{00000000-0005-0000-0000-0000EC030000}"/>
    <cellStyle name="표준 6" xfId="78" xr:uid="{00000000-0005-0000-0000-0000ED030000}"/>
    <cellStyle name="표준 6 2" xfId="561" xr:uid="{00000000-0005-0000-0000-0000EE030000}"/>
    <cellStyle name="표준 6 3" xfId="562" xr:uid="{00000000-0005-0000-0000-0000EF030000}"/>
    <cellStyle name="표준 6 4" xfId="563" xr:uid="{00000000-0005-0000-0000-0000F0030000}"/>
    <cellStyle name="표준 6 5" xfId="564" xr:uid="{00000000-0005-0000-0000-0000F1030000}"/>
    <cellStyle name="표준 6 6" xfId="560" xr:uid="{00000000-0005-0000-0000-0000F2030000}"/>
    <cellStyle name="표준 60" xfId="997" xr:uid="{00000000-0005-0000-0000-0000F3030000}"/>
    <cellStyle name="표준 61" xfId="998" xr:uid="{00000000-0005-0000-0000-0000F4030000}"/>
    <cellStyle name="표준 62" xfId="999" xr:uid="{00000000-0005-0000-0000-0000F5030000}"/>
    <cellStyle name="표준 63" xfId="1000" xr:uid="{00000000-0005-0000-0000-0000F6030000}"/>
    <cellStyle name="표준 64" xfId="1001" xr:uid="{00000000-0005-0000-0000-0000F7030000}"/>
    <cellStyle name="표준 65" xfId="1002" xr:uid="{00000000-0005-0000-0000-0000F8030000}"/>
    <cellStyle name="표준 66" xfId="1003" xr:uid="{00000000-0005-0000-0000-0000F9030000}"/>
    <cellStyle name="표준 67" xfId="1004" xr:uid="{00000000-0005-0000-0000-0000FA030000}"/>
    <cellStyle name="표준 68" xfId="101" xr:uid="{00000000-0005-0000-0000-0000FB030000}"/>
    <cellStyle name="표준 68 2" xfId="1005" xr:uid="{00000000-0005-0000-0000-0000FC030000}"/>
    <cellStyle name="표준 69" xfId="102" xr:uid="{00000000-0005-0000-0000-0000FD030000}"/>
    <cellStyle name="표준 7" xfId="11" xr:uid="{00000000-0005-0000-0000-0000FE030000}"/>
    <cellStyle name="표준 7 2" xfId="19" xr:uid="{00000000-0005-0000-0000-0000FF030000}"/>
    <cellStyle name="표준 7 2 2" xfId="565" xr:uid="{00000000-0005-0000-0000-000000040000}"/>
    <cellStyle name="표준 7 3" xfId="136" xr:uid="{00000000-0005-0000-0000-000001040000}"/>
    <cellStyle name="표준 7 4" xfId="168" xr:uid="{00000000-0005-0000-0000-000002040000}"/>
    <cellStyle name="표준 7 4 2" xfId="566" xr:uid="{00000000-0005-0000-0000-000003040000}"/>
    <cellStyle name="표준 7 5" xfId="567" xr:uid="{00000000-0005-0000-0000-000004040000}"/>
    <cellStyle name="표준 70" xfId="103" xr:uid="{00000000-0005-0000-0000-000005040000}"/>
    <cellStyle name="표준 71" xfId="104" xr:uid="{00000000-0005-0000-0000-000006040000}"/>
    <cellStyle name="표준 72" xfId="106" xr:uid="{00000000-0005-0000-0000-000007040000}"/>
    <cellStyle name="표준 72 2" xfId="1006" xr:uid="{00000000-0005-0000-0000-000008040000}"/>
    <cellStyle name="표준 73" xfId="108" xr:uid="{00000000-0005-0000-0000-000009040000}"/>
    <cellStyle name="표준 73 2" xfId="1036" xr:uid="{00000000-0005-0000-0000-00000A040000}"/>
    <cellStyle name="표준 73 3" xfId="1007" xr:uid="{00000000-0005-0000-0000-00000B040000}"/>
    <cellStyle name="표준 74" xfId="1008" xr:uid="{00000000-0005-0000-0000-00000C040000}"/>
    <cellStyle name="표준 74 2" xfId="1037" xr:uid="{00000000-0005-0000-0000-00000D040000}"/>
    <cellStyle name="표준 75" xfId="110" xr:uid="{00000000-0005-0000-0000-00000E040000}"/>
    <cellStyle name="표준 75 2" xfId="1038" xr:uid="{00000000-0005-0000-0000-00000F040000}"/>
    <cellStyle name="표준 75 3" xfId="1009" xr:uid="{00000000-0005-0000-0000-000010040000}"/>
    <cellStyle name="표준 76" xfId="118" xr:uid="{00000000-0005-0000-0000-000011040000}"/>
    <cellStyle name="표준 76 2" xfId="1039" xr:uid="{00000000-0005-0000-0000-000012040000}"/>
    <cellStyle name="표준 76 3" xfId="1010" xr:uid="{00000000-0005-0000-0000-000013040000}"/>
    <cellStyle name="표준 77" xfId="126" xr:uid="{00000000-0005-0000-0000-000014040000}"/>
    <cellStyle name="표준 77 2" xfId="1040" xr:uid="{00000000-0005-0000-0000-000015040000}"/>
    <cellStyle name="표준 77 3" xfId="1011" xr:uid="{00000000-0005-0000-0000-000016040000}"/>
    <cellStyle name="표준 78" xfId="130" xr:uid="{00000000-0005-0000-0000-000017040000}"/>
    <cellStyle name="표준 8" xfId="81" xr:uid="{00000000-0005-0000-0000-000018040000}"/>
    <cellStyle name="표준 8 2" xfId="569" xr:uid="{00000000-0005-0000-0000-000019040000}"/>
    <cellStyle name="표준 8 3" xfId="570" xr:uid="{00000000-0005-0000-0000-00001A040000}"/>
    <cellStyle name="표준 8 4" xfId="571" xr:uid="{00000000-0005-0000-0000-00001B040000}"/>
    <cellStyle name="표준 8 5" xfId="572" xr:uid="{00000000-0005-0000-0000-00001C040000}"/>
    <cellStyle name="표준 8 6" xfId="573" xr:uid="{00000000-0005-0000-0000-00001D040000}"/>
    <cellStyle name="표준 8 7" xfId="568" xr:uid="{00000000-0005-0000-0000-00001E040000}"/>
    <cellStyle name="표준 80" xfId="137" xr:uid="{00000000-0005-0000-0000-00001F040000}"/>
    <cellStyle name="표준 81" xfId="138" xr:uid="{00000000-0005-0000-0000-000020040000}"/>
    <cellStyle name="표준 83" xfId="141" xr:uid="{00000000-0005-0000-0000-000021040000}"/>
    <cellStyle name="표준 9" xfId="139" xr:uid="{00000000-0005-0000-0000-000022040000}"/>
    <cellStyle name="표준 9 2" xfId="574" xr:uid="{00000000-0005-0000-0000-000023040000}"/>
    <cellStyle name="표준 9 3" xfId="575" xr:uid="{00000000-0005-0000-0000-000024040000}"/>
    <cellStyle name="표준 9 4" xfId="576" xr:uid="{00000000-0005-0000-0000-000025040000}"/>
    <cellStyle name="표준 9 5" xfId="577" xr:uid="{00000000-0005-0000-0000-000026040000}"/>
    <cellStyle name="표준 9 6" xfId="578" xr:uid="{00000000-0005-0000-0000-000027040000}"/>
    <cellStyle name="하이퍼링크" xfId="10" builtinId="8"/>
  </cellStyles>
  <dxfs count="3">
    <dxf>
      <font>
        <b/>
        <i val="0"/>
      </font>
      <fill>
        <patternFill>
          <bgColor rgb="FFFF0000"/>
        </patternFill>
      </fill>
    </dxf>
    <dxf>
      <font>
        <b/>
        <i val="0"/>
      </font>
      <fill>
        <patternFill>
          <bgColor rgb="FFFF0000"/>
        </patternFill>
      </fill>
    </dxf>
    <dxf>
      <font>
        <b/>
        <i val="0"/>
      </font>
      <fill>
        <patternFill>
          <bgColor rgb="FFFF0000"/>
        </patternFill>
      </fill>
    </dxf>
  </dxfs>
  <tableStyles count="0" defaultTableStyle="TableStyleMedium2" defaultPivotStyle="PivotStyleLight16"/>
  <colors>
    <mruColors>
      <color rgb="FFF2DDDC"/>
      <color rgb="FFF2DCDB"/>
      <color rgb="FFC00000"/>
      <color rgb="FF17375D"/>
      <color rgb="FFD997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3371849</xdr:colOff>
      <xdr:row>34</xdr:row>
      <xdr:rowOff>66675</xdr:rowOff>
    </xdr:from>
    <xdr:ext cx="2381251" cy="1253100"/>
    <xdr:sp macro="" textlink="">
      <xdr:nvSpPr>
        <xdr:cNvPr id="3" name="Text Box 22">
          <a:extLst>
            <a:ext uri="{FF2B5EF4-FFF2-40B4-BE49-F238E27FC236}">
              <a16:creationId xmlns:a16="http://schemas.microsoft.com/office/drawing/2014/main" id="{00000000-0008-0000-0000-000003000000}"/>
            </a:ext>
          </a:extLst>
        </xdr:cNvPr>
        <xdr:cNvSpPr txBox="1">
          <a:spLocks noChangeArrowheads="1"/>
        </xdr:cNvSpPr>
      </xdr:nvSpPr>
      <xdr:spPr bwMode="auto">
        <a:xfrm>
          <a:off x="3638549" y="6229350"/>
          <a:ext cx="2381251" cy="1253100"/>
        </a:xfrm>
        <a:prstGeom prst="rect">
          <a:avLst/>
        </a:prstGeom>
        <a:noFill/>
        <a:ln w="9525">
          <a:noFill/>
          <a:miter lim="800000"/>
          <a:headEnd/>
          <a:tailEnd/>
        </a:ln>
      </xdr:spPr>
      <xdr:txBody>
        <a:bodyPr vertOverflow="clip" horzOverflow="clip" wrap="square" lIns="91440" tIns="45720" rIns="91440" bIns="45720" anchor="t" upright="1">
          <a:noAutofit/>
        </a:bodyPr>
        <a:lstStyle/>
        <a:p>
          <a:pPr marL="0" marR="0" indent="0" algn="l" defTabSz="914400" rtl="1" eaLnBrk="1" fontAlgn="auto" latinLnBrk="0" hangingPunct="1">
            <a:lnSpc>
              <a:spcPct val="100000"/>
            </a:lnSpc>
            <a:spcBef>
              <a:spcPts val="0"/>
            </a:spcBef>
            <a:spcAft>
              <a:spcPts val="0"/>
            </a:spcAft>
            <a:buClrTx/>
            <a:buSzTx/>
            <a:buFontTx/>
            <a:buNone/>
            <a:tabLst/>
            <a:defRPr sz="1000"/>
          </a:pPr>
          <a:r>
            <a:rPr lang="en-US" altLang="ko-KR" sz="600" b="0" i="0" baseline="0">
              <a:latin typeface="+mn-lt"/>
              <a:ea typeface="+mn-ea"/>
              <a:cs typeface="+mn-cs"/>
            </a:rPr>
            <a:t>ⓒ TONGYANG Life Insurance Co., Ltd. All right reserved. The content and structure of this materials are protected by copy right. No part of the information or data may be used or reproduced in any form without prior written permission from TONGYANGLife Insurance Co., Ltd. We make reasonable efforts to provide accurate and current information but make no representations about the accuracy, reliability, completeness, or timeliness of the material. Use of the material is at your own risk. Changes may be made at any time. TONGYANG Life Insurance Co., Ltd. is not responsible for the content provided by this information. In addition, this publication is produced for and distributed to the investors without complete and full external audit. Therefore some numbers contained herein could be changed according to the auditing results.</a:t>
          </a:r>
        </a:p>
        <a:p>
          <a:pPr algn="l" rtl="1">
            <a:defRPr sz="1000"/>
          </a:pPr>
          <a:endParaRPr lang="en-US" altLang="ko-KR" sz="600" b="0" i="1" strike="noStrike">
            <a:solidFill>
              <a:sysClr val="windowText" lastClr="000000"/>
            </a:solidFill>
            <a:latin typeface="Arial"/>
            <a:cs typeface="Arial"/>
          </a:endParaRPr>
        </a:p>
      </xdr:txBody>
    </xdr:sp>
    <xdr:clientData/>
  </xdr:oneCellAnchor>
  <xdr:twoCellAnchor editAs="oneCell">
    <xdr:from>
      <xdr:col>4</xdr:col>
      <xdr:colOff>0</xdr:colOff>
      <xdr:row>22</xdr:row>
      <xdr:rowOff>142875</xdr:rowOff>
    </xdr:from>
    <xdr:to>
      <xdr:col>8</xdr:col>
      <xdr:colOff>266700</xdr:colOff>
      <xdr:row>34</xdr:row>
      <xdr:rowOff>104775</xdr:rowOff>
    </xdr:to>
    <xdr:sp macro="" textlink="">
      <xdr:nvSpPr>
        <xdr:cNvPr id="6" name="Text Box 21">
          <a:extLst>
            <a:ext uri="{FF2B5EF4-FFF2-40B4-BE49-F238E27FC236}">
              <a16:creationId xmlns:a16="http://schemas.microsoft.com/office/drawing/2014/main" id="{00000000-0008-0000-0000-000006000000}"/>
            </a:ext>
          </a:extLst>
        </xdr:cNvPr>
        <xdr:cNvSpPr txBox="1">
          <a:spLocks noChangeArrowheads="1"/>
        </xdr:cNvSpPr>
      </xdr:nvSpPr>
      <xdr:spPr bwMode="auto">
        <a:xfrm>
          <a:off x="3648075" y="4324350"/>
          <a:ext cx="2705100" cy="1790700"/>
        </a:xfrm>
        <a:prstGeom prst="rect">
          <a:avLst/>
        </a:prstGeom>
        <a:noFill/>
        <a:ln w="9525">
          <a:solidFill>
            <a:schemeClr val="bg1">
              <a:lumMod val="85000"/>
            </a:schemeClr>
          </a:solidFill>
          <a:miter lim="800000"/>
          <a:headEnd/>
          <a:tailEnd/>
        </a:ln>
      </xdr:spPr>
      <xdr:txBody>
        <a:bodyPr vertOverflow="clip" wrap="square" lIns="91440" tIns="45720" rIns="91440" bIns="45720" anchor="t" upright="1"/>
        <a:lstStyle/>
        <a:p>
          <a:pPr rtl="0" fontAlgn="base"/>
          <a:r>
            <a:rPr lang="ko-KR" altLang="ko-KR" sz="900" b="1" i="0" baseline="0">
              <a:latin typeface="+mn-lt"/>
              <a:ea typeface="+mn-ea"/>
              <a:cs typeface="+mn-cs"/>
            </a:rPr>
            <a:t>■ 주소</a:t>
          </a:r>
          <a:r>
            <a:rPr lang="en-US" altLang="ko-KR" sz="900" b="1" i="0" baseline="0">
              <a:latin typeface="+mn-lt"/>
              <a:ea typeface="+mn-ea"/>
              <a:cs typeface="+mn-cs"/>
            </a:rPr>
            <a:t> Address :</a:t>
          </a:r>
          <a:endParaRPr lang="ko-KR" altLang="ko-KR" sz="900" b="1">
            <a:latin typeface="+mn-lt"/>
            <a:ea typeface="+mn-ea"/>
          </a:endParaRPr>
        </a:p>
        <a:p>
          <a:pPr rtl="0" fontAlgn="base"/>
          <a:r>
            <a:rPr lang="ko-KR" altLang="ko-KR" sz="900" b="0" i="0" baseline="0">
              <a:latin typeface="+mn-lt"/>
              <a:ea typeface="+mn-ea"/>
              <a:cs typeface="+mn-cs"/>
            </a:rPr>
            <a:t>서울특별시 </a:t>
          </a:r>
          <a:r>
            <a:rPr lang="ko-KR" altLang="en-US" sz="900" b="0" i="0" baseline="0">
              <a:latin typeface="+mn-lt"/>
              <a:ea typeface="+mn-ea"/>
              <a:cs typeface="+mn-cs"/>
            </a:rPr>
            <a:t>종로구 종로</a:t>
          </a:r>
          <a:r>
            <a:rPr lang="en-US" altLang="ko-KR" sz="900" b="0" i="0" baseline="0">
              <a:latin typeface="+mn-lt"/>
              <a:ea typeface="+mn-ea"/>
              <a:cs typeface="+mn-cs"/>
            </a:rPr>
            <a:t>33 (</a:t>
          </a:r>
          <a:r>
            <a:rPr lang="ko-KR" altLang="en-US" sz="900" b="0" i="0" baseline="0">
              <a:latin typeface="+mn-lt"/>
              <a:ea typeface="+mn-ea"/>
              <a:cs typeface="+mn-cs"/>
            </a:rPr>
            <a:t>청진동</a:t>
          </a:r>
          <a:r>
            <a:rPr lang="en-US" altLang="ko-KR" sz="900" b="0" i="0" baseline="0">
              <a:latin typeface="+mn-lt"/>
              <a:ea typeface="+mn-ea"/>
              <a:cs typeface="+mn-cs"/>
            </a:rPr>
            <a:t>) </a:t>
          </a:r>
          <a:r>
            <a:rPr lang="ko-KR" altLang="en-US" sz="900" b="0" i="0" baseline="0">
              <a:latin typeface="+mn-lt"/>
              <a:ea typeface="+mn-ea"/>
              <a:cs typeface="+mn-cs"/>
            </a:rPr>
            <a:t>그랑서울빌딩 </a:t>
          </a:r>
          <a:r>
            <a:rPr lang="en-US" altLang="ko-KR" sz="900" b="0" i="0" baseline="0">
              <a:latin typeface="+mn-lt"/>
              <a:ea typeface="+mn-ea"/>
              <a:cs typeface="+mn-cs"/>
            </a:rPr>
            <a:t>11</a:t>
          </a:r>
          <a:r>
            <a:rPr lang="ko-KR" altLang="en-US" sz="900" b="0" i="0" baseline="0">
              <a:latin typeface="+mn-lt"/>
              <a:ea typeface="+mn-ea"/>
              <a:cs typeface="+mn-cs"/>
            </a:rPr>
            <a:t>층 동양생명 대외협력팀</a:t>
          </a:r>
          <a:endParaRPr lang="en-US" altLang="ko-KR" sz="900" b="0" i="0" baseline="0">
            <a:latin typeface="+mn-lt"/>
            <a:ea typeface="+mn-ea"/>
            <a:cs typeface="+mn-cs"/>
          </a:endParaRPr>
        </a:p>
        <a:p>
          <a:pPr rtl="0" fontAlgn="base"/>
          <a:endParaRPr lang="en-US" altLang="ko-KR" sz="900" b="0" i="0" baseline="0">
            <a:latin typeface="+mn-lt"/>
            <a:ea typeface="+mn-ea"/>
            <a:cs typeface="+mn-cs"/>
          </a:endParaRPr>
        </a:p>
        <a:p>
          <a:pPr rtl="0" fontAlgn="base"/>
          <a:r>
            <a:rPr lang="en-US" altLang="ko-KR" sz="900" b="0" i="0" baseline="0">
              <a:latin typeface="+mn-lt"/>
              <a:ea typeface="+mn-ea"/>
              <a:cs typeface="+mn-cs"/>
            </a:rPr>
            <a:t>External Relations, 11F, Gran Seoul bldg. 33, Jong-ro, Jongno-gu, Seoul, Korea (ROK)</a:t>
          </a:r>
        </a:p>
        <a:p>
          <a:pPr rtl="0" fontAlgn="base"/>
          <a:endParaRPr lang="en-US" altLang="ko-KR" sz="900" b="0" i="0" baseline="0">
            <a:latin typeface="+mn-lt"/>
            <a:ea typeface="+mn-ea"/>
            <a:cs typeface="+mn-cs"/>
          </a:endParaRPr>
        </a:p>
        <a:p>
          <a:pPr rtl="0" fontAlgn="base"/>
          <a:r>
            <a:rPr lang="ko-KR" altLang="ko-KR" sz="900" b="1" i="0" baseline="0">
              <a:effectLst/>
              <a:latin typeface="+mn-lt"/>
              <a:ea typeface="+mn-ea"/>
              <a:cs typeface="+mn-cs"/>
            </a:rPr>
            <a:t>■ </a:t>
          </a:r>
          <a:r>
            <a:rPr lang="en-US" altLang="ko-KR" sz="900" b="1" i="0" baseline="0">
              <a:effectLst/>
              <a:latin typeface="+mn-lt"/>
              <a:ea typeface="+mn-ea"/>
              <a:cs typeface="+mn-cs"/>
            </a:rPr>
            <a:t>Investor Relations : </a:t>
          </a:r>
          <a:endParaRPr lang="ko-KR" altLang="ko-KR" sz="900">
            <a:effectLst/>
            <a:latin typeface="+mn-lt"/>
          </a:endParaRPr>
        </a:p>
        <a:p>
          <a:pPr rtl="0" fontAlgn="base"/>
          <a:r>
            <a:rPr lang="en-US" altLang="ko-KR" sz="900" b="0" i="0" baseline="0">
              <a:effectLst/>
              <a:latin typeface="+mn-lt"/>
              <a:ea typeface="+mn-ea"/>
              <a:cs typeface="+mn-cs"/>
            </a:rPr>
            <a:t>e-mail : ir.tongyanglife@myangel.co.kr  </a:t>
          </a:r>
          <a:endParaRPr lang="ko-KR" altLang="ko-KR" sz="900">
            <a:effectLst/>
            <a:latin typeface="+mn-lt"/>
          </a:endParaRPr>
        </a:p>
        <a:p>
          <a:pPr rtl="0" fontAlgn="base"/>
          <a:r>
            <a:rPr lang="en-US" altLang="ko-KR" sz="900" b="0" i="0" baseline="0">
              <a:effectLst/>
              <a:latin typeface="+mn-lt"/>
              <a:ea typeface="+mn-ea"/>
              <a:cs typeface="+mn-cs"/>
            </a:rPr>
            <a:t>Tel : 02-728-9517 / Fax : 02-2095-6479</a:t>
          </a:r>
          <a:endParaRPr lang="ko-KR" altLang="ko-KR" sz="900">
            <a:effectLst/>
            <a:latin typeface="+mn-lt"/>
          </a:endParaRPr>
        </a:p>
        <a:p>
          <a:pPr rtl="0" fontAlgn="base"/>
          <a:endParaRPr lang="en-US" altLang="ko-KR" sz="900" b="0" i="0" baseline="0">
            <a:latin typeface="+mn-lt"/>
            <a:ea typeface="+mn-ea"/>
            <a:cs typeface="+mn-cs"/>
          </a:endParaRPr>
        </a:p>
      </xdr:txBody>
    </xdr:sp>
    <xdr:clientData/>
  </xdr:twoCellAnchor>
  <xdr:twoCellAnchor>
    <xdr:from>
      <xdr:col>3</xdr:col>
      <xdr:colOff>295275</xdr:colOff>
      <xdr:row>0</xdr:row>
      <xdr:rowOff>47625</xdr:rowOff>
    </xdr:from>
    <xdr:to>
      <xdr:col>7</xdr:col>
      <xdr:colOff>0</xdr:colOff>
      <xdr:row>2</xdr:row>
      <xdr:rowOff>123825</xdr:rowOff>
    </xdr:to>
    <xdr:sp macro="" textlink="">
      <xdr:nvSpPr>
        <xdr:cNvPr id="1026" name="AutoShape 2">
          <a:extLst>
            <a:ext uri="{FF2B5EF4-FFF2-40B4-BE49-F238E27FC236}">
              <a16:creationId xmlns:a16="http://schemas.microsoft.com/office/drawing/2014/main" id="{338D180D-9591-42DA-84D6-F9D6885A46F2}"/>
            </a:ext>
          </a:extLst>
        </xdr:cNvPr>
        <xdr:cNvSpPr>
          <a:spLocks noChangeAspect="1" noChangeArrowheads="1" noTextEdit="1"/>
        </xdr:cNvSpPr>
      </xdr:nvSpPr>
      <xdr:spPr bwMode="auto">
        <a:xfrm>
          <a:off x="561975" y="47625"/>
          <a:ext cx="49149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809626</xdr:colOff>
      <xdr:row>1</xdr:row>
      <xdr:rowOff>1</xdr:rowOff>
    </xdr:from>
    <xdr:to>
      <xdr:col>6</xdr:col>
      <xdr:colOff>314325</xdr:colOff>
      <xdr:row>2</xdr:row>
      <xdr:rowOff>11227</xdr:rowOff>
    </xdr:to>
    <xdr:pic>
      <xdr:nvPicPr>
        <xdr:cNvPr id="8" name="그림 7">
          <a:extLst>
            <a:ext uri="{FF2B5EF4-FFF2-40B4-BE49-F238E27FC236}">
              <a16:creationId xmlns:a16="http://schemas.microsoft.com/office/drawing/2014/main" id="{98688AEC-5882-4EDF-B0D8-68C001B05FA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711" r="386"/>
        <a:stretch/>
      </xdr:blipFill>
      <xdr:spPr bwMode="auto">
        <a:xfrm>
          <a:off x="1076326" y="304801"/>
          <a:ext cx="4105274" cy="773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3</xdr:row>
      <xdr:rowOff>0</xdr:rowOff>
    </xdr:from>
    <xdr:to>
      <xdr:col>19</xdr:col>
      <xdr:colOff>0</xdr:colOff>
      <xdr:row>3</xdr:row>
      <xdr:rowOff>0</xdr:rowOff>
    </xdr:to>
    <xdr:sp macro="" textlink="">
      <xdr:nvSpPr>
        <xdr:cNvPr id="6" name="Rectangle 7" descr="□ 보험회사의 리스크 종류&#10;">
          <a:extLst>
            <a:ext uri="{FF2B5EF4-FFF2-40B4-BE49-F238E27FC236}">
              <a16:creationId xmlns:a16="http://schemas.microsoft.com/office/drawing/2014/main" id="{11E0A708-B5EE-48EE-A9C6-2104A526FDD3}"/>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3</xdr:row>
      <xdr:rowOff>0</xdr:rowOff>
    </xdr:from>
    <xdr:to>
      <xdr:col>19</xdr:col>
      <xdr:colOff>0</xdr:colOff>
      <xdr:row>3</xdr:row>
      <xdr:rowOff>0</xdr:rowOff>
    </xdr:to>
    <xdr:sp macro="" textlink="">
      <xdr:nvSpPr>
        <xdr:cNvPr id="7" name="Rectangle 7" descr="□ 보험회사의 리스크 종류&#10;">
          <a:extLst>
            <a:ext uri="{FF2B5EF4-FFF2-40B4-BE49-F238E27FC236}">
              <a16:creationId xmlns:a16="http://schemas.microsoft.com/office/drawing/2014/main" id="{F5DF12CE-55CE-4246-B91D-996BF6E8C035}"/>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twoCellAnchor>
    <xdr:from>
      <xdr:col>18</xdr:col>
      <xdr:colOff>0</xdr:colOff>
      <xdr:row>3</xdr:row>
      <xdr:rowOff>0</xdr:rowOff>
    </xdr:from>
    <xdr:to>
      <xdr:col>19</xdr:col>
      <xdr:colOff>0</xdr:colOff>
      <xdr:row>3</xdr:row>
      <xdr:rowOff>0</xdr:rowOff>
    </xdr:to>
    <xdr:sp macro="" textlink="">
      <xdr:nvSpPr>
        <xdr:cNvPr id="16" name="Rectangle 7" descr="□ 보험회사의 리스크 종류&#10;">
          <a:extLst>
            <a:ext uri="{FF2B5EF4-FFF2-40B4-BE49-F238E27FC236}">
              <a16:creationId xmlns:a16="http://schemas.microsoft.com/office/drawing/2014/main" id="{ADD3AE74-157B-49BC-9ED1-2AADE899FFDC}"/>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수입보험료 실적</a:t>
          </a:r>
        </a:p>
        <a:p>
          <a:pPr algn="ctr" rtl="0">
            <a:defRPr sz="1000"/>
          </a:pPr>
          <a:endParaRPr lang="ko-KR" altLang="en-US" sz="1200" b="0" i="0" u="none" strike="noStrike" baseline="0">
            <a:solidFill>
              <a:srgbClr val="FFFFFF"/>
            </a:solidFill>
            <a:latin typeface="SLI 파트너 EB"/>
          </a:endParaRPr>
        </a:p>
      </xdr:txBody>
    </xdr:sp>
    <xdr:clientData/>
  </xdr:twoCellAnchor>
  <xdr:twoCellAnchor>
    <xdr:from>
      <xdr:col>18</xdr:col>
      <xdr:colOff>0</xdr:colOff>
      <xdr:row>3</xdr:row>
      <xdr:rowOff>0</xdr:rowOff>
    </xdr:from>
    <xdr:to>
      <xdr:col>19</xdr:col>
      <xdr:colOff>0</xdr:colOff>
      <xdr:row>3</xdr:row>
      <xdr:rowOff>0</xdr:rowOff>
    </xdr:to>
    <xdr:sp macro="" textlink="">
      <xdr:nvSpPr>
        <xdr:cNvPr id="17" name="Rectangle 7" descr="□ 보험회사의 리스크 종류&#10;">
          <a:extLst>
            <a:ext uri="{FF2B5EF4-FFF2-40B4-BE49-F238E27FC236}">
              <a16:creationId xmlns:a16="http://schemas.microsoft.com/office/drawing/2014/main" id="{C02493DC-B1D7-4674-9B9C-4076520B5E0C}"/>
            </a:ext>
          </a:extLst>
        </xdr:cNvPr>
        <xdr:cNvSpPr>
          <a:spLocks noChangeArrowheads="1"/>
        </xdr:cNvSpPr>
      </xdr:nvSpPr>
      <xdr:spPr bwMode="auto">
        <a:xfrm>
          <a:off x="18078450" y="590550"/>
          <a:ext cx="1200150" cy="0"/>
        </a:xfrm>
        <a:prstGeom prst="bevel">
          <a:avLst>
            <a:gd name="adj" fmla="val 11356"/>
          </a:avLst>
        </a:prstGeom>
        <a:solidFill>
          <a:srgbClr val="969696"/>
        </a:solidFill>
        <a:ln w="9525" algn="ctr">
          <a:noFill/>
          <a:miter lim="800000"/>
          <a:headEnd/>
          <a:tailEnd/>
        </a:ln>
        <a:effectLst/>
      </xdr:spPr>
      <xdr:txBody>
        <a:bodyPr vertOverflow="clip" wrap="square" lIns="91440" tIns="45720" rIns="91440" bIns="45720" anchor="t" upright="1"/>
        <a:lstStyle/>
        <a:p>
          <a:pPr algn="ctr" rtl="0">
            <a:defRPr sz="1000"/>
          </a:pPr>
          <a:r>
            <a:rPr lang="ko-KR" altLang="en-US" sz="1200" b="0" i="0" u="none" strike="noStrike" baseline="0">
              <a:solidFill>
                <a:srgbClr val="FFFFFF"/>
              </a:solidFill>
              <a:latin typeface="SLI 파트너 EB"/>
            </a:rPr>
            <a:t>자산운용 현황</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19050</xdr:colOff>
      <xdr:row>101</xdr:row>
      <xdr:rowOff>0</xdr:rowOff>
    </xdr:from>
    <xdr:to>
      <xdr:col>18</xdr:col>
      <xdr:colOff>0</xdr:colOff>
      <xdr:row>101</xdr:row>
      <xdr:rowOff>0</xdr:rowOff>
    </xdr:to>
    <xdr:sp macro="" textlink="">
      <xdr:nvSpPr>
        <xdr:cNvPr id="2" name="Text Box 13">
          <a:extLst>
            <a:ext uri="{FF2B5EF4-FFF2-40B4-BE49-F238E27FC236}">
              <a16:creationId xmlns:a16="http://schemas.microsoft.com/office/drawing/2014/main" id="{60E00672-DE9F-47EC-AA8A-F7517E0BBA0B}"/>
            </a:ext>
          </a:extLst>
        </xdr:cNvPr>
        <xdr:cNvSpPr txBox="1">
          <a:spLocks noChangeArrowheads="1"/>
        </xdr:cNvSpPr>
      </xdr:nvSpPr>
      <xdr:spPr bwMode="auto">
        <a:xfrm>
          <a:off x="254000" y="18135600"/>
          <a:ext cx="2654300" cy="0"/>
        </a:xfrm>
        <a:prstGeom prst="rect">
          <a:avLst/>
        </a:prstGeom>
        <a:noFill/>
        <a:ln w="0">
          <a:noFill/>
          <a:miter lim="800000"/>
          <a:headEnd/>
          <a:tailEnd/>
        </a:ln>
      </xdr:spPr>
      <xdr:txBody>
        <a:bodyPr vertOverflow="clip" wrap="square" lIns="36576" tIns="27432" rIns="36576" bIns="27432" anchor="ctr" upright="1"/>
        <a:lstStyle/>
        <a:p>
          <a:pPr algn="ctr" rtl="0">
            <a:defRPr sz="1000"/>
          </a:pPr>
          <a:r>
            <a:rPr lang="ko-KR" altLang="en-US" sz="1400" b="1" i="0" u="none" strike="noStrike" baseline="0">
              <a:solidFill>
                <a:srgbClr val="FFFFFF"/>
              </a:solidFill>
              <a:latin typeface="SLI 파트너 EB"/>
            </a:rPr>
            <a:t>요약 손익계산서 </a:t>
          </a:r>
          <a:r>
            <a:rPr lang="en-US" altLang="ko-KR" sz="1400" b="1" i="0" u="none" strike="noStrike" baseline="0">
              <a:solidFill>
                <a:srgbClr val="FFFFFF"/>
              </a:solidFill>
              <a:latin typeface="SLI 파트너 EB"/>
            </a:rPr>
            <a:t>(</a:t>
          </a:r>
          <a:r>
            <a:rPr lang="ko-KR" altLang="en-US" sz="1400" b="1" i="0" u="none" strike="noStrike" baseline="0">
              <a:solidFill>
                <a:srgbClr val="FFFFFF"/>
              </a:solidFill>
              <a:latin typeface="SLI 파트너 EB"/>
            </a:rPr>
            <a:t>조정前</a:t>
          </a:r>
          <a:r>
            <a:rPr lang="en-US" altLang="ko-KR" sz="1400" b="1" i="0" u="none" strike="noStrike" baseline="0">
              <a:solidFill>
                <a:srgbClr val="FFFFFF"/>
              </a:solidFill>
              <a:latin typeface="SLI 파트너 EB"/>
            </a:rPr>
            <a:t>)</a:t>
          </a:r>
        </a:p>
      </xdr:txBody>
    </xdr:sp>
    <xdr:clientData/>
  </xdr:twoCellAnchor>
  <xdr:twoCellAnchor>
    <xdr:from>
      <xdr:col>17</xdr:col>
      <xdr:colOff>19050</xdr:colOff>
      <xdr:row>71</xdr:row>
      <xdr:rowOff>0</xdr:rowOff>
    </xdr:from>
    <xdr:to>
      <xdr:col>18</xdr:col>
      <xdr:colOff>0</xdr:colOff>
      <xdr:row>71</xdr:row>
      <xdr:rowOff>0</xdr:rowOff>
    </xdr:to>
    <xdr:sp macro="" textlink="">
      <xdr:nvSpPr>
        <xdr:cNvPr id="16" name="Text Box 13">
          <a:extLst>
            <a:ext uri="{FF2B5EF4-FFF2-40B4-BE49-F238E27FC236}">
              <a16:creationId xmlns:a16="http://schemas.microsoft.com/office/drawing/2014/main" id="{E880B961-6856-4FA7-AD22-3DC95FC6340D}"/>
            </a:ext>
          </a:extLst>
        </xdr:cNvPr>
        <xdr:cNvSpPr txBox="1">
          <a:spLocks noChangeArrowheads="1"/>
        </xdr:cNvSpPr>
      </xdr:nvSpPr>
      <xdr:spPr bwMode="auto">
        <a:xfrm>
          <a:off x="254000" y="12471400"/>
          <a:ext cx="2654300" cy="0"/>
        </a:xfrm>
        <a:prstGeom prst="rect">
          <a:avLst/>
        </a:prstGeom>
        <a:noFill/>
        <a:ln w="0">
          <a:noFill/>
          <a:miter lim="800000"/>
          <a:headEnd/>
          <a:tailEnd/>
        </a:ln>
      </xdr:spPr>
      <xdr:txBody>
        <a:bodyPr vertOverflow="clip" wrap="square" lIns="36576" tIns="27432" rIns="36576" bIns="27432" anchor="ctr" upright="1"/>
        <a:lstStyle/>
        <a:p>
          <a:pPr algn="ctr" rtl="0">
            <a:defRPr sz="1000"/>
          </a:pPr>
          <a:r>
            <a:rPr lang="ko-KR" altLang="en-US" sz="1400" b="1" i="0" u="none" strike="noStrike" baseline="0">
              <a:solidFill>
                <a:srgbClr val="FFFFFF"/>
              </a:solidFill>
              <a:latin typeface="SLI 파트너 EB"/>
            </a:rPr>
            <a:t>요약 손익계산서 </a:t>
          </a:r>
          <a:r>
            <a:rPr lang="en-US" altLang="ko-KR" sz="1400" b="1" i="0" u="none" strike="noStrike" baseline="0">
              <a:solidFill>
                <a:srgbClr val="FFFFFF"/>
              </a:solidFill>
              <a:latin typeface="SLI 파트너 EB"/>
            </a:rPr>
            <a:t>(</a:t>
          </a:r>
          <a:r>
            <a:rPr lang="ko-KR" altLang="en-US" sz="1400" b="1" i="0" u="none" strike="noStrike" baseline="0">
              <a:solidFill>
                <a:srgbClr val="FFFFFF"/>
              </a:solidFill>
              <a:latin typeface="SLI 파트너 EB"/>
            </a:rPr>
            <a:t>조정前</a:t>
          </a:r>
          <a:r>
            <a:rPr lang="en-US" altLang="ko-KR" sz="1400" b="1" i="0" u="none" strike="noStrike" baseline="0">
              <a:solidFill>
                <a:srgbClr val="FFFFFF"/>
              </a:solidFill>
              <a:latin typeface="SLI 파트너 EB"/>
            </a:rPr>
            <a:t>)</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25"/>
  <sheetViews>
    <sheetView showGridLines="0" tabSelected="1" zoomScale="85" zoomScaleNormal="85" zoomScaleSheetLayoutView="100" workbookViewId="0"/>
  </sheetViews>
  <sheetFormatPr defaultColWidth="9.140625" defaultRowHeight="18.75"/>
  <cols>
    <col min="1" max="1" width="1.28515625" style="5" customWidth="1"/>
    <col min="2" max="2" width="1" style="5" customWidth="1"/>
    <col min="3" max="3" width="1.7109375" style="1" customWidth="1"/>
    <col min="4" max="4" width="50.7109375" style="1" customWidth="1"/>
    <col min="5" max="7" width="9.140625" style="1"/>
    <col min="8" max="8" width="9.140625" style="1" customWidth="1"/>
    <col min="9" max="10" width="9.140625" style="1"/>
    <col min="11" max="11" width="1.7109375" style="5" customWidth="1"/>
    <col min="12" max="16384" width="9.140625" style="1"/>
  </cols>
  <sheetData>
    <row r="1" spans="1:11" s="3" customFormat="1" ht="24" customHeight="1">
      <c r="A1" s="6"/>
      <c r="B1" s="6"/>
      <c r="K1" s="6"/>
    </row>
    <row r="2" spans="1:11" ht="60" customHeight="1">
      <c r="A2" s="173"/>
      <c r="B2" s="173"/>
      <c r="C2" s="173"/>
      <c r="D2" s="173"/>
      <c r="E2" s="173"/>
      <c r="F2" s="173"/>
      <c r="G2" s="173"/>
      <c r="H2" s="173"/>
      <c r="I2" s="173"/>
      <c r="J2" s="173"/>
      <c r="K2" s="173"/>
    </row>
    <row r="3" spans="1:11" ht="12" customHeight="1">
      <c r="A3" s="41" t="s">
        <v>21</v>
      </c>
      <c r="B3" s="41"/>
      <c r="C3" s="42"/>
      <c r="D3" s="42"/>
      <c r="K3" s="41"/>
    </row>
    <row r="4" spans="1:11" s="52" customFormat="1" ht="26.25">
      <c r="A4" s="49"/>
      <c r="B4" s="49"/>
      <c r="C4" s="50"/>
      <c r="D4" s="174" t="s">
        <v>39</v>
      </c>
      <c r="E4" s="51"/>
      <c r="F4" s="51"/>
      <c r="G4" s="51"/>
      <c r="H4" s="51"/>
      <c r="I4" s="51"/>
      <c r="J4" s="51"/>
      <c r="K4" s="49"/>
    </row>
    <row r="5" spans="1:11" s="43" customFormat="1" ht="19.5">
      <c r="A5" s="44"/>
      <c r="B5" s="44"/>
      <c r="C5" s="44"/>
      <c r="D5" s="175" t="s">
        <v>377</v>
      </c>
      <c r="E5" s="207"/>
      <c r="F5" s="207"/>
      <c r="G5" s="46"/>
      <c r="H5" s="46"/>
      <c r="I5" s="46"/>
      <c r="J5" s="46"/>
      <c r="K5" s="44"/>
    </row>
    <row r="6" spans="1:11" s="43" customFormat="1" ht="24" customHeight="1">
      <c r="A6" s="44"/>
      <c r="B6" s="44"/>
      <c r="C6" s="45"/>
      <c r="D6" s="45"/>
      <c r="E6" s="46"/>
      <c r="F6" s="46"/>
      <c r="G6" s="46"/>
      <c r="H6" s="46"/>
      <c r="I6" s="46"/>
      <c r="J6" s="46"/>
      <c r="K6" s="44"/>
    </row>
    <row r="7" spans="1:11" s="43" customFormat="1" ht="19.5" customHeight="1">
      <c r="A7" s="44"/>
      <c r="B7" s="44"/>
      <c r="C7" s="45"/>
      <c r="D7" s="45"/>
      <c r="E7" s="46"/>
      <c r="F7" s="46"/>
      <c r="G7" s="46"/>
      <c r="H7" s="46"/>
      <c r="I7" s="46"/>
      <c r="J7" s="46"/>
      <c r="K7" s="44"/>
    </row>
    <row r="8" spans="1:11" s="7" customFormat="1" ht="12" customHeight="1">
      <c r="A8" s="167"/>
      <c r="B8" s="167"/>
      <c r="C8" s="170" t="s">
        <v>155</v>
      </c>
      <c r="D8" s="171"/>
      <c r="E8" s="168"/>
      <c r="K8" s="167"/>
    </row>
    <row r="9" spans="1:11" s="7" customFormat="1" ht="12" customHeight="1">
      <c r="A9" s="167"/>
      <c r="B9" s="167"/>
      <c r="C9" s="169"/>
      <c r="D9" s="171"/>
      <c r="E9" s="168"/>
      <c r="K9" s="167"/>
    </row>
    <row r="10" spans="1:11" s="7" customFormat="1" ht="12" customHeight="1">
      <c r="A10" s="167"/>
      <c r="B10" s="167"/>
      <c r="C10" s="170" t="s">
        <v>223</v>
      </c>
      <c r="D10" s="171"/>
      <c r="E10" s="168"/>
      <c r="K10" s="167"/>
    </row>
    <row r="11" spans="1:11" s="7" customFormat="1" ht="12" customHeight="1">
      <c r="A11" s="167"/>
      <c r="B11" s="167"/>
      <c r="C11" s="170" t="s">
        <v>224</v>
      </c>
      <c r="D11" s="171"/>
      <c r="E11" s="168"/>
      <c r="K11" s="167"/>
    </row>
    <row r="12" spans="1:11" s="7" customFormat="1" ht="12" customHeight="1">
      <c r="A12" s="167"/>
      <c r="B12" s="167"/>
      <c r="C12" s="170"/>
      <c r="D12" s="171"/>
      <c r="E12" s="168"/>
      <c r="K12" s="167"/>
    </row>
    <row r="13" spans="1:11" s="426" customFormat="1" ht="12" customHeight="1">
      <c r="A13" s="167"/>
      <c r="B13" s="167"/>
      <c r="C13" s="170" t="s">
        <v>171</v>
      </c>
      <c r="D13" s="171"/>
      <c r="E13" s="171"/>
      <c r="K13" s="167"/>
    </row>
    <row r="14" spans="1:11" s="426" customFormat="1" ht="12" customHeight="1">
      <c r="A14" s="167"/>
      <c r="B14" s="167"/>
      <c r="C14" s="170" t="s">
        <v>165</v>
      </c>
      <c r="D14" s="171"/>
      <c r="E14" s="171"/>
      <c r="K14" s="167"/>
    </row>
    <row r="15" spans="1:11" s="426" customFormat="1" ht="12" customHeight="1">
      <c r="A15" s="167"/>
      <c r="B15" s="167"/>
      <c r="C15" s="170" t="s">
        <v>219</v>
      </c>
      <c r="D15" s="171"/>
      <c r="E15" s="171"/>
      <c r="H15" s="427"/>
      <c r="J15" s="427"/>
      <c r="K15" s="167"/>
    </row>
    <row r="16" spans="1:11" s="7" customFormat="1" ht="12" customHeight="1">
      <c r="A16" s="167"/>
      <c r="B16" s="167"/>
      <c r="C16" s="170"/>
      <c r="D16" s="171"/>
      <c r="E16" s="168"/>
      <c r="J16" s="85"/>
      <c r="K16" s="167"/>
    </row>
    <row r="17" spans="1:11" s="7" customFormat="1" ht="12" customHeight="1">
      <c r="A17" s="167"/>
      <c r="B17" s="167"/>
      <c r="C17" s="169" t="s">
        <v>173</v>
      </c>
      <c r="D17" s="171"/>
      <c r="E17" s="168"/>
      <c r="K17" s="167"/>
    </row>
    <row r="18" spans="1:11" s="7" customFormat="1" ht="12" customHeight="1">
      <c r="A18" s="167"/>
      <c r="B18" s="167"/>
      <c r="C18" s="169"/>
      <c r="D18" s="170" t="s">
        <v>174</v>
      </c>
      <c r="E18" s="168"/>
      <c r="K18" s="167"/>
    </row>
    <row r="19" spans="1:11" s="7" customFormat="1" ht="12" customHeight="1">
      <c r="A19" s="167"/>
      <c r="B19" s="167"/>
      <c r="C19" s="169"/>
      <c r="D19" s="170" t="s">
        <v>175</v>
      </c>
      <c r="E19" s="168"/>
      <c r="K19" s="167"/>
    </row>
    <row r="20" spans="1:11" s="7" customFormat="1" ht="12" customHeight="1">
      <c r="A20" s="167"/>
      <c r="B20" s="167"/>
      <c r="C20" s="169"/>
      <c r="D20" s="170"/>
      <c r="E20" s="168"/>
      <c r="K20" s="167"/>
    </row>
    <row r="21" spans="1:11" s="7" customFormat="1" ht="12" customHeight="1">
      <c r="A21" s="167"/>
      <c r="B21" s="167"/>
      <c r="C21" s="169" t="s">
        <v>176</v>
      </c>
      <c r="D21" s="171"/>
      <c r="E21" s="168"/>
      <c r="K21" s="167"/>
    </row>
    <row r="22" spans="1:11" s="7" customFormat="1" ht="12" customHeight="1">
      <c r="A22" s="167"/>
      <c r="B22" s="167"/>
      <c r="C22" s="169"/>
      <c r="D22" s="170" t="s">
        <v>177</v>
      </c>
      <c r="E22" s="168"/>
      <c r="K22" s="167"/>
    </row>
    <row r="23" spans="1:11" s="7" customFormat="1" ht="12" customHeight="1">
      <c r="A23" s="167"/>
      <c r="B23" s="167"/>
      <c r="C23" s="169"/>
      <c r="D23" s="170" t="s">
        <v>178</v>
      </c>
      <c r="E23" s="168"/>
      <c r="K23" s="167"/>
    </row>
    <row r="24" spans="1:11" s="7" customFormat="1" ht="12" customHeight="1">
      <c r="A24" s="167"/>
      <c r="B24" s="167"/>
      <c r="C24" s="169"/>
      <c r="D24" s="170" t="s">
        <v>179</v>
      </c>
      <c r="E24" s="168"/>
      <c r="K24" s="167"/>
    </row>
    <row r="25" spans="1:11" s="7" customFormat="1" ht="12" customHeight="1">
      <c r="A25" s="167"/>
      <c r="B25" s="167"/>
      <c r="C25" s="169"/>
      <c r="D25" s="170" t="s">
        <v>180</v>
      </c>
      <c r="E25" s="168"/>
      <c r="K25" s="167"/>
    </row>
    <row r="26" spans="1:11" s="7" customFormat="1" ht="12" customHeight="1">
      <c r="A26" s="167"/>
      <c r="B26" s="167"/>
      <c r="C26" s="169"/>
      <c r="D26" s="170"/>
      <c r="E26" s="168"/>
      <c r="K26" s="167"/>
    </row>
    <row r="27" spans="1:11" s="7" customFormat="1" ht="12" customHeight="1">
      <c r="A27" s="167"/>
      <c r="B27" s="167"/>
      <c r="C27" s="169" t="s">
        <v>181</v>
      </c>
      <c r="D27" s="171"/>
      <c r="E27" s="168"/>
      <c r="K27" s="167"/>
    </row>
    <row r="28" spans="1:11" s="7" customFormat="1" ht="12" customHeight="1">
      <c r="A28" s="167"/>
      <c r="B28" s="167"/>
      <c r="C28" s="169"/>
      <c r="D28" s="170" t="s">
        <v>182</v>
      </c>
      <c r="E28" s="168"/>
      <c r="K28" s="167"/>
    </row>
    <row r="29" spans="1:11" s="7" customFormat="1" ht="12" customHeight="1">
      <c r="A29" s="167"/>
      <c r="B29" s="167"/>
      <c r="C29" s="169"/>
      <c r="D29" s="170" t="s">
        <v>183</v>
      </c>
      <c r="E29" s="168"/>
      <c r="K29" s="167"/>
    </row>
    <row r="30" spans="1:11" s="7" customFormat="1" ht="12" customHeight="1">
      <c r="A30" s="167"/>
      <c r="B30" s="167"/>
      <c r="C30" s="169"/>
      <c r="D30" s="170" t="s">
        <v>184</v>
      </c>
      <c r="E30" s="168"/>
      <c r="K30" s="167"/>
    </row>
    <row r="31" spans="1:11" s="7" customFormat="1" ht="12" customHeight="1">
      <c r="A31" s="167"/>
      <c r="B31" s="167"/>
      <c r="C31" s="169"/>
      <c r="D31" s="170"/>
      <c r="E31" s="168"/>
      <c r="K31" s="167"/>
    </row>
    <row r="32" spans="1:11" s="7" customFormat="1" ht="12" customHeight="1">
      <c r="A32" s="167"/>
      <c r="B32" s="167"/>
      <c r="C32" s="169"/>
      <c r="D32" s="170"/>
      <c r="E32" s="168"/>
      <c r="K32" s="167"/>
    </row>
    <row r="33" spans="1:11" s="7" customFormat="1" ht="12" customHeight="1">
      <c r="A33" s="167"/>
      <c r="B33" s="167"/>
      <c r="C33" s="169" t="s">
        <v>185</v>
      </c>
      <c r="D33" s="171"/>
      <c r="E33" s="168"/>
      <c r="K33" s="167"/>
    </row>
    <row r="34" spans="1:11" s="7" customFormat="1" ht="12" customHeight="1">
      <c r="A34" s="167"/>
      <c r="B34" s="167"/>
      <c r="C34" s="169"/>
      <c r="D34" s="170" t="s">
        <v>186</v>
      </c>
      <c r="E34" s="168"/>
      <c r="K34" s="167"/>
    </row>
    <row r="35" spans="1:11" s="7" customFormat="1" ht="12" customHeight="1">
      <c r="A35" s="167"/>
      <c r="B35" s="167"/>
      <c r="C35" s="169"/>
      <c r="D35" s="170" t="s">
        <v>187</v>
      </c>
      <c r="E35" s="168"/>
      <c r="K35" s="167"/>
    </row>
    <row r="36" spans="1:11" s="7" customFormat="1" ht="12" customHeight="1">
      <c r="A36" s="167"/>
      <c r="B36" s="167"/>
      <c r="C36" s="169"/>
      <c r="D36" s="170"/>
      <c r="E36" s="168"/>
      <c r="K36" s="167"/>
    </row>
    <row r="37" spans="1:11" s="7" customFormat="1" ht="12" customHeight="1">
      <c r="A37" s="167"/>
      <c r="B37" s="167"/>
      <c r="C37" s="169" t="s">
        <v>188</v>
      </c>
      <c r="D37" s="171"/>
      <c r="E37" s="168"/>
      <c r="K37" s="167"/>
    </row>
    <row r="38" spans="1:11" s="7" customFormat="1" ht="12.75">
      <c r="A38" s="167"/>
      <c r="B38" s="167"/>
      <c r="C38" s="169"/>
      <c r="D38" s="170" t="s">
        <v>256</v>
      </c>
      <c r="E38" s="168"/>
      <c r="K38" s="167"/>
    </row>
    <row r="39" spans="1:11" s="7" customFormat="1" ht="12.75">
      <c r="A39" s="167"/>
      <c r="B39" s="167"/>
      <c r="C39" s="169"/>
      <c r="D39" s="170" t="s">
        <v>257</v>
      </c>
      <c r="E39" s="168"/>
      <c r="K39" s="167"/>
    </row>
    <row r="40" spans="1:11" s="7" customFormat="1" ht="12.75">
      <c r="A40" s="167"/>
      <c r="B40" s="167"/>
      <c r="C40" s="169"/>
      <c r="D40" s="170"/>
      <c r="E40" s="168"/>
      <c r="K40" s="167"/>
    </row>
    <row r="41" spans="1:11" s="7" customFormat="1" ht="14.25">
      <c r="A41" s="41"/>
      <c r="B41" s="47"/>
      <c r="C41" s="172"/>
      <c r="D41" s="172"/>
      <c r="E41" s="168"/>
      <c r="K41" s="167"/>
    </row>
    <row r="42" spans="1:11" ht="14.25">
      <c r="A42" s="41"/>
      <c r="B42" s="47"/>
      <c r="C42" s="172"/>
      <c r="D42" s="172"/>
      <c r="E42" s="48"/>
      <c r="K42" s="41"/>
    </row>
    <row r="43" spans="1:11" ht="14.25">
      <c r="A43" s="41"/>
      <c r="B43" s="47"/>
      <c r="C43" s="172"/>
      <c r="D43" s="172"/>
      <c r="E43" s="48"/>
      <c r="K43" s="41"/>
    </row>
    <row r="44" spans="1:11" ht="14.25">
      <c r="A44" s="41"/>
      <c r="B44" s="47"/>
      <c r="C44" s="2"/>
      <c r="D44" s="172"/>
      <c r="E44" s="48"/>
      <c r="K44" s="41"/>
    </row>
    <row r="45" spans="1:11" ht="14.25">
      <c r="A45" s="41"/>
      <c r="B45" s="41"/>
      <c r="C45" s="42"/>
      <c r="D45" s="42"/>
      <c r="K45" s="41"/>
    </row>
    <row r="46" spans="1:11" ht="14.25">
      <c r="A46" s="41"/>
      <c r="B46" s="41"/>
      <c r="C46" s="42"/>
      <c r="D46" s="42"/>
      <c r="K46" s="41"/>
    </row>
    <row r="47" spans="1:11" ht="14.25">
      <c r="A47" s="41"/>
      <c r="B47" s="41"/>
      <c r="C47" s="42"/>
      <c r="D47" s="42"/>
      <c r="K47" s="41"/>
    </row>
    <row r="48" spans="1:11" ht="22.5">
      <c r="A48" s="6"/>
      <c r="B48" s="6"/>
      <c r="C48" s="3"/>
      <c r="D48" s="3"/>
      <c r="K48" s="41"/>
    </row>
    <row r="49" spans="1:11" ht="14.25">
      <c r="A49" s="25"/>
      <c r="B49" s="25"/>
      <c r="K49" s="41"/>
    </row>
    <row r="50" spans="1:11" ht="22.5">
      <c r="A50" s="6"/>
      <c r="B50" s="6"/>
      <c r="C50" s="3"/>
      <c r="D50" s="3"/>
      <c r="K50" s="41"/>
    </row>
    <row r="51" spans="1:11" ht="14.25">
      <c r="A51" s="25"/>
      <c r="B51" s="25"/>
      <c r="K51" s="41"/>
    </row>
    <row r="52" spans="1:11" ht="22.5">
      <c r="A52" s="25"/>
      <c r="B52" s="25"/>
      <c r="K52" s="6"/>
    </row>
    <row r="53" spans="1:11" ht="14.25">
      <c r="A53" s="25"/>
      <c r="B53" s="25"/>
      <c r="K53" s="25"/>
    </row>
    <row r="54" spans="1:11" ht="22.5">
      <c r="A54" s="25"/>
      <c r="B54" s="25"/>
      <c r="K54" s="6"/>
    </row>
    <row r="55" spans="1:11" ht="14.25">
      <c r="A55" s="25"/>
      <c r="B55" s="25"/>
      <c r="K55" s="25"/>
    </row>
    <row r="56" spans="1:11" ht="14.25">
      <c r="A56" s="25"/>
      <c r="B56" s="25"/>
      <c r="K56" s="25"/>
    </row>
    <row r="57" spans="1:11" ht="14.25">
      <c r="A57" s="25"/>
      <c r="B57" s="25"/>
      <c r="K57" s="25"/>
    </row>
    <row r="58" spans="1:11" ht="14.25">
      <c r="A58" s="25"/>
      <c r="B58" s="25"/>
      <c r="K58" s="25"/>
    </row>
    <row r="59" spans="1:11" ht="14.25">
      <c r="A59" s="25"/>
      <c r="B59" s="25"/>
      <c r="K59" s="25"/>
    </row>
    <row r="60" spans="1:11" ht="14.25">
      <c r="A60" s="25"/>
      <c r="B60" s="25"/>
      <c r="K60" s="25"/>
    </row>
    <row r="61" spans="1:11" ht="14.25">
      <c r="A61" s="25"/>
      <c r="B61" s="25"/>
      <c r="K61" s="25"/>
    </row>
    <row r="62" spans="1:11" ht="14.25">
      <c r="A62" s="25"/>
      <c r="B62" s="25"/>
      <c r="K62" s="25"/>
    </row>
    <row r="63" spans="1:11" ht="14.25">
      <c r="A63" s="25"/>
      <c r="B63" s="25"/>
      <c r="K63" s="25"/>
    </row>
    <row r="64" spans="1:11" ht="14.25">
      <c r="A64" s="25"/>
      <c r="B64" s="25"/>
      <c r="K64" s="25"/>
    </row>
    <row r="65" spans="1:11" ht="14.25">
      <c r="A65" s="25"/>
      <c r="B65" s="25"/>
      <c r="K65" s="25"/>
    </row>
    <row r="66" spans="1:11" ht="14.25">
      <c r="A66" s="25"/>
      <c r="B66" s="25"/>
      <c r="K66" s="25"/>
    </row>
    <row r="67" spans="1:11" ht="14.25">
      <c r="A67" s="25"/>
      <c r="B67" s="25"/>
      <c r="K67" s="25"/>
    </row>
    <row r="68" spans="1:11" ht="14.25">
      <c r="A68" s="25"/>
      <c r="B68" s="25"/>
      <c r="K68" s="25"/>
    </row>
    <row r="69" spans="1:11" ht="14.25">
      <c r="A69" s="25"/>
      <c r="B69" s="25"/>
      <c r="K69" s="25"/>
    </row>
    <row r="70" spans="1:11" ht="14.25">
      <c r="A70" s="25"/>
      <c r="B70" s="25"/>
      <c r="K70" s="25"/>
    </row>
    <row r="71" spans="1:11" ht="14.25">
      <c r="A71" s="25"/>
      <c r="B71" s="25"/>
      <c r="K71" s="25"/>
    </row>
    <row r="72" spans="1:11" ht="14.25">
      <c r="A72" s="25"/>
      <c r="B72" s="25"/>
      <c r="K72" s="25"/>
    </row>
    <row r="73" spans="1:11" ht="14.25">
      <c r="A73" s="25"/>
      <c r="B73" s="25"/>
      <c r="K73" s="25"/>
    </row>
    <row r="74" spans="1:11" ht="14.25">
      <c r="A74" s="25"/>
      <c r="B74" s="25"/>
      <c r="K74" s="25"/>
    </row>
    <row r="75" spans="1:11" ht="14.25">
      <c r="A75" s="25"/>
      <c r="B75" s="25"/>
      <c r="K75" s="25"/>
    </row>
    <row r="76" spans="1:11" ht="14.25">
      <c r="A76" s="25"/>
      <c r="B76" s="25"/>
      <c r="K76" s="25"/>
    </row>
    <row r="77" spans="1:11" ht="14.25">
      <c r="A77" s="25"/>
      <c r="B77" s="25"/>
      <c r="K77" s="25"/>
    </row>
    <row r="78" spans="1:11" ht="14.25">
      <c r="A78" s="25"/>
      <c r="B78" s="25"/>
      <c r="K78" s="25"/>
    </row>
    <row r="79" spans="1:11" ht="14.25">
      <c r="A79" s="25"/>
      <c r="B79" s="25"/>
      <c r="K79" s="25"/>
    </row>
    <row r="80" spans="1:11" ht="14.25">
      <c r="A80" s="25"/>
      <c r="B80" s="25"/>
      <c r="K80" s="25"/>
    </row>
    <row r="81" spans="1:11" ht="14.25">
      <c r="A81" s="25"/>
      <c r="B81" s="25"/>
      <c r="K81" s="25"/>
    </row>
    <row r="82" spans="1:11" ht="14.25">
      <c r="A82" s="25"/>
      <c r="B82" s="25"/>
      <c r="K82" s="25"/>
    </row>
    <row r="83" spans="1:11" ht="14.25">
      <c r="A83" s="25"/>
      <c r="B83" s="25"/>
      <c r="K83" s="25"/>
    </row>
    <row r="84" spans="1:11" ht="14.25">
      <c r="A84" s="25"/>
      <c r="B84" s="25"/>
      <c r="K84" s="25"/>
    </row>
    <row r="85" spans="1:11" ht="14.25">
      <c r="A85" s="25"/>
      <c r="B85" s="25"/>
      <c r="K85" s="25"/>
    </row>
    <row r="86" spans="1:11" ht="14.25">
      <c r="A86" s="25"/>
      <c r="B86" s="25"/>
      <c r="K86" s="25"/>
    </row>
    <row r="87" spans="1:11" ht="14.25">
      <c r="A87" s="25"/>
      <c r="B87" s="25"/>
      <c r="K87" s="25"/>
    </row>
    <row r="88" spans="1:11" ht="14.25">
      <c r="A88" s="25"/>
      <c r="B88" s="25"/>
      <c r="K88" s="25"/>
    </row>
    <row r="89" spans="1:11" ht="14.25">
      <c r="A89" s="25"/>
      <c r="B89" s="25"/>
      <c r="K89" s="25"/>
    </row>
    <row r="90" spans="1:11" ht="14.25">
      <c r="A90" s="25"/>
      <c r="B90" s="25"/>
      <c r="K90" s="25"/>
    </row>
    <row r="91" spans="1:11" ht="14.25">
      <c r="A91" s="25"/>
      <c r="B91" s="25"/>
      <c r="K91" s="25"/>
    </row>
    <row r="92" spans="1:11" ht="14.25">
      <c r="A92" s="25"/>
      <c r="B92" s="25"/>
      <c r="K92" s="25"/>
    </row>
    <row r="93" spans="1:11" ht="14.25">
      <c r="A93" s="25"/>
      <c r="B93" s="25"/>
      <c r="K93" s="25"/>
    </row>
    <row r="94" spans="1:11">
      <c r="K94" s="25"/>
    </row>
    <row r="95" spans="1:11">
      <c r="K95" s="25"/>
    </row>
    <row r="96" spans="1:11">
      <c r="K96" s="25"/>
    </row>
    <row r="97" spans="1:11">
      <c r="K97" s="25"/>
    </row>
    <row r="109" spans="1:11">
      <c r="A109" s="1"/>
      <c r="B109" s="1"/>
    </row>
    <row r="110" spans="1:11">
      <c r="A110" s="1"/>
      <c r="B110" s="1"/>
    </row>
    <row r="111" spans="1:11">
      <c r="A111" s="1"/>
      <c r="B111" s="1"/>
    </row>
    <row r="112" spans="1:11">
      <c r="A112" s="1"/>
      <c r="B112" s="1"/>
    </row>
    <row r="113" spans="1:11" ht="12">
      <c r="A113" s="1"/>
      <c r="B113" s="1"/>
      <c r="K113" s="1"/>
    </row>
    <row r="114" spans="1:11" ht="12">
      <c r="A114" s="1"/>
      <c r="B114" s="1"/>
      <c r="K114" s="1"/>
    </row>
    <row r="115" spans="1:11" ht="12">
      <c r="A115" s="1"/>
      <c r="B115" s="1"/>
      <c r="K115" s="1"/>
    </row>
    <row r="116" spans="1:11" ht="12">
      <c r="A116" s="1"/>
      <c r="B116" s="1"/>
      <c r="K116" s="1"/>
    </row>
    <row r="117" spans="1:11" ht="12">
      <c r="A117" s="1"/>
      <c r="B117" s="1"/>
      <c r="K117" s="1"/>
    </row>
    <row r="118" spans="1:11" ht="12">
      <c r="A118" s="1"/>
      <c r="B118" s="1"/>
      <c r="K118" s="1"/>
    </row>
    <row r="119" spans="1:11" ht="12">
      <c r="A119" s="1"/>
      <c r="B119" s="1"/>
      <c r="K119" s="1"/>
    </row>
    <row r="120" spans="1:11" ht="12">
      <c r="A120" s="1"/>
      <c r="B120" s="1"/>
      <c r="K120" s="1"/>
    </row>
    <row r="121" spans="1:11" ht="12">
      <c r="A121" s="1"/>
      <c r="B121" s="1"/>
      <c r="K121" s="1"/>
    </row>
    <row r="122" spans="1:11">
      <c r="K122" s="1"/>
    </row>
    <row r="123" spans="1:11">
      <c r="K123" s="1"/>
    </row>
    <row r="124" spans="1:11">
      <c r="K124" s="1"/>
    </row>
    <row r="125" spans="1:11">
      <c r="K125" s="1"/>
    </row>
  </sheetData>
  <phoneticPr fontId="7" type="noConversion"/>
  <hyperlinks>
    <hyperlink ref="C8" location="FH!A1" display="재무현황" xr:uid="{00000000-0004-0000-0000-000000000000}"/>
    <hyperlink ref="D18" location="Stability!A1" display="재무 안정성 (Financial Stability)" xr:uid="{00000000-0004-0000-0000-000001000000}"/>
    <hyperlink ref="D19" location="Productivity!A1" display="생산성 / 경영효율 (Productivity / Operating Efficiency)" xr:uid="{00000000-0004-0000-0000-000002000000}"/>
    <hyperlink ref="D23" location="'Premium Income by P.T.(GA+SA)'!A1" display="상품별 수입보험료 (Premium Income)" xr:uid="{00000000-0004-0000-0000-000003000000}"/>
    <hyperlink ref="D24" location="'Initial P. by P.T.'!A1" display="상품별 초회보험료 (Initial Premium)" xr:uid="{00000000-0004-0000-0000-000004000000}"/>
    <hyperlink ref="D25" location="'First-year P. by P.T.'!A1" display="상품별 초년도보험료 (First Year Premium)" xr:uid="{00000000-0004-0000-0000-000005000000}"/>
    <hyperlink ref="D29" location="'Premium Income by D.C.(GA+SA)'!A1" display="채널별 수입보험료 (Premium Income)" xr:uid="{00000000-0004-0000-0000-000006000000}"/>
    <hyperlink ref="D30" location="'First-year P. by D.C'!A1" display="채널별 초년도보험료 (First Year Premium)" xr:uid="{00000000-0004-0000-0000-000007000000}"/>
    <hyperlink ref="D34" location="'&gt;Loan'!A1" display="대출 (Loan)/ 자산건전성 (Asset Quality of Loan)" xr:uid="{00000000-0004-0000-0000-000008000000}"/>
    <hyperlink ref="D35" location="'&gt;Bond'!A1" display="채권 (Bond)" xr:uid="{00000000-0004-0000-0000-000009000000}"/>
    <hyperlink ref="D38" location="'BS  K-IFRS'!A1" display="재무상태표 (Balance Sheet - KIFRS)" xr:uid="{00000000-0004-0000-0000-00000A000000}"/>
    <hyperlink ref="D39" location="'IS  K-IFRS'!A1" display="손익계산서 (Income Statement - KIFRS)" xr:uid="{00000000-0004-0000-0000-00000B000000}"/>
    <hyperlink ref="C13" location="CSM!A1" display="RA, CSM, BEL Movement" xr:uid="{00000000-0004-0000-0000-00000C000000}"/>
    <hyperlink ref="C14" location="CSM!A1" display="신계약 CSM (New Business CSM)" xr:uid="{00000000-0004-0000-0000-00000D000000}"/>
    <hyperlink ref="C15" location="CSM!A1" display="신계약 CSM 배수 (New Business CSM Margin)" xr:uid="{00000000-0004-0000-0000-00000E000000}"/>
    <hyperlink ref="D22" location="'APE by P.T'!A1" display="상품별 APE (Annualized Premium Equivalent (APE))" xr:uid="{00000000-0004-0000-0000-00000F000000}"/>
    <hyperlink ref="D28" location="'APE by D.C'!A1" display="채널별 APE (Annualized Premium Equivalent (APE))" xr:uid="{00000000-0004-0000-0000-000010000000}"/>
    <hyperlink ref="C11" location="FS!A1" display="요약손익계산서 (Selected Income Statement)" xr:uid="{00000000-0004-0000-0000-000011000000}"/>
    <hyperlink ref="C10" location="FS!A1" display="요약재무상태표 (Selected Balance sheet)" xr:uid="{00000000-0004-0000-0000-000012000000}"/>
  </hyperlinks>
  <printOptions horizontalCentered="1"/>
  <pageMargins left="0.70866141732283472" right="0.70866141732283472" top="0.74803149606299213" bottom="0.74803149606299213" header="0.31496062992125984" footer="0.31496062992125984"/>
  <pageSetup paperSize="9" scale="9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76"/>
  <sheetViews>
    <sheetView showGridLines="0" zoomScale="85" zoomScaleNormal="85" zoomScaleSheetLayoutView="11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36.28515625" style="1" customWidth="1"/>
    <col min="10" max="15" width="10.7109375" style="1" customWidth="1"/>
    <col min="16" max="17" width="10.7109375" style="1" hidden="1" customWidth="1"/>
    <col min="18" max="18" width="22.7109375" style="1" bestFit="1" customWidth="1"/>
    <col min="19" max="16384" width="9.140625" style="1"/>
  </cols>
  <sheetData>
    <row r="1" spans="1:25" s="3" customFormat="1" ht="24" customHeight="1">
      <c r="A1" s="447"/>
      <c r="F1" s="74" t="s">
        <v>28</v>
      </c>
      <c r="G1" s="74"/>
      <c r="H1" s="75"/>
      <c r="I1" s="75"/>
    </row>
    <row r="2" spans="1:25" ht="12" customHeight="1">
      <c r="A2" s="133"/>
      <c r="B2" s="134"/>
      <c r="C2" s="134"/>
      <c r="F2" s="76" t="s">
        <v>43</v>
      </c>
      <c r="G2" s="76"/>
      <c r="H2" s="76"/>
      <c r="I2" s="76"/>
      <c r="J2" s="258">
        <v>45747</v>
      </c>
      <c r="K2" s="258">
        <v>45838</v>
      </c>
      <c r="L2" s="258">
        <v>45930</v>
      </c>
      <c r="M2" s="664">
        <v>46022</v>
      </c>
      <c r="N2" s="663">
        <v>46112</v>
      </c>
      <c r="O2" s="258">
        <v>46203</v>
      </c>
      <c r="P2" s="258">
        <v>46295</v>
      </c>
      <c r="Q2" s="664">
        <v>46387</v>
      </c>
    </row>
    <row r="3" spans="1:25" ht="12" customHeight="1">
      <c r="A3" s="133" t="s">
        <v>27</v>
      </c>
      <c r="B3" s="134"/>
      <c r="C3" s="134"/>
      <c r="F3" s="176" t="s">
        <v>42</v>
      </c>
      <c r="G3" s="77"/>
      <c r="H3" s="77"/>
      <c r="I3" s="77"/>
      <c r="J3" s="259"/>
      <c r="K3" s="259"/>
      <c r="L3" s="259"/>
      <c r="M3" s="344"/>
      <c r="N3" s="259"/>
      <c r="O3" s="259"/>
      <c r="P3" s="259"/>
      <c r="Q3" s="344"/>
    </row>
    <row r="4" spans="1:25" ht="12" customHeight="1">
      <c r="A4" s="133"/>
      <c r="B4" s="134"/>
      <c r="C4" s="134"/>
      <c r="F4" s="78" t="s">
        <v>202</v>
      </c>
      <c r="G4" s="78"/>
      <c r="H4" s="78"/>
      <c r="I4" s="78"/>
      <c r="J4" s="567">
        <v>35159.109568600004</v>
      </c>
      <c r="K4" s="568">
        <v>35613.337341861996</v>
      </c>
      <c r="L4" s="568">
        <v>35694.262764644001</v>
      </c>
      <c r="M4" s="569">
        <v>35347.237061940003</v>
      </c>
      <c r="N4" s="567">
        <v>34495.304081192997</v>
      </c>
      <c r="O4" s="672">
        <v>35287.666008993998</v>
      </c>
      <c r="P4" s="672"/>
      <c r="Q4" s="673"/>
      <c r="R4" s="473"/>
    </row>
    <row r="5" spans="1:25" ht="12" customHeight="1">
      <c r="A5" s="143"/>
      <c r="B5" s="133" t="s">
        <v>155</v>
      </c>
      <c r="C5" s="133"/>
      <c r="D5" s="48"/>
      <c r="F5" s="79"/>
      <c r="G5" s="545" t="s">
        <v>44</v>
      </c>
      <c r="H5" s="545"/>
      <c r="I5" s="545"/>
      <c r="J5" s="570">
        <v>32574.976863838001</v>
      </c>
      <c r="K5" s="570">
        <v>33014.313918542997</v>
      </c>
      <c r="L5" s="570">
        <v>33114.563276979003</v>
      </c>
      <c r="M5" s="571">
        <v>32704.988032254005</v>
      </c>
      <c r="N5" s="570">
        <v>31850.898453808997</v>
      </c>
      <c r="O5" s="661">
        <v>32334.841411570003</v>
      </c>
      <c r="P5" s="661"/>
      <c r="Q5" s="665"/>
    </row>
    <row r="6" spans="1:25" ht="12" customHeight="1">
      <c r="A6" s="143"/>
      <c r="B6" s="142"/>
      <c r="C6" s="134"/>
      <c r="D6" s="48"/>
      <c r="F6" s="80" t="s">
        <v>45</v>
      </c>
      <c r="G6" s="80"/>
      <c r="H6" s="80"/>
      <c r="I6" s="80"/>
      <c r="J6" s="572">
        <v>33673.417913091005</v>
      </c>
      <c r="K6" s="573">
        <v>33960.729601216</v>
      </c>
      <c r="L6" s="573">
        <v>34351.542878457993</v>
      </c>
      <c r="M6" s="574">
        <v>33798.362384316999</v>
      </c>
      <c r="N6" s="572">
        <v>32650.991058858999</v>
      </c>
      <c r="O6" s="674">
        <v>32950.69941832</v>
      </c>
      <c r="P6" s="674"/>
      <c r="Q6" s="675"/>
      <c r="R6" s="596"/>
    </row>
    <row r="7" spans="1:25" ht="12" customHeight="1">
      <c r="A7" s="143"/>
      <c r="B7" s="142" t="s">
        <v>212</v>
      </c>
      <c r="C7" s="134"/>
      <c r="D7" s="48"/>
      <c r="G7" s="100" t="s">
        <v>243</v>
      </c>
      <c r="H7" s="100"/>
      <c r="I7" s="100"/>
      <c r="J7" s="570">
        <v>2661.1771350059998</v>
      </c>
      <c r="K7" s="570">
        <v>2744.235267686</v>
      </c>
      <c r="L7" s="570">
        <v>2796.980899876</v>
      </c>
      <c r="M7" s="571">
        <v>2457.0954806220002</v>
      </c>
      <c r="N7" s="570">
        <v>2510.8346162839998</v>
      </c>
      <c r="O7" s="661">
        <v>2645.7061881109998</v>
      </c>
      <c r="P7" s="661"/>
      <c r="Q7" s="665"/>
    </row>
    <row r="8" spans="1:25" ht="12" customHeight="1">
      <c r="A8" s="143"/>
      <c r="B8" s="142" t="s">
        <v>213</v>
      </c>
      <c r="C8" s="134"/>
      <c r="D8" s="48"/>
      <c r="G8" s="100" t="s">
        <v>203</v>
      </c>
      <c r="H8" s="100"/>
      <c r="I8" s="100"/>
      <c r="J8" s="570">
        <v>190.38142138493527</v>
      </c>
      <c r="K8" s="570">
        <v>302.88628537201737</v>
      </c>
      <c r="L8" s="570">
        <v>425.8484432181387</v>
      </c>
      <c r="M8" s="571">
        <v>529.1322275170121</v>
      </c>
      <c r="N8" s="570">
        <v>94.465158224271192</v>
      </c>
      <c r="O8" s="661">
        <v>242.48659187479291</v>
      </c>
      <c r="P8" s="661"/>
      <c r="Q8" s="665"/>
    </row>
    <row r="9" spans="1:25" ht="12" customHeight="1">
      <c r="A9" s="143"/>
      <c r="B9" s="142"/>
      <c r="C9" s="134"/>
      <c r="D9" s="48"/>
      <c r="F9" s="80" t="s">
        <v>46</v>
      </c>
      <c r="G9" s="80"/>
      <c r="H9" s="80"/>
      <c r="I9" s="80"/>
      <c r="J9" s="572">
        <v>1485.6916555090002</v>
      </c>
      <c r="K9" s="573">
        <v>1652.6077406460004</v>
      </c>
      <c r="L9" s="573">
        <v>1342.7198861860002</v>
      </c>
      <c r="M9" s="574">
        <v>1548.8746776229998</v>
      </c>
      <c r="N9" s="572">
        <v>1844.3130223339999</v>
      </c>
      <c r="O9" s="674">
        <v>2336.9665906740001</v>
      </c>
      <c r="P9" s="674"/>
      <c r="Q9" s="675"/>
    </row>
    <row r="10" spans="1:25" ht="12" customHeight="1">
      <c r="A10" s="133"/>
      <c r="B10" s="142" t="s">
        <v>171</v>
      </c>
      <c r="C10" s="134"/>
      <c r="D10" s="48"/>
      <c r="F10" s="81" t="s">
        <v>47</v>
      </c>
      <c r="G10" s="81"/>
      <c r="H10" s="81"/>
      <c r="I10" s="81"/>
      <c r="J10" s="575">
        <f t="shared" ref="J10:O10" si="0">SUM(J11:J12)</f>
        <v>993.99902702699967</v>
      </c>
      <c r="K10" s="575">
        <f t="shared" si="0"/>
        <v>2060.3061776170002</v>
      </c>
      <c r="L10" s="575">
        <f t="shared" si="0"/>
        <v>3290.0985828900007</v>
      </c>
      <c r="M10" s="576">
        <f t="shared" si="0"/>
        <v>4814.4476407730008</v>
      </c>
      <c r="N10" s="575">
        <f t="shared" si="0"/>
        <v>1237.0424922760008</v>
      </c>
      <c r="O10" s="676">
        <f t="shared" si="0"/>
        <v>3598.2557214800026</v>
      </c>
      <c r="P10" s="676"/>
      <c r="Q10" s="677"/>
      <c r="S10" s="222"/>
    </row>
    <row r="11" spans="1:25" ht="12" customHeight="1">
      <c r="A11" s="133"/>
      <c r="B11" s="142" t="s">
        <v>166</v>
      </c>
      <c r="C11" s="134"/>
      <c r="D11" s="48"/>
      <c r="F11" s="79"/>
      <c r="G11" s="545" t="s">
        <v>48</v>
      </c>
      <c r="H11" s="545"/>
      <c r="I11" s="545"/>
      <c r="J11" s="570">
        <v>900.07485542499967</v>
      </c>
      <c r="K11" s="570">
        <v>1828.9107769300001</v>
      </c>
      <c r="L11" s="570">
        <v>3001.2197416610006</v>
      </c>
      <c r="M11" s="571">
        <v>3986.933932976001</v>
      </c>
      <c r="N11" s="570">
        <v>1108.0865559950007</v>
      </c>
      <c r="O11" s="661">
        <v>2393.8077338050025</v>
      </c>
      <c r="P11" s="661"/>
      <c r="Q11" s="665"/>
      <c r="S11" s="222"/>
    </row>
    <row r="12" spans="1:25" ht="12" customHeight="1">
      <c r="A12" s="133"/>
      <c r="B12" s="142" t="s">
        <v>219</v>
      </c>
      <c r="C12" s="134"/>
      <c r="D12" s="48"/>
      <c r="F12" s="79"/>
      <c r="G12" s="545" t="s">
        <v>74</v>
      </c>
      <c r="H12" s="545"/>
      <c r="I12" s="545"/>
      <c r="J12" s="570">
        <v>93.924171602000001</v>
      </c>
      <c r="K12" s="570">
        <v>231.39540068700001</v>
      </c>
      <c r="L12" s="570">
        <v>288.87884122900005</v>
      </c>
      <c r="M12" s="571">
        <v>827.51370779699982</v>
      </c>
      <c r="N12" s="570">
        <v>128.95593628099999</v>
      </c>
      <c r="O12" s="661">
        <v>1204.4479876750001</v>
      </c>
      <c r="P12" s="661"/>
      <c r="Q12" s="665"/>
      <c r="S12" s="222"/>
    </row>
    <row r="13" spans="1:25" ht="12" customHeight="1">
      <c r="A13" s="133"/>
      <c r="B13" s="142"/>
      <c r="C13" s="134"/>
      <c r="D13" s="48"/>
      <c r="F13" s="80" t="s">
        <v>156</v>
      </c>
      <c r="G13" s="100"/>
      <c r="H13" s="100"/>
      <c r="I13" s="100"/>
      <c r="J13" s="577">
        <v>4.0710674249999954</v>
      </c>
      <c r="K13" s="577">
        <v>70.419566477000004</v>
      </c>
      <c r="L13" s="577">
        <v>94.982298655000093</v>
      </c>
      <c r="M13" s="578">
        <v>113.7708135980001</v>
      </c>
      <c r="N13" s="577">
        <v>22.385999999999999</v>
      </c>
      <c r="O13" s="678">
        <v>97.012121776999962</v>
      </c>
      <c r="P13" s="678"/>
      <c r="Q13" s="679"/>
      <c r="R13" s="524"/>
      <c r="S13" s="63"/>
      <c r="T13" s="63"/>
    </row>
    <row r="14" spans="1:25" ht="12" customHeight="1">
      <c r="A14" s="133"/>
      <c r="B14" s="133" t="s">
        <v>173</v>
      </c>
      <c r="C14" s="134"/>
      <c r="D14" s="48"/>
      <c r="F14" s="246" t="s">
        <v>157</v>
      </c>
      <c r="G14" s="100"/>
      <c r="H14" s="100"/>
      <c r="I14" s="100"/>
      <c r="J14" s="577">
        <v>54.593749300999988</v>
      </c>
      <c r="K14" s="577">
        <v>29.633784729000062</v>
      </c>
      <c r="L14" s="577">
        <v>52.81492007099969</v>
      </c>
      <c r="M14" s="578">
        <v>85.040865586000606</v>
      </c>
      <c r="N14" s="577">
        <v>8.7189999999999994</v>
      </c>
      <c r="O14" s="678">
        <v>20.931990287999525</v>
      </c>
      <c r="P14" s="678"/>
      <c r="Q14" s="679"/>
      <c r="R14" s="63"/>
      <c r="S14" s="63"/>
      <c r="T14" s="63"/>
      <c r="U14" s="63"/>
      <c r="V14" s="63"/>
      <c r="W14" s="63"/>
      <c r="X14" s="63"/>
      <c r="Y14" s="63"/>
    </row>
    <row r="15" spans="1:25" ht="12" customHeight="1">
      <c r="A15" s="133"/>
      <c r="B15" s="135"/>
      <c r="C15" s="142" t="s">
        <v>40</v>
      </c>
      <c r="D15" s="48"/>
      <c r="F15" s="80" t="s">
        <v>49</v>
      </c>
      <c r="G15" s="79"/>
      <c r="H15" s="79"/>
      <c r="I15" s="79"/>
      <c r="J15" s="577">
        <v>58.664816725999998</v>
      </c>
      <c r="K15" s="577">
        <v>100.053351206</v>
      </c>
      <c r="L15" s="577">
        <v>147.79721872600001</v>
      </c>
      <c r="M15" s="578">
        <v>198.81167918400001</v>
      </c>
      <c r="N15" s="577">
        <v>31.103999999999999</v>
      </c>
      <c r="O15" s="678">
        <v>117.944112065</v>
      </c>
      <c r="P15" s="678"/>
      <c r="Q15" s="679"/>
      <c r="R15" s="63"/>
      <c r="S15" s="63"/>
      <c r="T15" s="63"/>
      <c r="U15" s="63"/>
      <c r="V15" s="63"/>
      <c r="W15" s="63"/>
      <c r="X15" s="63"/>
      <c r="Y15" s="63"/>
    </row>
    <row r="16" spans="1:25" ht="12" customHeight="1">
      <c r="A16" s="133"/>
      <c r="B16" s="133"/>
      <c r="C16" s="142" t="s">
        <v>41</v>
      </c>
      <c r="D16" s="48"/>
      <c r="F16" s="80" t="s">
        <v>158</v>
      </c>
      <c r="G16" s="79"/>
      <c r="H16" s="79"/>
      <c r="I16" s="79"/>
      <c r="J16" s="577">
        <v>-5.0065736919999999</v>
      </c>
      <c r="K16" s="577">
        <v>-3.925442232</v>
      </c>
      <c r="L16" s="577">
        <v>-21.179163041999999</v>
      </c>
      <c r="M16" s="578">
        <v>-23.383388642999996</v>
      </c>
      <c r="N16" s="577">
        <v>-0.10499999999999998</v>
      </c>
      <c r="O16" s="678">
        <v>2.6363819890000002</v>
      </c>
      <c r="P16" s="678"/>
      <c r="Q16" s="679"/>
      <c r="R16" s="63"/>
      <c r="S16" s="63"/>
      <c r="T16" s="63"/>
    </row>
    <row r="17" spans="1:20" ht="12" customHeight="1">
      <c r="A17" s="133"/>
      <c r="B17" s="133"/>
      <c r="C17" s="142"/>
      <c r="D17" s="48"/>
      <c r="F17" s="80" t="s">
        <v>159</v>
      </c>
      <c r="G17" s="79"/>
      <c r="H17" s="79"/>
      <c r="I17" s="79"/>
      <c r="J17" s="577">
        <v>53.658243034000002</v>
      </c>
      <c r="K17" s="577">
        <v>96.127908973999993</v>
      </c>
      <c r="L17" s="577">
        <v>126.618055684</v>
      </c>
      <c r="M17" s="578">
        <v>175.428290541</v>
      </c>
      <c r="N17" s="577">
        <v>31</v>
      </c>
      <c r="O17" s="678">
        <v>120.580494054</v>
      </c>
      <c r="P17" s="678"/>
      <c r="Q17" s="679"/>
      <c r="R17" s="63"/>
      <c r="S17" s="63"/>
      <c r="T17" s="63"/>
    </row>
    <row r="18" spans="1:20" ht="12" customHeight="1">
      <c r="A18" s="133"/>
      <c r="B18" s="133" t="s">
        <v>176</v>
      </c>
      <c r="C18" s="142"/>
      <c r="D18" s="48"/>
      <c r="F18" s="260" t="s">
        <v>50</v>
      </c>
      <c r="G18" s="260"/>
      <c r="H18" s="260"/>
      <c r="I18" s="260"/>
      <c r="J18" s="579">
        <v>46.194080006</v>
      </c>
      <c r="K18" s="579">
        <v>82.412271501000006</v>
      </c>
      <c r="L18" s="579">
        <v>109.856386323</v>
      </c>
      <c r="M18" s="580">
        <v>124.493636544</v>
      </c>
      <c r="N18" s="579">
        <v>25.024000000000001</v>
      </c>
      <c r="O18" s="680">
        <v>91.929676842999996</v>
      </c>
      <c r="P18" s="680"/>
      <c r="Q18" s="681"/>
      <c r="R18" s="63"/>
      <c r="S18" s="63"/>
      <c r="T18" s="63"/>
    </row>
    <row r="19" spans="1:20" ht="12" customHeight="1">
      <c r="A19" s="133"/>
      <c r="B19" s="133"/>
      <c r="C19" s="142" t="s">
        <v>33</v>
      </c>
      <c r="D19" s="48"/>
      <c r="F19" s="545"/>
      <c r="G19" s="529"/>
      <c r="H19" s="529"/>
      <c r="I19" s="529"/>
      <c r="J19" s="564"/>
      <c r="K19" s="564"/>
      <c r="L19" s="564"/>
      <c r="M19" s="529"/>
      <c r="N19" s="529"/>
      <c r="O19" s="529"/>
      <c r="P19" s="529"/>
      <c r="Q19" s="529"/>
    </row>
    <row r="20" spans="1:20" ht="12" customHeight="1">
      <c r="A20" s="133"/>
      <c r="B20" s="133"/>
      <c r="C20" s="142" t="s">
        <v>29</v>
      </c>
      <c r="D20" s="48"/>
      <c r="F20" s="100"/>
      <c r="G20" s="100"/>
      <c r="H20" s="100"/>
      <c r="I20" s="100"/>
      <c r="J20" s="100"/>
      <c r="K20" s="529"/>
      <c r="L20" s="100"/>
      <c r="M20" s="623"/>
      <c r="N20" s="623"/>
      <c r="O20" s="623"/>
      <c r="P20" s="623"/>
      <c r="Q20" s="623"/>
    </row>
    <row r="21" spans="1:20" s="473" customFormat="1" ht="12" customHeight="1">
      <c r="A21" s="133"/>
      <c r="B21" s="133"/>
      <c r="C21" s="142" t="s">
        <v>30</v>
      </c>
      <c r="D21" s="563"/>
      <c r="F21" s="100"/>
      <c r="G21" s="100"/>
      <c r="H21" s="100"/>
      <c r="I21" s="100"/>
      <c r="J21" s="100"/>
      <c r="K21" s="100"/>
      <c r="L21" s="100"/>
      <c r="M21" s="624"/>
      <c r="N21" s="624"/>
      <c r="O21" s="624"/>
      <c r="P21" s="624"/>
      <c r="Q21" s="624"/>
    </row>
    <row r="22" spans="1:20" ht="12" customHeight="1">
      <c r="A22" s="133"/>
      <c r="B22" s="133"/>
      <c r="C22" s="142" t="s">
        <v>31</v>
      </c>
      <c r="D22" s="48"/>
      <c r="F22" s="76" t="s">
        <v>43</v>
      </c>
      <c r="G22" s="76"/>
      <c r="H22" s="76"/>
      <c r="I22" s="76"/>
      <c r="J22" s="258">
        <v>45747</v>
      </c>
      <c r="K22" s="258">
        <v>45838</v>
      </c>
      <c r="L22" s="258">
        <v>45930</v>
      </c>
      <c r="M22" s="664">
        <v>46022</v>
      </c>
      <c r="N22" s="663">
        <v>46112</v>
      </c>
      <c r="O22" s="258">
        <v>46203</v>
      </c>
      <c r="P22" s="258">
        <v>46295</v>
      </c>
      <c r="Q22" s="664">
        <v>46387</v>
      </c>
    </row>
    <row r="23" spans="1:20" ht="12" customHeight="1">
      <c r="A23" s="133"/>
      <c r="B23" s="133"/>
      <c r="C23" s="142"/>
      <c r="D23" s="48"/>
      <c r="F23" s="176" t="s">
        <v>42</v>
      </c>
      <c r="G23" s="77"/>
      <c r="H23" s="77"/>
      <c r="I23" s="77"/>
      <c r="J23" s="24"/>
      <c r="K23" s="24"/>
      <c r="L23" s="24"/>
      <c r="M23" s="345"/>
      <c r="N23" s="24"/>
      <c r="O23" s="24"/>
      <c r="P23" s="24"/>
      <c r="Q23" s="345"/>
    </row>
    <row r="24" spans="1:20" ht="12" customHeight="1">
      <c r="A24" s="133"/>
      <c r="B24" s="133" t="s">
        <v>181</v>
      </c>
      <c r="C24" s="142"/>
      <c r="D24" s="48"/>
      <c r="F24" s="81" t="s">
        <v>51</v>
      </c>
      <c r="G24" s="81"/>
      <c r="H24" s="81"/>
      <c r="I24" s="81"/>
      <c r="J24" s="581">
        <v>3.8222661024777338E-2</v>
      </c>
      <c r="K24" s="581">
        <v>3.4722378929815487E-2</v>
      </c>
      <c r="L24" s="581">
        <v>3.5294827575510647E-2</v>
      </c>
      <c r="M24" s="582">
        <v>3.4280119531898391E-2</v>
      </c>
      <c r="N24" s="581">
        <v>3.5862481977833045E-2</v>
      </c>
      <c r="O24" s="491">
        <v>3.566646938696591E-2</v>
      </c>
      <c r="P24" s="491"/>
      <c r="Q24" s="666"/>
    </row>
    <row r="25" spans="1:20" ht="12" customHeight="1">
      <c r="A25" s="133"/>
      <c r="B25" s="133"/>
      <c r="C25" s="142" t="s">
        <v>32</v>
      </c>
      <c r="D25" s="48"/>
      <c r="F25" s="81" t="s">
        <v>211</v>
      </c>
      <c r="G25" s="81"/>
      <c r="H25" s="81"/>
      <c r="I25" s="81"/>
      <c r="J25" s="392">
        <v>1.2716316131756702</v>
      </c>
      <c r="K25" s="392">
        <v>1.7696418912290659</v>
      </c>
      <c r="L25" s="640">
        <v>1.7359479676963407</v>
      </c>
      <c r="M25" s="736">
        <v>1.7983878239391493</v>
      </c>
      <c r="N25" s="392">
        <v>1.8959999999999999</v>
      </c>
      <c r="O25" s="799">
        <v>2.0499919377234059</v>
      </c>
      <c r="P25" s="659"/>
      <c r="Q25" s="667"/>
    </row>
    <row r="26" spans="1:20" ht="12" customHeight="1">
      <c r="A26" s="133"/>
      <c r="B26" s="133"/>
      <c r="C26" s="142" t="s">
        <v>34</v>
      </c>
      <c r="D26" s="48"/>
      <c r="F26" s="80" t="s">
        <v>204</v>
      </c>
      <c r="G26" s="80"/>
      <c r="H26" s="80"/>
      <c r="I26" s="80"/>
      <c r="J26" s="583">
        <v>8.1432904757240219E-3</v>
      </c>
      <c r="K26" s="583">
        <v>1.7153668265324173E-2</v>
      </c>
      <c r="L26" s="583">
        <v>1.3365532449799886E-2</v>
      </c>
      <c r="M26" s="584">
        <v>1.3896943235036185E-2</v>
      </c>
      <c r="N26" s="583">
        <v>1.9631926815455839E-2</v>
      </c>
      <c r="O26" s="682">
        <v>1.1486651686421559E-2</v>
      </c>
      <c r="P26" s="682"/>
      <c r="Q26" s="683"/>
    </row>
    <row r="27" spans="1:20" ht="12" customHeight="1">
      <c r="A27" s="133"/>
      <c r="B27" s="133"/>
      <c r="C27" s="142" t="s">
        <v>35</v>
      </c>
      <c r="D27" s="48"/>
      <c r="F27" s="81" t="s">
        <v>52</v>
      </c>
      <c r="G27" s="81"/>
      <c r="H27" s="81"/>
      <c r="I27" s="81"/>
      <c r="J27" s="585">
        <v>9519.8454747393935</v>
      </c>
      <c r="K27" s="585">
        <v>10589.391320178154</v>
      </c>
      <c r="L27" s="585">
        <v>8603.7272841591675</v>
      </c>
      <c r="M27" s="586">
        <v>9924.7024347431488</v>
      </c>
      <c r="N27" s="585">
        <v>11817.778550862235</v>
      </c>
      <c r="O27" s="492">
        <v>14974.547874957931</v>
      </c>
      <c r="P27" s="492"/>
      <c r="Q27" s="668"/>
      <c r="R27" s="462"/>
      <c r="S27" s="544"/>
    </row>
    <row r="28" spans="1:20" ht="12" customHeight="1">
      <c r="A28" s="133"/>
      <c r="B28" s="133"/>
      <c r="C28" s="142"/>
      <c r="D28" s="48"/>
      <c r="F28" s="82" t="s">
        <v>53</v>
      </c>
      <c r="G28" s="82"/>
      <c r="H28" s="82"/>
      <c r="I28" s="82"/>
      <c r="J28" s="587">
        <v>286.28213370859692</v>
      </c>
      <c r="K28" s="587">
        <v>510.73992438022435</v>
      </c>
      <c r="L28" s="587">
        <v>680.82145318143444</v>
      </c>
      <c r="M28" s="588">
        <v>771.53401254727169</v>
      </c>
      <c r="N28" s="587">
        <v>155.08316461748842</v>
      </c>
      <c r="O28" s="493">
        <v>589.05649422137901</v>
      </c>
      <c r="P28" s="493"/>
      <c r="Q28" s="669"/>
      <c r="S28" s="544"/>
    </row>
    <row r="29" spans="1:20" ht="12" customHeight="1">
      <c r="A29" s="133"/>
      <c r="B29" s="133"/>
      <c r="C29" s="142"/>
      <c r="D29" s="48"/>
      <c r="F29" s="80" t="s">
        <v>54</v>
      </c>
      <c r="G29" s="80"/>
      <c r="H29" s="80"/>
      <c r="I29" s="80"/>
      <c r="J29" s="589">
        <v>5.3016209204041799E-3</v>
      </c>
      <c r="K29" s="589">
        <v>4.6985450300520114E-3</v>
      </c>
      <c r="L29" s="589">
        <v>4.1706612127760103E-3</v>
      </c>
      <c r="M29" s="590">
        <v>3.562369618588984E-3</v>
      </c>
      <c r="N29" s="589">
        <v>2.8663332794511701E-3</v>
      </c>
      <c r="O29" s="494">
        <v>5.2059065898727701E-3</v>
      </c>
      <c r="P29" s="494"/>
      <c r="Q29" s="670"/>
      <c r="S29" s="544"/>
    </row>
    <row r="30" spans="1:20" ht="12" customHeight="1">
      <c r="A30" s="133"/>
      <c r="B30" s="133" t="s">
        <v>185</v>
      </c>
      <c r="C30" s="142"/>
      <c r="D30" s="48"/>
      <c r="F30" s="260" t="s">
        <v>55</v>
      </c>
      <c r="G30" s="260"/>
      <c r="H30" s="260"/>
      <c r="I30" s="260"/>
      <c r="J30" s="393">
        <v>0.10696772895455695</v>
      </c>
      <c r="K30" s="393">
        <v>9.1020010189798481E-2</v>
      </c>
      <c r="L30" s="393">
        <v>8.8455651924004966E-2</v>
      </c>
      <c r="M30" s="591">
        <v>7.0775475836601764E-2</v>
      </c>
      <c r="N30" s="393">
        <v>5.8998209855156802E-2</v>
      </c>
      <c r="O30" s="495">
        <v>9.4630398408722297E-2</v>
      </c>
      <c r="P30" s="495"/>
      <c r="Q30" s="671"/>
      <c r="S30" s="544"/>
    </row>
    <row r="31" spans="1:20" ht="12" customHeight="1">
      <c r="A31" s="133"/>
      <c r="B31" s="133"/>
      <c r="C31" s="142" t="s">
        <v>147</v>
      </c>
      <c r="D31" s="48"/>
      <c r="F31" s="79" t="s">
        <v>378</v>
      </c>
      <c r="G31" s="7"/>
      <c r="H31" s="261"/>
      <c r="I31" s="261"/>
      <c r="J31" s="100"/>
      <c r="K31" s="100"/>
      <c r="L31" s="100"/>
      <c r="M31" s="261"/>
      <c r="N31" s="565"/>
      <c r="O31" s="261"/>
      <c r="P31" s="261"/>
      <c r="Q31" s="261"/>
    </row>
    <row r="32" spans="1:20" ht="12" customHeight="1">
      <c r="A32" s="133"/>
      <c r="B32" s="133"/>
      <c r="C32" s="142" t="s">
        <v>36</v>
      </c>
      <c r="D32" s="48"/>
      <c r="F32" s="79" t="s">
        <v>239</v>
      </c>
      <c r="G32" s="7"/>
      <c r="H32" s="261"/>
      <c r="I32" s="261"/>
    </row>
    <row r="33" spans="1:18" ht="12" customHeight="1">
      <c r="A33" s="133"/>
      <c r="B33" s="133"/>
      <c r="C33" s="142"/>
      <c r="D33" s="48"/>
      <c r="F33" s="545"/>
      <c r="G33" s="529"/>
      <c r="H33" s="529"/>
      <c r="I33" s="529"/>
      <c r="J33" s="565"/>
      <c r="K33" s="565"/>
      <c r="L33" s="565"/>
      <c r="M33" s="473"/>
      <c r="N33" s="473"/>
      <c r="O33" s="473"/>
      <c r="P33" s="473"/>
      <c r="Q33" s="473"/>
      <c r="R33" s="182"/>
    </row>
    <row r="34" spans="1:18" ht="12" customHeight="1">
      <c r="A34" s="133"/>
      <c r="B34" s="133" t="s">
        <v>188</v>
      </c>
      <c r="C34" s="142"/>
      <c r="D34" s="48"/>
      <c r="R34" s="549"/>
    </row>
    <row r="35" spans="1:18" s="473" customFormat="1" ht="12" customHeight="1">
      <c r="A35" s="133"/>
      <c r="B35" s="133"/>
      <c r="C35" s="142" t="s">
        <v>37</v>
      </c>
      <c r="D35" s="563"/>
      <c r="F35" s="1"/>
      <c r="G35" s="1"/>
      <c r="H35" s="1"/>
      <c r="I35" s="1"/>
      <c r="J35" s="1"/>
      <c r="K35" s="1"/>
      <c r="L35" s="1"/>
      <c r="M35" s="1"/>
      <c r="N35" s="1"/>
      <c r="O35" s="1"/>
      <c r="P35" s="1"/>
      <c r="Q35" s="1"/>
      <c r="R35" s="566"/>
    </row>
    <row r="36" spans="1:18" ht="12" customHeight="1">
      <c r="A36" s="133"/>
      <c r="B36" s="133"/>
      <c r="C36" s="142" t="s">
        <v>38</v>
      </c>
      <c r="D36" s="48"/>
      <c r="J36" s="165"/>
      <c r="K36" s="165"/>
      <c r="L36" s="165"/>
      <c r="M36" s="165"/>
      <c r="N36" s="165"/>
      <c r="O36" s="165"/>
      <c r="P36" s="165"/>
      <c r="Q36" s="165"/>
    </row>
    <row r="37" spans="1:18" ht="12" customHeight="1">
      <c r="A37" s="25"/>
      <c r="D37" s="48"/>
      <c r="J37" s="165"/>
      <c r="K37" s="165"/>
      <c r="L37" s="165"/>
      <c r="M37" s="165"/>
      <c r="N37" s="165"/>
      <c r="O37" s="165"/>
      <c r="P37" s="165"/>
      <c r="Q37" s="165"/>
    </row>
    <row r="38" spans="1:18" ht="14.25">
      <c r="A38" s="25"/>
      <c r="J38" s="165"/>
      <c r="K38" s="165"/>
      <c r="L38" s="165"/>
      <c r="M38" s="165"/>
      <c r="N38" s="165"/>
      <c r="O38" s="165"/>
      <c r="P38" s="165"/>
      <c r="Q38" s="165"/>
    </row>
    <row r="39" spans="1:18" ht="14.25">
      <c r="A39" s="25"/>
    </row>
    <row r="40" spans="1:18" ht="14.25">
      <c r="A40" s="25"/>
    </row>
    <row r="41" spans="1:18" ht="14.25">
      <c r="A41" s="25"/>
    </row>
    <row r="42" spans="1:18" ht="14.25">
      <c r="A42" s="25"/>
    </row>
    <row r="43" spans="1:18" ht="14.25">
      <c r="A43" s="25"/>
    </row>
    <row r="44" spans="1:18" ht="14.25">
      <c r="A44" s="25"/>
    </row>
    <row r="45" spans="1:18" ht="14.25">
      <c r="A45" s="25"/>
    </row>
    <row r="46" spans="1:18" ht="14.25">
      <c r="A46" s="25"/>
    </row>
    <row r="47" spans="1:18" ht="14.25">
      <c r="A47" s="25"/>
    </row>
    <row r="48" spans="1:18"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phoneticPr fontId="7" type="noConversion"/>
  <hyperlinks>
    <hyperlink ref="B5" location="FH!A1" display="재무현황" xr:uid="{00000000-0004-0000-0100-000000000000}"/>
    <hyperlink ref="B7" location="FS!A1" display="요약재무상태표 (Selected Balance sheet)" xr:uid="{00000000-0004-0000-0100-000001000000}"/>
    <hyperlink ref="C15" location="Stability!A1" display="재무 안정성 (Financial Stability)" xr:uid="{00000000-0004-0000-0100-000002000000}"/>
    <hyperlink ref="C16" location="Productivity!A1" display="생산성 / 경영효율 (Productivity / Operating Efficiency)" xr:uid="{00000000-0004-0000-0100-000003000000}"/>
    <hyperlink ref="C20" location="'Premium Income by P.T.(GA+SA)'!A1" display="상품별 수입보험료 (Premium Income)" xr:uid="{00000000-0004-0000-0100-000004000000}"/>
    <hyperlink ref="C21" location="'Initial P. by P.T.'!A1" display="상품별 초회보험료 (Initial Premium)" xr:uid="{00000000-0004-0000-0100-000005000000}"/>
    <hyperlink ref="C22" location="'First-year P. by P.T.'!A1" display="상품별 초년도보험료 (First Year Premium)" xr:uid="{00000000-0004-0000-0100-000006000000}"/>
    <hyperlink ref="C26" location="'Premium Income by D.C.(GA+SA)'!A1" display="채널별 수입보험료 (Premium Income)" xr:uid="{00000000-0004-0000-0100-000007000000}"/>
    <hyperlink ref="C27" location="'First-year P. by D.C'!A1" display="채널별 초년도보험료 (First Year Premium)" xr:uid="{00000000-0004-0000-0100-000008000000}"/>
    <hyperlink ref="C31" location="'&gt;Loan'!A1" display="대출 (Loan)/ 자산건전성 (Asset Quality of Loan)" xr:uid="{00000000-0004-0000-0100-000009000000}"/>
    <hyperlink ref="C32" location="'&gt;Bond'!A1" display="채권 (Bond)" xr:uid="{00000000-0004-0000-0100-00000A000000}"/>
    <hyperlink ref="C35" location="'BS  K-IFRS'!A1" display="재무상태표 (Balance Sheet - KIFRS)" xr:uid="{00000000-0004-0000-0100-00000B000000}"/>
    <hyperlink ref="C36" location="'IS  K-IFRS'!A1" display="손익계산서 (Income Statement - KIFRS)" xr:uid="{00000000-0004-0000-0100-00000C000000}"/>
    <hyperlink ref="B8" location="FS!A1" display="요약손익계산서 (Selected Income Statement)" xr:uid="{00000000-0004-0000-0100-00000D000000}"/>
    <hyperlink ref="B10" location="CSM!A1" display="RA, CSM, BEL Movement" xr:uid="{00000000-0004-0000-0100-00000E000000}"/>
    <hyperlink ref="B11" location="CSM!A1" display="신계약 CSM (New Business CSM)" xr:uid="{00000000-0004-0000-0100-00000F000000}"/>
    <hyperlink ref="B13" location="'Sources of Margin'!A1" display="이원별손익" xr:uid="{00000000-0004-0000-0100-000010000000}"/>
    <hyperlink ref="B12" location="CSM!A1" display="신계약 CSM 배수 (New Business CSM Margin)" xr:uid="{00000000-0004-0000-0100-000011000000}"/>
    <hyperlink ref="C19" location="'APE by P.T'!A1" display="상품별 APE (Annualized Premium Equivalent (APE))" xr:uid="{00000000-0004-0000-0100-000012000000}"/>
    <hyperlink ref="C25" location="'APE by D.C'!A1" display="채널별 APE (Annualized Premium Equivalent (APE))" xr:uid="{00000000-0004-0000-0100-000013000000}"/>
  </hyperlinks>
  <pageMargins left="0.19685039370078741" right="0.19685039370078741"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78"/>
  <sheetViews>
    <sheetView showGridLines="0" zoomScale="85" zoomScaleNormal="85" zoomScaleSheetLayoutView="11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50.140625" style="1" customWidth="1"/>
    <col min="10" max="11" width="9.140625" style="1"/>
    <col min="12" max="15" width="9.140625" style="1" customWidth="1"/>
    <col min="16" max="17" width="9.140625" style="1" hidden="1" customWidth="1"/>
    <col min="18" max="18" width="3.28515625" style="1" customWidth="1"/>
    <col min="19" max="22" width="9.28515625" style="1" customWidth="1"/>
    <col min="23" max="16384" width="9.140625" style="1"/>
  </cols>
  <sheetData>
    <row r="1" spans="1:24" s="3" customFormat="1" ht="24" customHeight="1">
      <c r="A1" s="6"/>
      <c r="F1" s="74" t="s">
        <v>163</v>
      </c>
      <c r="G1" s="74"/>
      <c r="H1" s="75"/>
      <c r="I1" s="75"/>
      <c r="J1" s="330"/>
      <c r="K1" s="489"/>
      <c r="L1" s="489"/>
      <c r="M1" s="489"/>
      <c r="N1" s="489"/>
      <c r="O1" s="489"/>
      <c r="P1" s="489"/>
      <c r="Q1" s="489"/>
    </row>
    <row r="2" spans="1:24" ht="12" customHeight="1">
      <c r="A2" s="133"/>
      <c r="B2" s="134"/>
      <c r="C2" s="134"/>
      <c r="F2" s="177" t="s">
        <v>22</v>
      </c>
      <c r="G2" s="76"/>
      <c r="H2" s="76"/>
      <c r="I2" s="76"/>
      <c r="J2" s="800" t="s">
        <v>234</v>
      </c>
      <c r="K2" s="801"/>
      <c r="L2" s="801"/>
      <c r="M2" s="801"/>
      <c r="N2" s="800" t="s">
        <v>374</v>
      </c>
      <c r="O2" s="801"/>
      <c r="P2" s="801"/>
      <c r="Q2" s="801"/>
      <c r="R2" s="3"/>
      <c r="S2" s="801" t="s">
        <v>221</v>
      </c>
      <c r="T2" s="802"/>
      <c r="U2" s="803" t="s">
        <v>215</v>
      </c>
      <c r="V2" s="804"/>
      <c r="X2" s="542"/>
    </row>
    <row r="3" spans="1:24" ht="12" customHeight="1">
      <c r="A3" s="133" t="s">
        <v>27</v>
      </c>
      <c r="B3" s="134"/>
      <c r="C3" s="134"/>
      <c r="F3" s="96" t="s">
        <v>56</v>
      </c>
      <c r="G3" s="96"/>
      <c r="H3" s="96"/>
      <c r="I3" s="96"/>
      <c r="J3" s="451">
        <v>45747</v>
      </c>
      <c r="K3" s="287">
        <v>45838</v>
      </c>
      <c r="L3" s="287">
        <v>45930</v>
      </c>
      <c r="M3" s="287">
        <v>46022</v>
      </c>
      <c r="N3" s="451">
        <v>46112</v>
      </c>
      <c r="O3" s="287">
        <v>46203</v>
      </c>
      <c r="P3" s="287">
        <v>46295</v>
      </c>
      <c r="Q3" s="287">
        <v>46387</v>
      </c>
      <c r="R3" s="489"/>
      <c r="S3" s="288" t="s">
        <v>379</v>
      </c>
      <c r="T3" s="338" t="s">
        <v>380</v>
      </c>
      <c r="U3" s="264" t="s">
        <v>23</v>
      </c>
      <c r="V3" s="264" t="s">
        <v>24</v>
      </c>
      <c r="X3" s="182"/>
    </row>
    <row r="4" spans="1:24" ht="12" customHeight="1">
      <c r="A4" s="133"/>
      <c r="B4" s="134"/>
      <c r="C4" s="134"/>
      <c r="F4" s="84" t="s">
        <v>259</v>
      </c>
      <c r="G4" s="84"/>
      <c r="H4" s="84"/>
      <c r="I4" s="84"/>
      <c r="J4" s="592">
        <v>35159.109568600004</v>
      </c>
      <c r="K4" s="547">
        <v>35613.337341861996</v>
      </c>
      <c r="L4" s="547">
        <v>35694.262764644001</v>
      </c>
      <c r="M4" s="547">
        <v>35347.237061940003</v>
      </c>
      <c r="N4" s="592">
        <v>34495.304081192997</v>
      </c>
      <c r="O4" s="684">
        <v>35287.666008994005</v>
      </c>
      <c r="P4" s="684"/>
      <c r="Q4" s="684"/>
      <c r="R4" s="406"/>
      <c r="S4" s="449">
        <f>K4</f>
        <v>35613.337341861996</v>
      </c>
      <c r="T4" s="442">
        <f>O4</f>
        <v>35287.666008994005</v>
      </c>
      <c r="U4" s="753">
        <f>IF(T4/S4&lt;0,"n.a.",IF(S4&gt;0,ROUND(T4,4)/ROUND(S4,4)-1,IF(S4&lt;0,"n.a.")))</f>
        <v>-9.1446442454018451E-3</v>
      </c>
      <c r="V4" s="749">
        <f>IF(O4/N4&lt;0,"n.a.",IF(N4&gt;0,ROUND(O4,4)/ROUND(N4,4)-1,IF(N4&lt;0,"n.a.")))</f>
        <v>2.2970138129612794E-2</v>
      </c>
    </row>
    <row r="5" spans="1:24" ht="12" customHeight="1">
      <c r="A5" s="143"/>
      <c r="B5" s="133" t="s">
        <v>155</v>
      </c>
      <c r="C5" s="133"/>
      <c r="F5" s="79" t="s">
        <v>260</v>
      </c>
      <c r="G5" s="79" t="s">
        <v>261</v>
      </c>
      <c r="H5" s="79"/>
      <c r="I5" s="79"/>
      <c r="J5" s="593">
        <v>244.56302289499999</v>
      </c>
      <c r="K5" s="530">
        <v>286.41691917499998</v>
      </c>
      <c r="L5" s="530">
        <v>278.64710320900002</v>
      </c>
      <c r="M5" s="530">
        <v>250.36967552799999</v>
      </c>
      <c r="N5" s="593">
        <v>356.198154015</v>
      </c>
      <c r="O5" s="660">
        <v>412.27456562499998</v>
      </c>
      <c r="P5" s="660"/>
      <c r="Q5" s="660"/>
      <c r="R5" s="394"/>
      <c r="S5" s="252">
        <f t="shared" ref="S5:S31" si="0">K5</f>
        <v>286.41691917499998</v>
      </c>
      <c r="T5" s="496">
        <f t="shared" ref="T5:T31" si="1">O5</f>
        <v>412.27456562499998</v>
      </c>
      <c r="U5" s="750">
        <f t="shared" ref="U5:U31" si="2">IF(T5/S5&lt;0,"n.a.",IF(S5&gt;0,ROUND(T5,4)/ROUND(S5,4)-1,IF(S5&lt;0,"n.a.")))</f>
        <v>0.4394213469945385</v>
      </c>
      <c r="V5" s="750">
        <f>IF(O5/N5&lt;0,"n.a.",IF(N5&gt;0,ROUND(O5,4)/ROUND(N5,4)-1,IF(N5&lt;0,"n.a.")))</f>
        <v>0.15743032951879044</v>
      </c>
    </row>
    <row r="6" spans="1:24" ht="12" customHeight="1">
      <c r="A6" s="143"/>
      <c r="B6" s="142"/>
      <c r="C6" s="134"/>
      <c r="F6" s="79"/>
      <c r="G6" s="79" t="s">
        <v>262</v>
      </c>
      <c r="H6" s="79"/>
      <c r="I6" s="79"/>
      <c r="J6" s="593">
        <v>33497.118603509</v>
      </c>
      <c r="K6" s="530">
        <v>34051.436071856006</v>
      </c>
      <c r="L6" s="530">
        <v>34166.876618333008</v>
      </c>
      <c r="M6" s="530">
        <v>33879.553349342001</v>
      </c>
      <c r="N6" s="593">
        <v>32992.173447563</v>
      </c>
      <c r="O6" s="660">
        <v>33996.943235837003</v>
      </c>
      <c r="P6" s="660"/>
      <c r="Q6" s="660"/>
      <c r="R6" s="394"/>
      <c r="S6" s="252">
        <f t="shared" si="0"/>
        <v>34051.436071856006</v>
      </c>
      <c r="T6" s="496">
        <f t="shared" si="1"/>
        <v>33996.943235837003</v>
      </c>
      <c r="U6" s="750">
        <f t="shared" si="2"/>
        <v>-1.6003113595551843E-3</v>
      </c>
      <c r="V6" s="750">
        <f>IF(O6/N6&lt;0,"n.a.",IF(N6&gt;0,ROUND(O6,4)/ROUND(N6,4)-1,IF(N6&lt;0,"n.a.")))</f>
        <v>3.0454792650913998E-2</v>
      </c>
    </row>
    <row r="7" spans="1:24" ht="12" customHeight="1">
      <c r="A7" s="143"/>
      <c r="B7" s="142" t="s">
        <v>212</v>
      </c>
      <c r="C7" s="134"/>
      <c r="F7" s="79"/>
      <c r="G7" s="79"/>
      <c r="H7" s="79" t="s">
        <v>263</v>
      </c>
      <c r="I7" s="79"/>
      <c r="J7" s="593">
        <v>5927.7777227469996</v>
      </c>
      <c r="K7" s="530">
        <v>5799.4486362050002</v>
      </c>
      <c r="L7" s="530">
        <v>5516.1228347859997</v>
      </c>
      <c r="M7" s="530">
        <v>5383.2563544149998</v>
      </c>
      <c r="N7" s="593">
        <v>5180.8616801540002</v>
      </c>
      <c r="O7" s="660">
        <v>6577.9176400099996</v>
      </c>
      <c r="P7" s="660"/>
      <c r="Q7" s="660"/>
      <c r="R7" s="252"/>
      <c r="S7" s="252">
        <f t="shared" si="0"/>
        <v>5799.4486362050002</v>
      </c>
      <c r="T7" s="496">
        <f t="shared" si="1"/>
        <v>6577.9176400099996</v>
      </c>
      <c r="U7" s="750">
        <f t="shared" si="2"/>
        <v>0.1342315543584609</v>
      </c>
      <c r="V7" s="750">
        <f>IF(O7/N7&lt;0,"n.a.",IF(N7&gt;0,ROUND(O7,4)/ROUND(N7,4)-1,IF(N7&lt;0,"n.a.")))</f>
        <v>0.26965705338167956</v>
      </c>
    </row>
    <row r="8" spans="1:24" ht="12" customHeight="1">
      <c r="A8" s="143"/>
      <c r="B8" s="142" t="s">
        <v>213</v>
      </c>
      <c r="C8" s="134"/>
      <c r="F8" s="79"/>
      <c r="G8" s="79"/>
      <c r="H8" s="79" t="s">
        <v>264</v>
      </c>
      <c r="I8" s="79"/>
      <c r="J8" s="593">
        <v>20858.794351852001</v>
      </c>
      <c r="K8" s="530">
        <v>21635.551140031999</v>
      </c>
      <c r="L8" s="530">
        <v>22988.36306399</v>
      </c>
      <c r="M8" s="530">
        <v>22837.835416401002</v>
      </c>
      <c r="N8" s="593">
        <v>22414.696164176999</v>
      </c>
      <c r="O8" s="660">
        <v>22307.75046549</v>
      </c>
      <c r="P8" s="660"/>
      <c r="Q8" s="660"/>
      <c r="R8" s="641"/>
      <c r="S8" s="641">
        <f t="shared" si="0"/>
        <v>21635.551140031999</v>
      </c>
      <c r="T8" s="642">
        <f t="shared" si="1"/>
        <v>22307.75046549</v>
      </c>
      <c r="U8" s="750">
        <f t="shared" si="2"/>
        <v>3.106920627503662E-2</v>
      </c>
      <c r="V8" s="750">
        <f>IF(O8/N8&lt;0,"n.a.",IF(N8&gt;0,ROUND(O8,4)/ROUND(N8,4)-1,IF(N8&lt;0,"n.a.")))</f>
        <v>-4.7712312960102032E-3</v>
      </c>
    </row>
    <row r="9" spans="1:24" ht="12" customHeight="1">
      <c r="A9" s="143"/>
      <c r="B9" s="142"/>
      <c r="C9" s="134"/>
      <c r="F9" s="79"/>
      <c r="G9" s="79"/>
      <c r="H9" s="79" t="s">
        <v>265</v>
      </c>
      <c r="I9" s="79"/>
      <c r="J9" s="593">
        <v>6567.0127143170002</v>
      </c>
      <c r="K9" s="530">
        <v>6444.1105617410003</v>
      </c>
      <c r="L9" s="530">
        <v>5581.7321760530003</v>
      </c>
      <c r="M9" s="530">
        <v>5630.3908693929998</v>
      </c>
      <c r="N9" s="593">
        <v>5395.1925002039998</v>
      </c>
      <c r="O9" s="660">
        <v>5106.6193275969999</v>
      </c>
      <c r="P9" s="660"/>
      <c r="Q9" s="660"/>
      <c r="R9" s="641"/>
      <c r="S9" s="641">
        <f t="shared" si="0"/>
        <v>6444.1105617410003</v>
      </c>
      <c r="T9" s="642">
        <f t="shared" si="1"/>
        <v>5106.6193275969999</v>
      </c>
      <c r="U9" s="750">
        <f t="shared" si="2"/>
        <v>-0.20755250538375303</v>
      </c>
      <c r="V9" s="750">
        <f t="shared" ref="V9:V31" si="3">IF(O9/N9&lt;0,"n.a.",IF(N9&gt;0,ROUND(O9,4)/ROUND(N9,4)-1,IF(N9&lt;0,"n.a.")))</f>
        <v>-5.3487099857882692E-2</v>
      </c>
    </row>
    <row r="10" spans="1:24" ht="12" customHeight="1">
      <c r="A10" s="133"/>
      <c r="B10" s="142" t="s">
        <v>171</v>
      </c>
      <c r="C10" s="134"/>
      <c r="F10" s="79"/>
      <c r="G10" s="79" t="s">
        <v>266</v>
      </c>
      <c r="H10" s="79"/>
      <c r="I10" s="79"/>
      <c r="J10" s="593">
        <v>45.233888909000001</v>
      </c>
      <c r="K10" s="530">
        <v>28.520989411999999</v>
      </c>
      <c r="L10" s="530">
        <v>0</v>
      </c>
      <c r="M10" s="530">
        <v>0</v>
      </c>
      <c r="N10" s="593">
        <v>0</v>
      </c>
      <c r="O10" s="660">
        <v>0</v>
      </c>
      <c r="P10" s="660"/>
      <c r="Q10" s="660"/>
      <c r="R10" s="641"/>
      <c r="S10" s="641">
        <f t="shared" si="0"/>
        <v>28.520989411999999</v>
      </c>
      <c r="T10" s="642">
        <f t="shared" si="1"/>
        <v>0</v>
      </c>
      <c r="U10" s="750">
        <f>IF(T10/S10&lt;0,"n.a.",IF(S10&gt;0,ROUND(T10,4)/ROUND(S10,4)-1,IF(S10&lt;0,"n.a.")))</f>
        <v>-1</v>
      </c>
      <c r="V10" s="750" t="s">
        <v>394</v>
      </c>
    </row>
    <row r="11" spans="1:24" ht="12" customHeight="1">
      <c r="A11" s="133"/>
      <c r="B11" s="142" t="s">
        <v>166</v>
      </c>
      <c r="C11" s="134"/>
      <c r="F11" s="79"/>
      <c r="G11" s="79" t="s">
        <v>267</v>
      </c>
      <c r="H11" s="79"/>
      <c r="I11" s="79"/>
      <c r="J11" s="593">
        <v>89.902195208999998</v>
      </c>
      <c r="K11" s="530">
        <v>91.378958033999993</v>
      </c>
      <c r="L11" s="530">
        <v>84.426650980999995</v>
      </c>
      <c r="M11" s="530">
        <v>91.038644920999999</v>
      </c>
      <c r="N11" s="593">
        <v>107.519937025</v>
      </c>
      <c r="O11" s="660">
        <v>96.713842010999997</v>
      </c>
      <c r="P11" s="660"/>
      <c r="Q11" s="660"/>
      <c r="R11" s="641"/>
      <c r="S11" s="641">
        <f t="shared" si="0"/>
        <v>91.378958033999993</v>
      </c>
      <c r="T11" s="642">
        <f t="shared" si="1"/>
        <v>96.713842010999997</v>
      </c>
      <c r="U11" s="750">
        <f t="shared" si="2"/>
        <v>5.8381028463870166E-2</v>
      </c>
      <c r="V11" s="750">
        <f t="shared" si="3"/>
        <v>-0.10050325567639107</v>
      </c>
    </row>
    <row r="12" spans="1:24" ht="12" customHeight="1">
      <c r="A12" s="133"/>
      <c r="B12" s="142" t="s">
        <v>219</v>
      </c>
      <c r="C12" s="134"/>
      <c r="F12" s="79"/>
      <c r="G12" s="79" t="s">
        <v>268</v>
      </c>
      <c r="H12" s="79"/>
      <c r="I12" s="79"/>
      <c r="J12" s="593">
        <v>306.521296264</v>
      </c>
      <c r="K12" s="530">
        <v>304.25951921400002</v>
      </c>
      <c r="L12" s="530">
        <v>305.78204599600002</v>
      </c>
      <c r="M12" s="530">
        <v>296.13488546799999</v>
      </c>
      <c r="N12" s="593">
        <v>300.04130599299998</v>
      </c>
      <c r="O12" s="660">
        <v>74.350687803</v>
      </c>
      <c r="P12" s="660"/>
      <c r="Q12" s="660"/>
      <c r="R12" s="641"/>
      <c r="S12" s="641">
        <f t="shared" si="0"/>
        <v>304.25951921400002</v>
      </c>
      <c r="T12" s="642">
        <f t="shared" si="1"/>
        <v>74.350687803</v>
      </c>
      <c r="U12" s="750">
        <f t="shared" si="2"/>
        <v>-0.75563392433103982</v>
      </c>
      <c r="V12" s="750">
        <f t="shared" si="3"/>
        <v>-0.75219844734708186</v>
      </c>
    </row>
    <row r="13" spans="1:24" ht="12" customHeight="1">
      <c r="A13" s="133"/>
      <c r="B13" s="142"/>
      <c r="C13" s="134"/>
      <c r="F13" s="79"/>
      <c r="G13" s="79" t="s">
        <v>269</v>
      </c>
      <c r="H13" s="79"/>
      <c r="I13" s="79"/>
      <c r="J13" s="593">
        <v>17.070497654</v>
      </c>
      <c r="K13" s="530">
        <v>29.952522439999999</v>
      </c>
      <c r="L13" s="530">
        <v>28.751020139000001</v>
      </c>
      <c r="M13" s="530">
        <v>27.795714379</v>
      </c>
      <c r="N13" s="593">
        <v>26.134750444000002</v>
      </c>
      <c r="O13" s="660">
        <v>24.128872581</v>
      </c>
      <c r="P13" s="660"/>
      <c r="Q13" s="660"/>
      <c r="R13" s="641"/>
      <c r="S13" s="641">
        <f t="shared" si="0"/>
        <v>29.952522439999999</v>
      </c>
      <c r="T13" s="642">
        <f t="shared" si="1"/>
        <v>24.128872581</v>
      </c>
      <c r="U13" s="750">
        <f t="shared" si="2"/>
        <v>-0.19442784408647018</v>
      </c>
      <c r="V13" s="750">
        <f t="shared" si="3"/>
        <v>-7.6752070036885556E-2</v>
      </c>
    </row>
    <row r="14" spans="1:24" ht="12" customHeight="1">
      <c r="A14" s="133"/>
      <c r="B14" s="133" t="s">
        <v>173</v>
      </c>
      <c r="C14" s="134"/>
      <c r="F14" s="79"/>
      <c r="G14" s="79" t="s">
        <v>270</v>
      </c>
      <c r="H14" s="79"/>
      <c r="I14" s="79"/>
      <c r="J14" s="593">
        <v>485.36650356900003</v>
      </c>
      <c r="K14" s="530">
        <v>358.01456654200001</v>
      </c>
      <c r="L14" s="530">
        <v>365.103809313</v>
      </c>
      <c r="M14" s="530">
        <v>353.66306171299999</v>
      </c>
      <c r="N14" s="593">
        <v>295.88874941</v>
      </c>
      <c r="O14" s="660">
        <v>64.773205278999995</v>
      </c>
      <c r="P14" s="660"/>
      <c r="Q14" s="660"/>
      <c r="R14" s="641"/>
      <c r="S14" s="641">
        <f t="shared" si="0"/>
        <v>358.01456654200001</v>
      </c>
      <c r="T14" s="642">
        <f t="shared" si="1"/>
        <v>64.773205278999995</v>
      </c>
      <c r="U14" s="750">
        <f t="shared" si="2"/>
        <v>-0.81907665218122383</v>
      </c>
      <c r="V14" s="750">
        <f t="shared" si="3"/>
        <v>-0.7810893082432685</v>
      </c>
    </row>
    <row r="15" spans="1:24" ht="12" customHeight="1">
      <c r="A15" s="133"/>
      <c r="B15" s="135"/>
      <c r="C15" s="142" t="s">
        <v>40</v>
      </c>
      <c r="F15" s="79"/>
      <c r="G15" s="79" t="s">
        <v>271</v>
      </c>
      <c r="H15" s="79"/>
      <c r="I15" s="79"/>
      <c r="J15" s="593">
        <v>473.33356059099998</v>
      </c>
      <c r="K15" s="530">
        <v>463.357795189</v>
      </c>
      <c r="L15" s="530">
        <v>464.675516673</v>
      </c>
      <c r="M15" s="530">
        <v>448.68173058899998</v>
      </c>
      <c r="N15" s="593">
        <v>417.34773674299998</v>
      </c>
      <c r="O15" s="660">
        <v>397.105317437</v>
      </c>
      <c r="P15" s="660"/>
      <c r="Q15" s="660"/>
      <c r="R15" s="641"/>
      <c r="S15" s="641">
        <f t="shared" si="0"/>
        <v>463.357795189</v>
      </c>
      <c r="T15" s="642">
        <f t="shared" si="1"/>
        <v>397.105317437</v>
      </c>
      <c r="U15" s="750">
        <f t="shared" si="2"/>
        <v>-0.14298345684479685</v>
      </c>
      <c r="V15" s="750">
        <f t="shared" si="3"/>
        <v>-4.8502483660506468E-2</v>
      </c>
    </row>
    <row r="16" spans="1:24" ht="12" customHeight="1">
      <c r="A16" s="133"/>
      <c r="B16" s="133"/>
      <c r="C16" s="142" t="s">
        <v>41</v>
      </c>
      <c r="F16" s="84" t="s">
        <v>272</v>
      </c>
      <c r="G16" s="79"/>
      <c r="H16" s="79"/>
      <c r="I16" s="79"/>
      <c r="J16" s="592">
        <v>33673.417913091005</v>
      </c>
      <c r="K16" s="547">
        <v>33960.729601216</v>
      </c>
      <c r="L16" s="547">
        <v>34351.542878457993</v>
      </c>
      <c r="M16" s="547">
        <v>33798.362384316999</v>
      </c>
      <c r="N16" s="592">
        <v>32650.991058858999</v>
      </c>
      <c r="O16" s="684">
        <v>32950.69941832</v>
      </c>
      <c r="P16" s="684"/>
      <c r="Q16" s="684"/>
      <c r="R16" s="406"/>
      <c r="S16" s="652">
        <f t="shared" si="0"/>
        <v>33960.729601216</v>
      </c>
      <c r="T16" s="443">
        <f t="shared" si="1"/>
        <v>32950.69941832</v>
      </c>
      <c r="U16" s="749">
        <f t="shared" si="2"/>
        <v>-2.9741121933964609E-2</v>
      </c>
      <c r="V16" s="749">
        <f t="shared" si="3"/>
        <v>9.1791486231485031E-3</v>
      </c>
      <c r="W16" s="67"/>
    </row>
    <row r="17" spans="1:23" ht="12" customHeight="1">
      <c r="A17" s="133"/>
      <c r="B17" s="133"/>
      <c r="C17" s="142"/>
      <c r="F17" s="79"/>
      <c r="G17" s="79" t="s">
        <v>273</v>
      </c>
      <c r="H17" s="79"/>
      <c r="I17" s="79"/>
      <c r="J17" s="593">
        <v>29330.677006867001</v>
      </c>
      <c r="K17" s="530">
        <v>29166.616193315</v>
      </c>
      <c r="L17" s="530">
        <v>29392.005944301</v>
      </c>
      <c r="M17" s="530">
        <v>28145.078606219002</v>
      </c>
      <c r="N17" s="593">
        <v>26584.370902217001</v>
      </c>
      <c r="O17" s="660">
        <v>25971.370444155</v>
      </c>
      <c r="P17" s="660"/>
      <c r="Q17" s="660"/>
      <c r="R17" s="641"/>
      <c r="S17" s="641">
        <f t="shared" si="0"/>
        <v>29166.616193315</v>
      </c>
      <c r="T17" s="642">
        <f t="shared" si="1"/>
        <v>25971.370444155</v>
      </c>
      <c r="U17" s="750">
        <f t="shared" si="2"/>
        <v>-0.10955147412677924</v>
      </c>
      <c r="V17" s="750">
        <f t="shared" si="3"/>
        <v>-2.3058679940400673E-2</v>
      </c>
    </row>
    <row r="18" spans="1:23" ht="12" customHeight="1">
      <c r="A18" s="133"/>
      <c r="B18" s="133" t="s">
        <v>176</v>
      </c>
      <c r="C18" s="142"/>
      <c r="E18" s="473"/>
      <c r="F18" s="79"/>
      <c r="G18" s="79"/>
      <c r="H18" s="79" t="s">
        <v>274</v>
      </c>
      <c r="I18" s="79"/>
      <c r="J18" s="593">
        <v>2661.1771350059998</v>
      </c>
      <c r="K18" s="530">
        <v>2744.235267686</v>
      </c>
      <c r="L18" s="530">
        <v>2796.980899876</v>
      </c>
      <c r="M18" s="530">
        <v>2457.0954806220002</v>
      </c>
      <c r="N18" s="593">
        <v>2510.8346162839998</v>
      </c>
      <c r="O18" s="660">
        <v>2645.7061881109998</v>
      </c>
      <c r="P18" s="660"/>
      <c r="Q18" s="660"/>
      <c r="R18" s="641"/>
      <c r="S18" s="641">
        <f t="shared" si="0"/>
        <v>2744.235267686</v>
      </c>
      <c r="T18" s="642">
        <f t="shared" si="1"/>
        <v>2645.7061881109998</v>
      </c>
      <c r="U18" s="750">
        <f t="shared" si="2"/>
        <v>-3.5904027617456813E-2</v>
      </c>
      <c r="V18" s="750">
        <f t="shared" si="3"/>
        <v>5.3715844126092538E-2</v>
      </c>
      <c r="W18" s="222"/>
    </row>
    <row r="19" spans="1:23" ht="12" customHeight="1">
      <c r="A19" s="133"/>
      <c r="B19" s="133"/>
      <c r="C19" s="142" t="s">
        <v>33</v>
      </c>
      <c r="F19" s="79"/>
      <c r="G19" s="79" t="s">
        <v>275</v>
      </c>
      <c r="H19" s="79"/>
      <c r="I19" s="79"/>
      <c r="J19" s="593">
        <v>3464.3863566049999</v>
      </c>
      <c r="K19" s="530">
        <v>3474.4254322870001</v>
      </c>
      <c r="L19" s="530">
        <v>3460.586517748</v>
      </c>
      <c r="M19" s="530">
        <v>3702.7494709779999</v>
      </c>
      <c r="N19" s="593">
        <v>3647.1586913729998</v>
      </c>
      <c r="O19" s="660">
        <v>4461.0323160079997</v>
      </c>
      <c r="P19" s="660"/>
      <c r="Q19" s="660"/>
      <c r="R19" s="641"/>
      <c r="S19" s="641">
        <f t="shared" si="0"/>
        <v>3474.4254322870001</v>
      </c>
      <c r="T19" s="642">
        <f t="shared" si="1"/>
        <v>4461.0323160079997</v>
      </c>
      <c r="U19" s="750">
        <f t="shared" si="2"/>
        <v>0.28396260860860623</v>
      </c>
      <c r="V19" s="750">
        <f t="shared" si="3"/>
        <v>0.22315277917574572</v>
      </c>
    </row>
    <row r="20" spans="1:23" ht="12" customHeight="1">
      <c r="A20" s="133"/>
      <c r="B20" s="133"/>
      <c r="C20" s="142" t="s">
        <v>29</v>
      </c>
      <c r="F20" s="79"/>
      <c r="G20" s="79" t="s">
        <v>276</v>
      </c>
      <c r="H20" s="79"/>
      <c r="I20" s="79"/>
      <c r="J20" s="593">
        <v>814.48124902299992</v>
      </c>
      <c r="K20" s="530">
        <v>1253.324595841</v>
      </c>
      <c r="L20" s="530">
        <v>1409.065866788</v>
      </c>
      <c r="M20" s="530">
        <v>1881.1728107669999</v>
      </c>
      <c r="N20" s="593">
        <v>2353.8353925030001</v>
      </c>
      <c r="O20" s="660">
        <v>2401.0461102589998</v>
      </c>
      <c r="P20" s="660"/>
      <c r="Q20" s="660"/>
      <c r="R20" s="641"/>
      <c r="S20" s="641">
        <f t="shared" si="0"/>
        <v>1253.324595841</v>
      </c>
      <c r="T20" s="642">
        <f t="shared" si="1"/>
        <v>2401.0461102589998</v>
      </c>
      <c r="U20" s="750">
        <f t="shared" si="2"/>
        <v>0.91574162032724815</v>
      </c>
      <c r="V20" s="750">
        <f t="shared" si="3"/>
        <v>2.0056924965951461E-2</v>
      </c>
    </row>
    <row r="21" spans="1:23" ht="12" customHeight="1">
      <c r="A21" s="133"/>
      <c r="B21" s="133"/>
      <c r="C21" s="142" t="s">
        <v>30</v>
      </c>
      <c r="F21" s="79"/>
      <c r="G21" s="79"/>
      <c r="H21" s="79" t="s">
        <v>277</v>
      </c>
      <c r="I21" s="79"/>
      <c r="J21" s="593">
        <v>299.09906698499998</v>
      </c>
      <c r="K21" s="530">
        <v>971.25899240199999</v>
      </c>
      <c r="L21" s="530">
        <v>994.26689206900005</v>
      </c>
      <c r="M21" s="530">
        <v>1210.212459653</v>
      </c>
      <c r="N21" s="593">
        <v>1249.5335446250001</v>
      </c>
      <c r="O21" s="660">
        <v>1263.8483737700001</v>
      </c>
      <c r="P21" s="660"/>
      <c r="Q21" s="660"/>
      <c r="R21" s="641"/>
      <c r="S21" s="641">
        <f t="shared" si="0"/>
        <v>971.25899240199999</v>
      </c>
      <c r="T21" s="642">
        <f t="shared" si="1"/>
        <v>1263.8483737700001</v>
      </c>
      <c r="U21" s="750">
        <f t="shared" si="2"/>
        <v>0.30124755600720299</v>
      </c>
      <c r="V21" s="750">
        <f t="shared" si="3"/>
        <v>1.1456195452142826E-2</v>
      </c>
    </row>
    <row r="22" spans="1:23" ht="12" customHeight="1">
      <c r="A22" s="133"/>
      <c r="B22" s="133"/>
      <c r="C22" s="142" t="s">
        <v>31</v>
      </c>
      <c r="F22" s="79"/>
      <c r="G22" s="79" t="s">
        <v>278</v>
      </c>
      <c r="H22" s="79"/>
      <c r="I22" s="79"/>
      <c r="J22" s="593">
        <v>52.189580543000005</v>
      </c>
      <c r="K22" s="530">
        <v>55.463707714999998</v>
      </c>
      <c r="L22" s="530">
        <v>79.302010906999996</v>
      </c>
      <c r="M22" s="530">
        <v>59.705326143000008</v>
      </c>
      <c r="N22" s="593">
        <v>56.751849955000004</v>
      </c>
      <c r="O22" s="660">
        <v>109.498286982</v>
      </c>
      <c r="P22" s="660"/>
      <c r="Q22" s="660"/>
      <c r="R22" s="641"/>
      <c r="S22" s="641">
        <f t="shared" si="0"/>
        <v>55.463707714999998</v>
      </c>
      <c r="T22" s="642">
        <f t="shared" si="1"/>
        <v>109.498286982</v>
      </c>
      <c r="U22" s="750">
        <f t="shared" si="2"/>
        <v>0.97423359783065311</v>
      </c>
      <c r="V22" s="750">
        <f t="shared" si="3"/>
        <v>0.92942426495723485</v>
      </c>
    </row>
    <row r="23" spans="1:23" ht="12" customHeight="1">
      <c r="A23" s="133"/>
      <c r="B23" s="133"/>
      <c r="C23" s="142"/>
      <c r="F23" s="545"/>
      <c r="G23" s="545" t="s">
        <v>279</v>
      </c>
      <c r="H23" s="545"/>
      <c r="I23" s="545"/>
      <c r="J23" s="593">
        <v>11.683720053</v>
      </c>
      <c r="K23" s="530">
        <v>10.899672058</v>
      </c>
      <c r="L23" s="530">
        <v>10.582538714</v>
      </c>
      <c r="M23" s="530">
        <v>9.6561702100000009</v>
      </c>
      <c r="N23" s="593">
        <v>8.8742228109999992</v>
      </c>
      <c r="O23" s="660">
        <v>7.752260916</v>
      </c>
      <c r="P23" s="660"/>
      <c r="Q23" s="660"/>
      <c r="R23" s="641"/>
      <c r="S23" s="641">
        <f t="shared" si="0"/>
        <v>10.899672058</v>
      </c>
      <c r="T23" s="642">
        <f t="shared" si="1"/>
        <v>7.752260916</v>
      </c>
      <c r="U23" s="750">
        <f t="shared" si="2"/>
        <v>-0.28876024110755338</v>
      </c>
      <c r="V23" s="750">
        <f t="shared" si="3"/>
        <v>-0.12642266345135333</v>
      </c>
    </row>
    <row r="24" spans="1:23" ht="12" customHeight="1">
      <c r="A24" s="133"/>
      <c r="B24" s="133" t="s">
        <v>181</v>
      </c>
      <c r="C24" s="142"/>
      <c r="F24" s="84" t="s">
        <v>280</v>
      </c>
      <c r="G24" s="545"/>
      <c r="H24" s="545"/>
      <c r="I24" s="545"/>
      <c r="J24" s="592">
        <v>1485.6916555090002</v>
      </c>
      <c r="K24" s="547">
        <v>1652.6077406460004</v>
      </c>
      <c r="L24" s="547">
        <v>1342.7198861860002</v>
      </c>
      <c r="M24" s="547">
        <v>1548.8746776229998</v>
      </c>
      <c r="N24" s="592">
        <v>1844.3130223339999</v>
      </c>
      <c r="O24" s="684">
        <v>2336.9665906740001</v>
      </c>
      <c r="P24" s="684"/>
      <c r="Q24" s="684"/>
      <c r="R24" s="406"/>
      <c r="S24" s="652">
        <f t="shared" si="0"/>
        <v>1652.6077406460004</v>
      </c>
      <c r="T24" s="443">
        <f t="shared" si="1"/>
        <v>2336.9665906740001</v>
      </c>
      <c r="U24" s="749">
        <f t="shared" si="2"/>
        <v>0.41410850258049758</v>
      </c>
      <c r="V24" s="749">
        <f t="shared" si="3"/>
        <v>0.26712038574797226</v>
      </c>
    </row>
    <row r="25" spans="1:23" ht="12" customHeight="1">
      <c r="A25" s="133"/>
      <c r="B25" s="133"/>
      <c r="C25" s="142" t="s">
        <v>32</v>
      </c>
      <c r="F25" s="545"/>
      <c r="G25" s="545" t="s">
        <v>281</v>
      </c>
      <c r="H25" s="545"/>
      <c r="I25" s="545"/>
      <c r="J25" s="593">
        <v>806.79292499999997</v>
      </c>
      <c r="K25" s="530">
        <v>806.79292499999997</v>
      </c>
      <c r="L25" s="530">
        <v>806.79292499999997</v>
      </c>
      <c r="M25" s="530">
        <v>806.79292499999997</v>
      </c>
      <c r="N25" s="593">
        <v>806.79292499999997</v>
      </c>
      <c r="O25" s="660">
        <v>806.79292499999997</v>
      </c>
      <c r="P25" s="660"/>
      <c r="Q25" s="660"/>
      <c r="R25" s="641"/>
      <c r="S25" s="641">
        <f t="shared" si="0"/>
        <v>806.79292499999997</v>
      </c>
      <c r="T25" s="642">
        <f t="shared" si="1"/>
        <v>806.79292499999997</v>
      </c>
      <c r="U25" s="750">
        <f t="shared" si="2"/>
        <v>0</v>
      </c>
      <c r="V25" s="750">
        <f t="shared" si="3"/>
        <v>0</v>
      </c>
    </row>
    <row r="26" spans="1:23" ht="12" customHeight="1">
      <c r="A26" s="133"/>
      <c r="B26" s="133"/>
      <c r="C26" s="142" t="s">
        <v>34</v>
      </c>
      <c r="F26" s="545"/>
      <c r="G26" s="545" t="s">
        <v>282</v>
      </c>
      <c r="H26" s="545"/>
      <c r="I26" s="545"/>
      <c r="J26" s="593">
        <v>463.68039134899999</v>
      </c>
      <c r="K26" s="530">
        <v>463.68039134899999</v>
      </c>
      <c r="L26" s="530">
        <v>463.68039134899999</v>
      </c>
      <c r="M26" s="530">
        <v>463.68039134899999</v>
      </c>
      <c r="N26" s="593">
        <v>463.68039134899999</v>
      </c>
      <c r="O26" s="660">
        <v>463.68039134899999</v>
      </c>
      <c r="P26" s="660"/>
      <c r="Q26" s="660"/>
      <c r="R26" s="641"/>
      <c r="S26" s="641">
        <f t="shared" si="0"/>
        <v>463.68039134899999</v>
      </c>
      <c r="T26" s="642">
        <f t="shared" si="1"/>
        <v>463.68039134899999</v>
      </c>
      <c r="U26" s="750">
        <f t="shared" si="2"/>
        <v>0</v>
      </c>
      <c r="V26" s="750">
        <f t="shared" si="3"/>
        <v>0</v>
      </c>
    </row>
    <row r="27" spans="1:23" ht="12" customHeight="1">
      <c r="A27" s="133"/>
      <c r="B27" s="133"/>
      <c r="C27" s="142" t="s">
        <v>35</v>
      </c>
      <c r="F27" s="545"/>
      <c r="G27" s="545" t="s">
        <v>283</v>
      </c>
      <c r="H27" s="545"/>
      <c r="I27" s="545"/>
      <c r="J27" s="593">
        <v>344.56736074700001</v>
      </c>
      <c r="K27" s="530">
        <v>344.56736074700001</v>
      </c>
      <c r="L27" s="530">
        <v>0</v>
      </c>
      <c r="M27" s="530">
        <v>0</v>
      </c>
      <c r="N27" s="593">
        <v>0</v>
      </c>
      <c r="O27" s="660">
        <v>0</v>
      </c>
      <c r="P27" s="660"/>
      <c r="Q27" s="660"/>
      <c r="R27" s="641"/>
      <c r="S27" s="641">
        <f t="shared" si="0"/>
        <v>344.56736074700001</v>
      </c>
      <c r="T27" s="642">
        <f t="shared" si="1"/>
        <v>0</v>
      </c>
      <c r="U27" s="750">
        <f>IF(T27/S27&lt;0,"n.a.",IF(S27&gt;0,ROUND(T27,4)/ROUND(S27,4)-1,IF(S27&lt;0,"n.a.")))</f>
        <v>-1</v>
      </c>
      <c r="V27" s="750" t="s">
        <v>394</v>
      </c>
    </row>
    <row r="28" spans="1:23" ht="12" customHeight="1">
      <c r="A28" s="133"/>
      <c r="B28" s="133"/>
      <c r="C28" s="142"/>
      <c r="F28" s="545"/>
      <c r="G28" s="545" t="s">
        <v>284</v>
      </c>
      <c r="H28" s="545"/>
      <c r="I28" s="545"/>
      <c r="J28" s="593">
        <v>-59.540575144000002</v>
      </c>
      <c r="K28" s="530">
        <v>-59.540575144000002</v>
      </c>
      <c r="L28" s="530">
        <v>-117.99151552399999</v>
      </c>
      <c r="M28" s="530">
        <v>-116.906314396</v>
      </c>
      <c r="N28" s="593">
        <v>-116.906314396</v>
      </c>
      <c r="O28" s="660">
        <v>-58.355691382000003</v>
      </c>
      <c r="P28" s="660"/>
      <c r="Q28" s="660"/>
      <c r="R28" s="641"/>
      <c r="S28" s="433">
        <f t="shared" si="0"/>
        <v>-59.540575144000002</v>
      </c>
      <c r="T28" s="434">
        <f t="shared" si="1"/>
        <v>-58.355691382000003</v>
      </c>
      <c r="U28" s="750" t="str">
        <f t="shared" si="2"/>
        <v>n.a.</v>
      </c>
      <c r="V28" s="750" t="str">
        <f t="shared" si="3"/>
        <v>n.a.</v>
      </c>
    </row>
    <row r="29" spans="1:23" ht="12" customHeight="1">
      <c r="A29" s="133"/>
      <c r="B29" s="133"/>
      <c r="C29" s="142"/>
      <c r="F29" s="545"/>
      <c r="G29" s="545" t="s">
        <v>285</v>
      </c>
      <c r="H29" s="545"/>
      <c r="I29" s="545"/>
      <c r="J29" s="593">
        <v>-1621.9370470690001</v>
      </c>
      <c r="K29" s="530">
        <v>-1491.239153427</v>
      </c>
      <c r="L29" s="530">
        <v>-1414.1059455340001</v>
      </c>
      <c r="M29" s="530">
        <v>-1223.673605446</v>
      </c>
      <c r="N29" s="593">
        <v>-953.56611739499999</v>
      </c>
      <c r="O29" s="660">
        <v>-530.12446811799998</v>
      </c>
      <c r="P29" s="660"/>
      <c r="Q29" s="660"/>
      <c r="R29" s="641"/>
      <c r="S29" s="433">
        <f t="shared" si="0"/>
        <v>-1491.239153427</v>
      </c>
      <c r="T29" s="434">
        <f t="shared" si="1"/>
        <v>-530.12446811799998</v>
      </c>
      <c r="U29" s="750" t="str">
        <f t="shared" si="2"/>
        <v>n.a.</v>
      </c>
      <c r="V29" s="750" t="str">
        <f t="shared" si="3"/>
        <v>n.a.</v>
      </c>
    </row>
    <row r="30" spans="1:23" ht="12" customHeight="1">
      <c r="A30" s="133"/>
      <c r="B30" s="133" t="s">
        <v>185</v>
      </c>
      <c r="C30" s="142"/>
      <c r="F30" s="545"/>
      <c r="G30" s="545" t="s">
        <v>286</v>
      </c>
      <c r="H30" s="545"/>
      <c r="I30" s="545"/>
      <c r="J30" s="593">
        <v>1552.128600626</v>
      </c>
      <c r="K30" s="530">
        <v>1588.3467921209999</v>
      </c>
      <c r="L30" s="530">
        <v>1604.3440308950001</v>
      </c>
      <c r="M30" s="530">
        <v>1618.981281116</v>
      </c>
      <c r="N30" s="593">
        <v>1644.3121377760001</v>
      </c>
      <c r="O30" s="660">
        <v>1654.973433825</v>
      </c>
      <c r="P30" s="660"/>
      <c r="Q30" s="660"/>
      <c r="R30" s="641"/>
      <c r="S30" s="641">
        <f t="shared" si="0"/>
        <v>1588.3467921209999</v>
      </c>
      <c r="T30" s="642">
        <f t="shared" si="1"/>
        <v>1654.973433825</v>
      </c>
      <c r="U30" s="750">
        <f t="shared" si="2"/>
        <v>4.1947136481780944E-2</v>
      </c>
      <c r="V30" s="750">
        <f t="shared" si="3"/>
        <v>6.4837447830008443E-3</v>
      </c>
    </row>
    <row r="31" spans="1:23" s="3" customFormat="1" ht="13.5" customHeight="1">
      <c r="A31" s="133"/>
      <c r="B31" s="133"/>
      <c r="C31" s="142" t="s">
        <v>147</v>
      </c>
      <c r="D31" s="1"/>
      <c r="E31" s="1"/>
      <c r="F31" s="643" t="s">
        <v>287</v>
      </c>
      <c r="G31" s="644"/>
      <c r="H31" s="643"/>
      <c r="I31" s="643"/>
      <c r="J31" s="595">
        <v>35159.109568600004</v>
      </c>
      <c r="K31" s="463">
        <v>35613.337341862003</v>
      </c>
      <c r="L31" s="463">
        <v>35694.262764643994</v>
      </c>
      <c r="M31" s="463">
        <v>35347.237061939995</v>
      </c>
      <c r="N31" s="595">
        <v>34495.304081192997</v>
      </c>
      <c r="O31" s="415">
        <v>35287.666008993998</v>
      </c>
      <c r="P31" s="415"/>
      <c r="Q31" s="415"/>
      <c r="R31" s="645"/>
      <c r="S31" s="463">
        <f t="shared" si="0"/>
        <v>35613.337341862003</v>
      </c>
      <c r="T31" s="646">
        <f t="shared" si="1"/>
        <v>35287.666008993998</v>
      </c>
      <c r="U31" s="751">
        <f t="shared" si="2"/>
        <v>-9.1446442454018451E-3</v>
      </c>
      <c r="V31" s="751">
        <f t="shared" si="3"/>
        <v>2.2970138129612794E-2</v>
      </c>
      <c r="W31" s="323"/>
    </row>
    <row r="32" spans="1:23" ht="12" customHeight="1">
      <c r="A32" s="133"/>
      <c r="B32" s="133"/>
      <c r="C32" s="142" t="s">
        <v>36</v>
      </c>
      <c r="F32" s="545"/>
      <c r="G32" s="529"/>
      <c r="H32" s="529"/>
      <c r="I32" s="529"/>
      <c r="R32" s="252"/>
      <c r="W32" s="67"/>
    </row>
    <row r="33" spans="1:25" ht="12" customHeight="1">
      <c r="A33" s="133"/>
      <c r="B33" s="133"/>
      <c r="C33" s="142"/>
      <c r="F33" s="79"/>
      <c r="R33" s="252"/>
    </row>
    <row r="34" spans="1:25" ht="23.25" customHeight="1">
      <c r="A34" s="133"/>
      <c r="B34" s="133" t="s">
        <v>188</v>
      </c>
      <c r="C34" s="142"/>
      <c r="F34" s="74" t="s">
        <v>164</v>
      </c>
      <c r="R34" s="252"/>
      <c r="S34" s="3"/>
      <c r="T34" s="3"/>
      <c r="U34" s="3"/>
      <c r="V34" s="3"/>
      <c r="W34" s="67"/>
      <c r="X34" s="67"/>
    </row>
    <row r="35" spans="1:25" ht="12" customHeight="1">
      <c r="A35" s="133"/>
      <c r="B35" s="133"/>
      <c r="C35" s="142" t="s">
        <v>37</v>
      </c>
      <c r="F35" s="177" t="s">
        <v>22</v>
      </c>
      <c r="G35" s="76"/>
      <c r="H35" s="76"/>
      <c r="I35" s="76"/>
      <c r="J35" s="800" t="s">
        <v>234</v>
      </c>
      <c r="K35" s="801"/>
      <c r="L35" s="801"/>
      <c r="M35" s="801"/>
      <c r="N35" s="800" t="s">
        <v>374</v>
      </c>
      <c r="O35" s="801"/>
      <c r="P35" s="801"/>
      <c r="Q35" s="801"/>
      <c r="R35" s="252"/>
      <c r="S35" s="801" t="s">
        <v>221</v>
      </c>
      <c r="T35" s="802"/>
      <c r="U35" s="803" t="s">
        <v>215</v>
      </c>
      <c r="V35" s="804"/>
      <c r="W35" s="67"/>
      <c r="X35" s="67"/>
      <c r="Y35" s="67"/>
    </row>
    <row r="36" spans="1:25" ht="12" customHeight="1">
      <c r="A36" s="133"/>
      <c r="B36" s="133"/>
      <c r="C36" s="142" t="s">
        <v>38</v>
      </c>
      <c r="F36" s="96" t="s">
        <v>56</v>
      </c>
      <c r="G36" s="96"/>
      <c r="H36" s="96"/>
      <c r="I36" s="97"/>
      <c r="J36" s="287">
        <v>45747</v>
      </c>
      <c r="K36" s="287">
        <v>45838</v>
      </c>
      <c r="L36" s="287">
        <v>45930</v>
      </c>
      <c r="M36" s="287">
        <v>46022</v>
      </c>
      <c r="N36" s="451">
        <v>46112</v>
      </c>
      <c r="O36" s="287">
        <v>46203</v>
      </c>
      <c r="P36" s="287">
        <v>46295</v>
      </c>
      <c r="Q36" s="287">
        <v>46387</v>
      </c>
      <c r="R36" s="490"/>
      <c r="S36" s="288" t="s">
        <v>379</v>
      </c>
      <c r="T36" s="338" t="s">
        <v>380</v>
      </c>
      <c r="U36" s="264" t="s">
        <v>23</v>
      </c>
      <c r="V36" s="264" t="s">
        <v>24</v>
      </c>
      <c r="W36" s="67"/>
      <c r="X36" s="67"/>
      <c r="Y36" s="67"/>
    </row>
    <row r="37" spans="1:25" ht="12" customHeight="1">
      <c r="A37" s="25"/>
      <c r="F37" s="127" t="s">
        <v>288</v>
      </c>
      <c r="G37" s="113"/>
      <c r="H37" s="113"/>
      <c r="I37" s="725"/>
      <c r="J37" s="653">
        <v>4.0710674249999954</v>
      </c>
      <c r="K37" s="653">
        <v>66.348499052000008</v>
      </c>
      <c r="L37" s="653">
        <v>24.56273217800009</v>
      </c>
      <c r="M37" s="687">
        <v>18.78851494300001</v>
      </c>
      <c r="N37" s="653">
        <v>22.385733011999996</v>
      </c>
      <c r="O37" s="685">
        <v>74.626388764999945</v>
      </c>
      <c r="P37" s="685"/>
      <c r="Q37" s="685"/>
      <c r="R37" s="321"/>
      <c r="S37" s="431">
        <f>+SUM(J37:K37)</f>
        <v>70.419566477000004</v>
      </c>
      <c r="T37" s="432">
        <f>+SUM(N37:Q37)</f>
        <v>97.012121776999948</v>
      </c>
      <c r="U37" s="754">
        <f>IF(T37/S37&lt;0,"n.a.",IF(S37&gt;0,ROUND(T37,4)/ROUND(S37,4)-1,IF(S37&lt;0,"n.a.")))</f>
        <v>0.37762923958670602</v>
      </c>
      <c r="V37" s="752">
        <f>IF(O37/N37&lt;0,"n.a.",IF(N37&gt;0,ROUND(O37,4)/ROUND(N37,4)-1,IF(N37&lt;0,"n.a.")))</f>
        <v>2.3336639015085523</v>
      </c>
      <c r="W37" s="67"/>
      <c r="X37" s="462"/>
    </row>
    <row r="38" spans="1:25" ht="12" customHeight="1">
      <c r="A38" s="25"/>
      <c r="F38" s="113"/>
      <c r="G38" s="113" t="s">
        <v>148</v>
      </c>
      <c r="H38" s="113"/>
      <c r="I38" s="114"/>
      <c r="J38" s="522">
        <v>62.317797028999998</v>
      </c>
      <c r="K38" s="522">
        <v>63.745713754000001</v>
      </c>
      <c r="L38" s="522">
        <v>63.797645990000007</v>
      </c>
      <c r="M38" s="688">
        <v>56.890212413</v>
      </c>
      <c r="N38" s="522">
        <v>62.113713349000001</v>
      </c>
      <c r="O38" s="475">
        <v>63.397780652000002</v>
      </c>
      <c r="P38" s="475"/>
      <c r="Q38" s="475"/>
      <c r="R38" s="253"/>
      <c r="S38" s="433">
        <f t="shared" ref="S38:S40" si="4">+SUM(J38:K38)</f>
        <v>126.063510783</v>
      </c>
      <c r="T38" s="434">
        <f>+SUM(N38:Q38)</f>
        <v>125.511494001</v>
      </c>
      <c r="U38" s="750">
        <f>IF(T38/S38&lt;0,"n.a.",IF(S38&gt;0,ROUND(T38,4)/ROUND(S38,4)-1,IF(S38&lt;0,"n.a.")))</f>
        <v>-4.3787456321616736E-3</v>
      </c>
      <c r="V38" s="750">
        <f>IF(O38/N38&lt;0,"n.a.",IF(N38&gt;0,ROUND(O38,4)/ROUND(N38,4)-1,IF(N38&lt;0,"n.a.")))</f>
        <v>2.0673378014834043E-2</v>
      </c>
      <c r="W38" s="67"/>
    </row>
    <row r="39" spans="1:25" ht="12" customHeight="1">
      <c r="A39" s="25"/>
      <c r="F39" s="113"/>
      <c r="G39" s="113" t="s">
        <v>149</v>
      </c>
      <c r="H39" s="113"/>
      <c r="I39" s="114"/>
      <c r="J39" s="522">
        <v>11.135397902999999</v>
      </c>
      <c r="K39" s="522">
        <v>11.008743131000001</v>
      </c>
      <c r="L39" s="522">
        <v>10.759073901000001</v>
      </c>
      <c r="M39" s="688">
        <v>10.730103606</v>
      </c>
      <c r="N39" s="522">
        <v>10.272807022</v>
      </c>
      <c r="O39" s="475">
        <v>9.9859833059999996</v>
      </c>
      <c r="P39" s="475"/>
      <c r="Q39" s="475"/>
      <c r="R39" s="253"/>
      <c r="S39" s="433">
        <f>+SUM(J39:K39)</f>
        <v>22.144141034</v>
      </c>
      <c r="T39" s="434">
        <f>+SUM(N39:Q39)</f>
        <v>20.258790328</v>
      </c>
      <c r="U39" s="750">
        <f>IF(T39/S39&lt;0,"n.a.",IF(S39&gt;0,ROUND(T39,4)/ROUND(S39,4)-1,IF(S39&lt;0,"n.a.")))</f>
        <v>-8.5137801942729685E-2</v>
      </c>
      <c r="V39" s="750">
        <f>IF(O39/N39&lt;0,"n.a.",IF(N39&gt;0,ROUND(O39,4)/ROUND(N39,4)-1,IF(N39&lt;0,"n.a.")))</f>
        <v>-2.7918386418503194E-2</v>
      </c>
      <c r="W39" s="67"/>
      <c r="X39" s="525"/>
    </row>
    <row r="40" spans="1:25" ht="12" customHeight="1">
      <c r="A40" s="25"/>
      <c r="F40" s="113"/>
      <c r="G40" s="113" t="s">
        <v>160</v>
      </c>
      <c r="H40" s="113"/>
      <c r="I40" s="114"/>
      <c r="J40" s="522">
        <v>-17.649082880000009</v>
      </c>
      <c r="K40" s="522">
        <v>-8.1693347999999908</v>
      </c>
      <c r="L40" s="522">
        <v>-39.308664963999902</v>
      </c>
      <c r="M40" s="688">
        <v>-6.7420452140000293</v>
      </c>
      <c r="N40" s="522">
        <v>-25.088175706000001</v>
      </c>
      <c r="O40" s="475">
        <v>-19.381523325000046</v>
      </c>
      <c r="P40" s="475"/>
      <c r="Q40" s="475"/>
      <c r="R40" s="253"/>
      <c r="S40" s="433">
        <f t="shared" si="4"/>
        <v>-25.81841768</v>
      </c>
      <c r="T40" s="434">
        <f t="shared" ref="T40:T52" si="5">+SUM(N40:Q40)</f>
        <v>-44.469699031000047</v>
      </c>
      <c r="U40" s="750" t="str">
        <f t="shared" ref="U40:U52" si="6">IF(T40/S40&lt;0,"n.a.",IF(S40&gt;0,ROUND(T40,4)/ROUND(S40,4)-1,IF(S40&lt;0,"n.a.")))</f>
        <v>n.a.</v>
      </c>
      <c r="V40" s="750" t="str">
        <f>IF(O40/N40&lt;0,"n.a.",IF(N40&gt;0,ROUND(O40,4)/ROUND(N40,4)-1,IF(N40&lt;0,"n.a.")))</f>
        <v>n.a.</v>
      </c>
      <c r="W40" s="388"/>
    </row>
    <row r="41" spans="1:25" ht="12" customHeight="1">
      <c r="A41" s="25"/>
      <c r="F41" s="113"/>
      <c r="G41" s="113"/>
      <c r="H41" s="113" t="s">
        <v>372</v>
      </c>
      <c r="I41" s="114"/>
      <c r="J41" s="522">
        <v>-19.417094192000008</v>
      </c>
      <c r="K41" s="522">
        <v>-9.336930303999992</v>
      </c>
      <c r="L41" s="522">
        <v>-26.886779609999962</v>
      </c>
      <c r="M41" s="688">
        <v>-13.162422189000097</v>
      </c>
      <c r="N41" s="522">
        <v>-21.808593661999993</v>
      </c>
      <c r="O41" s="475">
        <v>-21.527062117000042</v>
      </c>
      <c r="P41" s="475"/>
      <c r="Q41" s="475"/>
      <c r="R41" s="253"/>
      <c r="S41" s="433">
        <f t="shared" ref="S41:S52" si="7">+SUM(J41:K41)</f>
        <v>-28.754024496</v>
      </c>
      <c r="T41" s="434">
        <f t="shared" si="5"/>
        <v>-43.335655779000035</v>
      </c>
      <c r="U41" s="750" t="str">
        <f t="shared" si="6"/>
        <v>n.a.</v>
      </c>
      <c r="V41" s="750" t="str">
        <f t="shared" ref="V41:V52" si="8">IF(O41/N41&lt;0,"n.a.",IF(N41&gt;0,ROUND(O41,4)/ROUND(N41,4)-1,IF(N41&lt;0,"n.a.")))</f>
        <v>n.a.</v>
      </c>
      <c r="W41" s="388"/>
    </row>
    <row r="42" spans="1:25" ht="12" customHeight="1">
      <c r="A42" s="25"/>
      <c r="F42" s="113"/>
      <c r="G42" s="113"/>
      <c r="H42" s="113" t="s">
        <v>373</v>
      </c>
      <c r="I42" s="114"/>
      <c r="J42" s="522">
        <v>1.7680113120000129</v>
      </c>
      <c r="K42" s="522">
        <v>1.1675955039999621</v>
      </c>
      <c r="L42" s="522">
        <v>-12.421885353999969</v>
      </c>
      <c r="M42" s="688">
        <v>6.4203769749999822</v>
      </c>
      <c r="N42" s="522">
        <v>-3.2795820440000014</v>
      </c>
      <c r="O42" s="475">
        <v>2.1455387919999893</v>
      </c>
      <c r="P42" s="475"/>
      <c r="Q42" s="475"/>
      <c r="R42" s="253"/>
      <c r="S42" s="433">
        <f t="shared" si="7"/>
        <v>2.9356068159999751</v>
      </c>
      <c r="T42" s="434">
        <f t="shared" si="5"/>
        <v>-1.1340432520000121</v>
      </c>
      <c r="U42" s="750" t="str">
        <f t="shared" si="6"/>
        <v>n.a.</v>
      </c>
      <c r="V42" s="750" t="str">
        <f t="shared" si="8"/>
        <v>n.a.</v>
      </c>
      <c r="W42" s="388"/>
    </row>
    <row r="43" spans="1:25" ht="12" customHeight="1">
      <c r="A43" s="25"/>
      <c r="F43" s="113"/>
      <c r="G43" s="113" t="s">
        <v>162</v>
      </c>
      <c r="H43" s="113"/>
      <c r="I43" s="114"/>
      <c r="J43" s="522">
        <v>-51.733044626999998</v>
      </c>
      <c r="K43" s="522">
        <v>-0.23662303300000076</v>
      </c>
      <c r="L43" s="522">
        <v>-10.685322749000008</v>
      </c>
      <c r="M43" s="688">
        <v>-42.08975586199999</v>
      </c>
      <c r="N43" s="522">
        <v>-24.912611653000006</v>
      </c>
      <c r="O43" s="475">
        <v>20.624148132000009</v>
      </c>
      <c r="P43" s="475"/>
      <c r="Q43" s="475"/>
      <c r="R43" s="253"/>
      <c r="S43" s="433">
        <f t="shared" si="7"/>
        <v>-51.969667659999999</v>
      </c>
      <c r="T43" s="434">
        <f t="shared" ref="T43:T48" si="9">+SUM(N43:Q43)</f>
        <v>-4.2884635209999971</v>
      </c>
      <c r="U43" s="750" t="str">
        <f t="shared" si="6"/>
        <v>n.a.</v>
      </c>
      <c r="V43" s="750" t="str">
        <f t="shared" si="8"/>
        <v>n.a.</v>
      </c>
      <c r="W43" s="67"/>
    </row>
    <row r="44" spans="1:25" ht="12" customHeight="1">
      <c r="A44" s="25"/>
      <c r="F44" s="127" t="s">
        <v>157</v>
      </c>
      <c r="G44" s="471"/>
      <c r="H44" s="471"/>
      <c r="I44" s="726"/>
      <c r="J44" s="653">
        <v>54.593749300999988</v>
      </c>
      <c r="K44" s="653">
        <v>-24.959964571999926</v>
      </c>
      <c r="L44" s="653">
        <v>23.181135341999628</v>
      </c>
      <c r="M44" s="689">
        <v>32.225945515000916</v>
      </c>
      <c r="N44" s="653">
        <v>8.7187640400000745</v>
      </c>
      <c r="O44" s="685">
        <v>12.213226247999451</v>
      </c>
      <c r="P44" s="685"/>
      <c r="Q44" s="685"/>
      <c r="R44" s="321"/>
      <c r="S44" s="431">
        <f t="shared" si="7"/>
        <v>29.633784729000062</v>
      </c>
      <c r="T44" s="435">
        <f t="shared" si="9"/>
        <v>20.931990287999525</v>
      </c>
      <c r="U44" s="752">
        <f t="shared" si="6"/>
        <v>-0.29364441954794873</v>
      </c>
      <c r="V44" s="752">
        <f t="shared" si="8"/>
        <v>0.40078909941735108</v>
      </c>
      <c r="W44" s="67"/>
    </row>
    <row r="45" spans="1:25" ht="12" customHeight="1">
      <c r="A45" s="25"/>
      <c r="F45" s="471"/>
      <c r="G45" s="471" t="s">
        <v>289</v>
      </c>
      <c r="H45" s="471"/>
      <c r="I45" s="726"/>
      <c r="J45" s="522">
        <v>221.37861540300003</v>
      </c>
      <c r="K45" s="522">
        <v>222.89585105599997</v>
      </c>
      <c r="L45" s="522">
        <v>235.2225920599999</v>
      </c>
      <c r="M45" s="688">
        <v>228.79414205400019</v>
      </c>
      <c r="N45" s="522">
        <v>233.181632186</v>
      </c>
      <c r="O45" s="475">
        <v>237.96857693899995</v>
      </c>
      <c r="P45" s="475"/>
      <c r="Q45" s="475"/>
      <c r="R45" s="253"/>
      <c r="S45" s="433">
        <f t="shared" si="7"/>
        <v>444.274466459</v>
      </c>
      <c r="T45" s="434">
        <f t="shared" si="9"/>
        <v>471.15020912499995</v>
      </c>
      <c r="U45" s="750">
        <f t="shared" si="6"/>
        <v>6.0493456185308769E-2</v>
      </c>
      <c r="V45" s="750">
        <f t="shared" si="8"/>
        <v>2.0529064042789091E-2</v>
      </c>
      <c r="W45" s="67"/>
    </row>
    <row r="46" spans="1:25" ht="12" customHeight="1">
      <c r="A46" s="25"/>
      <c r="F46" s="471"/>
      <c r="G46" s="471" t="s">
        <v>290</v>
      </c>
      <c r="H46" s="471"/>
      <c r="I46" s="726"/>
      <c r="J46" s="522">
        <v>100.76539074899995</v>
      </c>
      <c r="K46" s="522">
        <v>125.22237021400008</v>
      </c>
      <c r="L46" s="522">
        <v>99.511743189999834</v>
      </c>
      <c r="M46" s="688">
        <v>140.87743147200035</v>
      </c>
      <c r="N46" s="522">
        <v>126.81938254700003</v>
      </c>
      <c r="O46" s="475">
        <v>551.60737024099967</v>
      </c>
      <c r="P46" s="475"/>
      <c r="Q46" s="475"/>
      <c r="R46" s="253"/>
      <c r="S46" s="433">
        <f t="shared" si="7"/>
        <v>225.98776096300003</v>
      </c>
      <c r="T46" s="434">
        <f t="shared" si="9"/>
        <v>678.4267527879997</v>
      </c>
      <c r="U46" s="750">
        <f t="shared" si="6"/>
        <v>2.0020505531714541</v>
      </c>
      <c r="V46" s="750">
        <f t="shared" si="8"/>
        <v>3.349550620804072</v>
      </c>
      <c r="W46" s="67"/>
    </row>
    <row r="47" spans="1:25" ht="12" customHeight="1">
      <c r="A47" s="25"/>
      <c r="F47" s="471"/>
      <c r="G47" s="471" t="s">
        <v>291</v>
      </c>
      <c r="H47" s="471"/>
      <c r="I47" s="726"/>
      <c r="J47" s="522">
        <v>-270.55463435799999</v>
      </c>
      <c r="K47" s="522">
        <v>-371.26770634899998</v>
      </c>
      <c r="L47" s="522">
        <v>-317.39990283900011</v>
      </c>
      <c r="M47" s="688">
        <v>-339.99400670399973</v>
      </c>
      <c r="N47" s="522">
        <v>-354.49782572199996</v>
      </c>
      <c r="O47" s="475">
        <v>-795.59177858900011</v>
      </c>
      <c r="P47" s="475"/>
      <c r="Q47" s="475"/>
      <c r="R47" s="253"/>
      <c r="S47" s="433">
        <f t="shared" si="7"/>
        <v>-641.82234070699997</v>
      </c>
      <c r="T47" s="434">
        <f t="shared" si="9"/>
        <v>-1150.0896043110001</v>
      </c>
      <c r="U47" s="750" t="str">
        <f t="shared" si="6"/>
        <v>n.a.</v>
      </c>
      <c r="V47" s="750" t="str">
        <f t="shared" si="8"/>
        <v>n.a.</v>
      </c>
      <c r="W47" s="430"/>
    </row>
    <row r="48" spans="1:25" ht="12" customHeight="1">
      <c r="A48" s="25"/>
      <c r="F48" s="471"/>
      <c r="G48" s="471" t="s">
        <v>161</v>
      </c>
      <c r="H48" s="471"/>
      <c r="I48" s="726"/>
      <c r="J48" s="522">
        <v>3.0043775070000009</v>
      </c>
      <c r="K48" s="522">
        <v>-1.8104794929999954</v>
      </c>
      <c r="L48" s="522">
        <v>5.8467029310000029</v>
      </c>
      <c r="M48" s="688">
        <v>2.5483786929999894</v>
      </c>
      <c r="N48" s="522">
        <v>3.215575029</v>
      </c>
      <c r="O48" s="475">
        <v>18.229057657000006</v>
      </c>
      <c r="P48" s="475"/>
      <c r="Q48" s="475"/>
      <c r="R48" s="253"/>
      <c r="S48" s="433">
        <f t="shared" si="7"/>
        <v>1.1938980140000055</v>
      </c>
      <c r="T48" s="434">
        <f t="shared" si="9"/>
        <v>21.444632686000006</v>
      </c>
      <c r="U48" s="750">
        <f t="shared" si="6"/>
        <v>16.961805846385797</v>
      </c>
      <c r="V48" s="750">
        <f t="shared" si="8"/>
        <v>4.6689575817887796</v>
      </c>
      <c r="W48" s="67"/>
    </row>
    <row r="49" spans="1:26" ht="12" customHeight="1">
      <c r="A49" s="25"/>
      <c r="F49" s="472" t="s">
        <v>292</v>
      </c>
      <c r="G49" s="113"/>
      <c r="H49" s="113"/>
      <c r="I49" s="114"/>
      <c r="J49" s="653">
        <v>58.664816725999998</v>
      </c>
      <c r="K49" s="653">
        <v>41.388534480000004</v>
      </c>
      <c r="L49" s="653">
        <v>47.743867520000009</v>
      </c>
      <c r="M49" s="689">
        <v>51.014460458000002</v>
      </c>
      <c r="N49" s="653">
        <v>31.104497051999999</v>
      </c>
      <c r="O49" s="685">
        <v>86.839615013</v>
      </c>
      <c r="P49" s="685"/>
      <c r="Q49" s="685"/>
      <c r="R49" s="321"/>
      <c r="S49" s="431">
        <f t="shared" si="7"/>
        <v>100.053351206</v>
      </c>
      <c r="T49" s="435">
        <f t="shared" si="5"/>
        <v>117.944112065</v>
      </c>
      <c r="U49" s="752">
        <f t="shared" si="6"/>
        <v>0.1788115146511764</v>
      </c>
      <c r="V49" s="752">
        <f t="shared" si="8"/>
        <v>1.7918661286952049</v>
      </c>
    </row>
    <row r="50" spans="1:26" ht="12" customHeight="1">
      <c r="A50" s="25"/>
      <c r="F50" s="127" t="s">
        <v>293</v>
      </c>
      <c r="G50" s="113"/>
      <c r="H50" s="113"/>
      <c r="I50" s="114"/>
      <c r="J50" s="653">
        <v>-5.0065736919999999</v>
      </c>
      <c r="K50" s="653">
        <v>1.0811314599999999</v>
      </c>
      <c r="L50" s="653">
        <v>-17.253720809999997</v>
      </c>
      <c r="M50" s="689">
        <v>-2.2042256009999974</v>
      </c>
      <c r="N50" s="653">
        <v>-0.1044006930000001</v>
      </c>
      <c r="O50" s="685">
        <v>2.7407826820000003</v>
      </c>
      <c r="P50" s="685"/>
      <c r="Q50" s="685"/>
      <c r="R50" s="321"/>
      <c r="S50" s="431">
        <f t="shared" si="7"/>
        <v>-3.925442232</v>
      </c>
      <c r="T50" s="435">
        <f t="shared" si="5"/>
        <v>2.6363819890000002</v>
      </c>
      <c r="U50" s="752" t="str">
        <f t="shared" si="6"/>
        <v>n.a.</v>
      </c>
      <c r="V50" s="752" t="str">
        <f t="shared" si="8"/>
        <v>n.a.</v>
      </c>
    </row>
    <row r="51" spans="1:26" ht="12" customHeight="1">
      <c r="F51" s="127" t="s">
        <v>294</v>
      </c>
      <c r="G51" s="127"/>
      <c r="H51" s="127"/>
      <c r="I51" s="727"/>
      <c r="J51" s="653">
        <v>53.658243034000002</v>
      </c>
      <c r="K51" s="653">
        <v>42.469665939999992</v>
      </c>
      <c r="L51" s="653">
        <v>30.490146710000005</v>
      </c>
      <c r="M51" s="689">
        <v>48.810234856999998</v>
      </c>
      <c r="N51" s="653">
        <v>31.000096359</v>
      </c>
      <c r="O51" s="685">
        <v>89.580397695000002</v>
      </c>
      <c r="P51" s="685"/>
      <c r="Q51" s="685"/>
      <c r="R51" s="321"/>
      <c r="S51" s="431">
        <f t="shared" si="7"/>
        <v>96.127908973999993</v>
      </c>
      <c r="T51" s="435">
        <f t="shared" si="5"/>
        <v>120.580494054</v>
      </c>
      <c r="U51" s="752">
        <f t="shared" si="6"/>
        <v>0.25437568073368921</v>
      </c>
      <c r="V51" s="752">
        <f t="shared" si="8"/>
        <v>1.8896810010290288</v>
      </c>
    </row>
    <row r="52" spans="1:26" ht="12" customHeight="1">
      <c r="F52" s="128" t="s">
        <v>50</v>
      </c>
      <c r="G52" s="128"/>
      <c r="H52" s="128"/>
      <c r="I52" s="728"/>
      <c r="J52" s="655">
        <v>46.194080006</v>
      </c>
      <c r="K52" s="654">
        <v>36.218191495000006</v>
      </c>
      <c r="L52" s="654">
        <v>27.444114821999989</v>
      </c>
      <c r="M52" s="690">
        <v>14.637250221000002</v>
      </c>
      <c r="N52" s="654">
        <v>25.023874240000001</v>
      </c>
      <c r="O52" s="686">
        <v>66.905802602999998</v>
      </c>
      <c r="P52" s="686"/>
      <c r="Q52" s="686"/>
      <c r="R52" s="407"/>
      <c r="S52" s="436">
        <f t="shared" si="7"/>
        <v>82.412271501000006</v>
      </c>
      <c r="T52" s="437">
        <f t="shared" si="5"/>
        <v>91.929676842999996</v>
      </c>
      <c r="U52" s="751">
        <f t="shared" si="6"/>
        <v>0.11548518849734801</v>
      </c>
      <c r="V52" s="751">
        <f t="shared" si="8"/>
        <v>1.6736759657767175</v>
      </c>
    </row>
    <row r="53" spans="1:26" ht="12" customHeight="1">
      <c r="F53" s="545"/>
      <c r="G53" s="529"/>
      <c r="H53" s="529"/>
      <c r="I53" s="529"/>
      <c r="W53" s="276"/>
      <c r="X53" s="276"/>
      <c r="Y53" s="276"/>
      <c r="Z53" s="276"/>
    </row>
    <row r="54" spans="1:26" ht="12" customHeight="1">
      <c r="F54" s="473"/>
      <c r="G54" s="473"/>
      <c r="H54" s="473"/>
      <c r="I54" s="473"/>
      <c r="J54" s="662"/>
      <c r="K54" s="662"/>
      <c r="L54" s="662"/>
      <c r="M54" s="662"/>
      <c r="N54" s="662"/>
      <c r="O54" s="662"/>
      <c r="P54" s="662"/>
      <c r="Q54" s="662"/>
      <c r="R54" s="662"/>
      <c r="S54" s="662"/>
      <c r="T54" s="662"/>
      <c r="U54" s="662"/>
      <c r="V54" s="662"/>
    </row>
    <row r="55" spans="1:26">
      <c r="T55" s="67"/>
    </row>
    <row r="66" spans="1:10" ht="12">
      <c r="A66" s="1"/>
      <c r="J66" s="473"/>
    </row>
    <row r="67" spans="1:10" ht="12">
      <c r="A67" s="1"/>
      <c r="J67" s="473"/>
    </row>
    <row r="68" spans="1:10" ht="12">
      <c r="A68" s="1"/>
      <c r="J68" s="473"/>
    </row>
    <row r="69" spans="1:10" ht="12">
      <c r="A69" s="1"/>
      <c r="J69" s="473"/>
    </row>
    <row r="70" spans="1:10" ht="12">
      <c r="A70" s="1"/>
      <c r="J70" s="473"/>
    </row>
    <row r="71" spans="1:10" ht="12">
      <c r="A71" s="1"/>
      <c r="J71" s="473"/>
    </row>
    <row r="72" spans="1:10" ht="12">
      <c r="A72" s="1"/>
      <c r="J72" s="473"/>
    </row>
    <row r="73" spans="1:10" ht="12">
      <c r="A73" s="1"/>
    </row>
    <row r="74" spans="1:10" ht="12">
      <c r="A74" s="1"/>
    </row>
    <row r="75" spans="1:10" ht="12">
      <c r="A75" s="1"/>
    </row>
    <row r="76" spans="1:10" ht="12">
      <c r="A76" s="1"/>
    </row>
    <row r="77" spans="1:10" ht="12">
      <c r="A77" s="1"/>
    </row>
    <row r="78" spans="1:10" ht="12">
      <c r="A78" s="1"/>
    </row>
  </sheetData>
  <mergeCells count="8">
    <mergeCell ref="J35:M35"/>
    <mergeCell ref="S35:T35"/>
    <mergeCell ref="U35:V35"/>
    <mergeCell ref="U2:V2"/>
    <mergeCell ref="S2:T2"/>
    <mergeCell ref="J2:M2"/>
    <mergeCell ref="N2:Q2"/>
    <mergeCell ref="N35:Q35"/>
  </mergeCells>
  <phoneticPr fontId="7" type="noConversion"/>
  <hyperlinks>
    <hyperlink ref="B5" location="FH!A1" display="재무현황" xr:uid="{00000000-0004-0000-0200-000000000000}"/>
    <hyperlink ref="B7" location="FS!A1" display="요약재무상태표 (Selected Balance sheet)" xr:uid="{00000000-0004-0000-0200-000001000000}"/>
    <hyperlink ref="C15" location="Stability!A1" display="재무 안정성 (Financial Stability)" xr:uid="{00000000-0004-0000-0200-000002000000}"/>
    <hyperlink ref="C16" location="Productivity!A1" display="생산성 / 경영효율 (Productivity / Operating Efficiency)" xr:uid="{00000000-0004-0000-0200-000003000000}"/>
    <hyperlink ref="C20" location="'Premium Income by P.T.(GA+SA)'!A1" display="상품별 수입보험료 (Premium Income)" xr:uid="{00000000-0004-0000-0200-000004000000}"/>
    <hyperlink ref="C21" location="'Initial P. by P.T.'!A1" display="상품별 초회보험료 (Initial Premium)" xr:uid="{00000000-0004-0000-0200-000005000000}"/>
    <hyperlink ref="C22" location="'First-year P. by P.T.'!A1" display="상품별 초년도보험료 (First Year Premium)" xr:uid="{00000000-0004-0000-0200-000006000000}"/>
    <hyperlink ref="C26" location="'Premium Income by D.C.(GA+SA)'!A1" display="채널별 수입보험료 (Premium Income)" xr:uid="{00000000-0004-0000-0200-000007000000}"/>
    <hyperlink ref="C27" location="'First-year P. by D.C'!A1" display="채널별 초년도보험료 (First Year Premium)" xr:uid="{00000000-0004-0000-0200-000008000000}"/>
    <hyperlink ref="C31" location="'&gt;Loan'!A1" display="대출 (Loan)/ 자산건전성 (Asset Quality of Loan)" xr:uid="{00000000-0004-0000-0200-000009000000}"/>
    <hyperlink ref="C32" location="'&gt;Bond'!A1" display="채권 (Bond)" xr:uid="{00000000-0004-0000-0200-00000A000000}"/>
    <hyperlink ref="C35" location="'BS  K-IFRS'!A1" display="재무상태표 (Balance Sheet - KIFRS)" xr:uid="{00000000-0004-0000-0200-00000B000000}"/>
    <hyperlink ref="C36" location="'IS  K-IFRS'!A1" display="손익계산서 (Income Statement - KIFRS)" xr:uid="{00000000-0004-0000-0200-00000C000000}"/>
    <hyperlink ref="B8" location="FS!A1" display="요약손익계산서 (Selected Income Statement)" xr:uid="{00000000-0004-0000-0200-00000D000000}"/>
    <hyperlink ref="B10" location="CSM!A1" display="RA, CSM, BEL Movement" xr:uid="{00000000-0004-0000-0200-00000E000000}"/>
    <hyperlink ref="B11" location="CSM!A1" display="신계약 CSM (New Business CSM)" xr:uid="{00000000-0004-0000-0200-00000F000000}"/>
    <hyperlink ref="B13" location="'Sources of Margin'!A1" display="이원별손익" xr:uid="{00000000-0004-0000-0200-000010000000}"/>
    <hyperlink ref="B12" location="CSM!A1" display="신계약 CSM 배수 (New Business CSM Margin)" xr:uid="{00000000-0004-0000-0200-000011000000}"/>
    <hyperlink ref="C19" location="'APE by P.T'!A1" display="상품별 APE (Annualized Premium Equivalent (APE))" xr:uid="{00000000-0004-0000-0200-000012000000}"/>
    <hyperlink ref="C25" location="'APE by D.C'!A1" display="채널별 APE (Annualized Premium Equivalent (APE))" xr:uid="{00000000-0004-0000-0200-000013000000}"/>
  </hyperlinks>
  <pageMargins left="0.19685039370078741" right="0.19685039370078741" top="0.74803149606299213" bottom="0.74803149606299213" header="0.31496062992125984" footer="0.31496062992125984"/>
  <pageSetup paperSize="9" scale="6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8.7109375" style="1" customWidth="1"/>
    <col min="10" max="15" width="11.28515625" style="1" customWidth="1"/>
    <col min="16" max="17" width="11.28515625" style="1" hidden="1" customWidth="1"/>
    <col min="18" max="18" width="3.85546875" style="1" customWidth="1"/>
    <col min="19" max="22" width="11.28515625" style="1" customWidth="1"/>
    <col min="23" max="23" width="3.85546875" style="1" customWidth="1"/>
    <col min="24" max="32" width="9.140625" style="548"/>
    <col min="33" max="16384" width="9.140625" style="1"/>
  </cols>
  <sheetData>
    <row r="1" spans="1:32" s="3" customFormat="1" ht="24" customHeight="1">
      <c r="A1" s="6"/>
      <c r="F1" s="85" t="s">
        <v>201</v>
      </c>
      <c r="G1" s="85"/>
      <c r="H1" s="86"/>
      <c r="I1" s="86"/>
      <c r="X1" s="597"/>
      <c r="Y1" s="597"/>
      <c r="Z1" s="597"/>
      <c r="AA1" s="597"/>
      <c r="AB1" s="597"/>
      <c r="AC1" s="597"/>
      <c r="AD1" s="597"/>
      <c r="AE1" s="597"/>
      <c r="AF1" s="597"/>
    </row>
    <row r="2" spans="1:32" ht="12" customHeight="1">
      <c r="A2" s="133"/>
      <c r="B2" s="134"/>
      <c r="C2" s="134"/>
      <c r="F2" s="240" t="s">
        <v>22</v>
      </c>
      <c r="G2" s="240"/>
      <c r="H2" s="240"/>
      <c r="I2" s="240"/>
      <c r="J2" s="800" t="s">
        <v>233</v>
      </c>
      <c r="K2" s="801"/>
      <c r="L2" s="801"/>
      <c r="M2" s="801"/>
      <c r="N2" s="800" t="s">
        <v>374</v>
      </c>
      <c r="O2" s="801"/>
      <c r="P2" s="801"/>
      <c r="Q2" s="801"/>
      <c r="R2" s="3"/>
      <c r="S2" s="801" t="s">
        <v>222</v>
      </c>
      <c r="T2" s="802"/>
      <c r="U2" s="410"/>
      <c r="V2" s="329"/>
      <c r="W2" s="3"/>
    </row>
    <row r="3" spans="1:32" ht="12" customHeight="1">
      <c r="A3" s="133" t="s">
        <v>27</v>
      </c>
      <c r="B3" s="134"/>
      <c r="C3" s="134"/>
      <c r="F3" s="241" t="s">
        <v>56</v>
      </c>
      <c r="G3" s="241"/>
      <c r="H3" s="241"/>
      <c r="I3" s="730"/>
      <c r="J3" s="287">
        <v>45747</v>
      </c>
      <c r="K3" s="287">
        <v>45838</v>
      </c>
      <c r="L3" s="287">
        <v>45930</v>
      </c>
      <c r="M3" s="287">
        <v>46022</v>
      </c>
      <c r="N3" s="451">
        <v>46112</v>
      </c>
      <c r="O3" s="287">
        <v>46203</v>
      </c>
      <c r="P3" s="287">
        <v>46295</v>
      </c>
      <c r="Q3" s="287">
        <v>46387</v>
      </c>
      <c r="R3" s="3"/>
      <c r="S3" s="288" t="s">
        <v>379</v>
      </c>
      <c r="T3" s="338" t="s">
        <v>380</v>
      </c>
      <c r="U3" s="288" t="s">
        <v>23</v>
      </c>
      <c r="V3" s="264" t="s">
        <v>24</v>
      </c>
      <c r="X3" s="598"/>
    </row>
    <row r="4" spans="1:32" ht="12" customHeight="1">
      <c r="A4" s="133"/>
      <c r="B4" s="134"/>
      <c r="C4" s="134"/>
      <c r="F4" s="807" t="s">
        <v>172</v>
      </c>
      <c r="G4" s="807"/>
      <c r="H4" s="246"/>
      <c r="I4" s="246" t="s">
        <v>197</v>
      </c>
      <c r="J4" s="478">
        <v>23292.637689645002</v>
      </c>
      <c r="K4" s="531">
        <v>24379.766806111002</v>
      </c>
      <c r="L4" s="531">
        <v>24160.524097648002</v>
      </c>
      <c r="M4" s="531">
        <v>24315.769218917998</v>
      </c>
      <c r="N4" s="478">
        <v>23426.844908477</v>
      </c>
      <c r="O4" s="474">
        <v>21761.865203751</v>
      </c>
      <c r="P4" s="474"/>
      <c r="Q4" s="474"/>
      <c r="R4" s="3"/>
      <c r="S4" s="429">
        <f>J4</f>
        <v>23292.637689645002</v>
      </c>
      <c r="T4" s="339">
        <f>N4</f>
        <v>23426.844908477</v>
      </c>
      <c r="U4" s="282">
        <f t="shared" ref="U4:U21" si="0">IF(T4/S4&lt;0,"n.a.",IF(S4&gt;0,ROUND(T4,4)/ROUND(S4,4)-1,IF(S4&lt;0,"n.a.")))</f>
        <v>5.7617862660526153E-3</v>
      </c>
      <c r="V4" s="282">
        <f>IF(O4/N4&lt;0,"n.a.",IF(N4&gt;0,ROUND(O4,4)/ROUND(N4,4)-1,IF(N4&lt;0,"n.a.")))</f>
        <v>-7.10714441960556E-2</v>
      </c>
    </row>
    <row r="5" spans="1:32" ht="12" customHeight="1">
      <c r="A5" s="143"/>
      <c r="B5" s="133" t="s">
        <v>155</v>
      </c>
      <c r="C5" s="133"/>
      <c r="F5" s="808"/>
      <c r="G5" s="808"/>
      <c r="H5" s="405"/>
      <c r="I5" s="244" t="s">
        <v>199</v>
      </c>
      <c r="J5" s="479">
        <v>-206.71097247999998</v>
      </c>
      <c r="K5" s="522">
        <v>-123.4244467</v>
      </c>
      <c r="L5" s="522">
        <v>-135.56074172499999</v>
      </c>
      <c r="M5" s="522">
        <v>-112.52749001699999</v>
      </c>
      <c r="N5" s="479">
        <v>-103.941721728</v>
      </c>
      <c r="O5" s="475">
        <v>-162.93215028999998</v>
      </c>
      <c r="P5" s="475"/>
      <c r="Q5" s="475"/>
      <c r="R5" s="323"/>
      <c r="S5" s="322">
        <f>+SUM(J5:K5)</f>
        <v>-330.13541917999999</v>
      </c>
      <c r="T5" s="340">
        <f>+SUM(N5:Q5)</f>
        <v>-266.87387201799999</v>
      </c>
      <c r="U5" s="250" t="str">
        <f t="shared" si="0"/>
        <v>n.a.</v>
      </c>
      <c r="V5" s="250" t="str">
        <f t="shared" ref="V5:V21" si="1">IF(O5/N5&lt;0,"n.a.",IF(N5&gt;0,ROUND(O5,4)/ROUND(N5,4)-1,IF(N5&lt;0,"n.a.")))</f>
        <v>n.a.</v>
      </c>
    </row>
    <row r="6" spans="1:32" ht="12" customHeight="1">
      <c r="A6" s="143"/>
      <c r="B6" s="142"/>
      <c r="C6" s="134"/>
      <c r="F6" s="808"/>
      <c r="G6" s="808"/>
      <c r="H6" s="246"/>
      <c r="I6" s="100" t="s">
        <v>189</v>
      </c>
      <c r="J6" s="479">
        <v>224.28292892000002</v>
      </c>
      <c r="K6" s="522">
        <v>326.06562856699998</v>
      </c>
      <c r="L6" s="522">
        <v>272.09560696699998</v>
      </c>
      <c r="M6" s="522">
        <v>291.67364431700003</v>
      </c>
      <c r="N6" s="479">
        <v>312.79936234000002</v>
      </c>
      <c r="O6" s="475">
        <v>753.45578967100005</v>
      </c>
      <c r="P6" s="475"/>
      <c r="Q6" s="475"/>
      <c r="R6" s="323"/>
      <c r="S6" s="322">
        <f>+SUM(J6:K6)</f>
        <v>550.34855748699999</v>
      </c>
      <c r="T6" s="340">
        <f>+SUM(N6:Q6)</f>
        <v>1066.2551520110001</v>
      </c>
      <c r="U6" s="250">
        <f t="shared" si="0"/>
        <v>0.93741784752427826</v>
      </c>
      <c r="V6" s="250">
        <f t="shared" si="1"/>
        <v>1.4087507840488183</v>
      </c>
    </row>
    <row r="7" spans="1:32" ht="12.75" customHeight="1">
      <c r="A7" s="143"/>
      <c r="B7" s="142" t="s">
        <v>212</v>
      </c>
      <c r="C7" s="134"/>
      <c r="F7" s="808"/>
      <c r="G7" s="808"/>
      <c r="H7" s="246"/>
      <c r="I7" s="100" t="s">
        <v>200</v>
      </c>
      <c r="J7" s="479">
        <v>-80.928354024000001</v>
      </c>
      <c r="K7" s="522">
        <v>19.204317856999999</v>
      </c>
      <c r="L7" s="522">
        <v>212.07018526300001</v>
      </c>
      <c r="M7" s="522">
        <v>-176.781531196</v>
      </c>
      <c r="N7" s="479">
        <v>-310.62605576200002</v>
      </c>
      <c r="O7" s="475">
        <v>37.415238700000003</v>
      </c>
      <c r="P7" s="475"/>
      <c r="Q7" s="475"/>
      <c r="R7" s="323"/>
      <c r="S7" s="322">
        <f>+SUM(J7:K7)</f>
        <v>-61.724036167000001</v>
      </c>
      <c r="T7" s="340">
        <f>+SUM(N7:Q7)</f>
        <v>-273.21081706200005</v>
      </c>
      <c r="U7" s="250" t="str">
        <f t="shared" si="0"/>
        <v>n.a.</v>
      </c>
      <c r="V7" s="250" t="str">
        <f t="shared" si="1"/>
        <v>n.a.</v>
      </c>
    </row>
    <row r="8" spans="1:32" ht="12" customHeight="1">
      <c r="A8" s="143"/>
      <c r="B8" s="142" t="s">
        <v>213</v>
      </c>
      <c r="C8" s="134"/>
      <c r="F8" s="808"/>
      <c r="G8" s="808"/>
      <c r="H8" s="246"/>
      <c r="I8" s="100" t="s">
        <v>161</v>
      </c>
      <c r="J8" s="479">
        <v>1150.4855140499967</v>
      </c>
      <c r="K8" s="522">
        <v>-441.08820818700042</v>
      </c>
      <c r="L8" s="522">
        <v>-193.35992923500453</v>
      </c>
      <c r="M8" s="522">
        <v>-891.28893354499814</v>
      </c>
      <c r="N8" s="479">
        <v>-1563.2112895760001</v>
      </c>
      <c r="O8" s="475">
        <v>-1379.832441814</v>
      </c>
      <c r="P8" s="475"/>
      <c r="Q8" s="475"/>
      <c r="R8" s="323"/>
      <c r="S8" s="322">
        <f>+SUM(J8:K8)</f>
        <v>709.39730586299629</v>
      </c>
      <c r="T8" s="340">
        <f>+SUM(N8:Q8)</f>
        <v>-2943.0437313900002</v>
      </c>
      <c r="U8" s="250" t="str">
        <f t="shared" si="0"/>
        <v>n.a.</v>
      </c>
      <c r="V8" s="250" t="str">
        <f t="shared" si="1"/>
        <v>n.a.</v>
      </c>
    </row>
    <row r="9" spans="1:32" ht="12.75" customHeight="1">
      <c r="A9" s="143"/>
      <c r="B9" s="142"/>
      <c r="C9" s="134"/>
      <c r="F9" s="808"/>
      <c r="G9" s="808"/>
      <c r="H9" s="246"/>
      <c r="I9" s="246" t="s">
        <v>198</v>
      </c>
      <c r="J9" s="480">
        <v>24379.766806111002</v>
      </c>
      <c r="K9" s="531">
        <v>24160.524097648002</v>
      </c>
      <c r="L9" s="531">
        <v>24315.769218917998</v>
      </c>
      <c r="M9" s="531">
        <v>23426.844908477</v>
      </c>
      <c r="N9" s="480">
        <v>21761.865203751</v>
      </c>
      <c r="O9" s="474">
        <v>21009.971640018</v>
      </c>
      <c r="P9" s="474"/>
      <c r="Q9" s="474"/>
      <c r="R9" s="3"/>
      <c r="S9" s="401">
        <f>K9</f>
        <v>24160.524097648002</v>
      </c>
      <c r="T9" s="339">
        <f>O9</f>
        <v>21009.971640018</v>
      </c>
      <c r="U9" s="395">
        <f t="shared" si="0"/>
        <v>-0.13040083430971594</v>
      </c>
      <c r="V9" s="395">
        <f t="shared" si="1"/>
        <v>-3.4550972220892096E-2</v>
      </c>
    </row>
    <row r="10" spans="1:32" ht="12" customHeight="1">
      <c r="A10" s="133"/>
      <c r="B10" s="142" t="s">
        <v>171</v>
      </c>
      <c r="C10" s="134"/>
      <c r="F10" s="809" t="s">
        <v>190</v>
      </c>
      <c r="G10" s="809"/>
      <c r="H10" s="404"/>
      <c r="I10" s="404" t="s">
        <v>192</v>
      </c>
      <c r="J10" s="481">
        <v>466.33601045500001</v>
      </c>
      <c r="K10" s="532">
        <v>472.494696369</v>
      </c>
      <c r="L10" s="532">
        <v>488.93878047700002</v>
      </c>
      <c r="M10" s="532">
        <v>493.99080792799998</v>
      </c>
      <c r="N10" s="481">
        <v>470.44578673500001</v>
      </c>
      <c r="O10" s="476">
        <v>489.20572233500002</v>
      </c>
      <c r="P10" s="476"/>
      <c r="Q10" s="476"/>
      <c r="R10" s="489"/>
      <c r="S10" s="397">
        <f>J10</f>
        <v>466.33601045500001</v>
      </c>
      <c r="T10" s="398">
        <f t="shared" ref="T10" si="2">N10</f>
        <v>470.44578673500001</v>
      </c>
      <c r="U10" s="399">
        <f t="shared" si="0"/>
        <v>8.8129588965895067E-3</v>
      </c>
      <c r="V10" s="399">
        <f t="shared" si="1"/>
        <v>3.9876857227761242E-2</v>
      </c>
    </row>
    <row r="11" spans="1:32" ht="12" customHeight="1">
      <c r="A11" s="133"/>
      <c r="B11" s="142" t="s">
        <v>166</v>
      </c>
      <c r="C11" s="134"/>
      <c r="F11" s="808"/>
      <c r="G11" s="808"/>
      <c r="H11" s="263"/>
      <c r="I11" s="89" t="s">
        <v>199</v>
      </c>
      <c r="J11" s="479">
        <v>17.914724135</v>
      </c>
      <c r="K11" s="522">
        <v>13.116018635</v>
      </c>
      <c r="L11" s="522">
        <v>14.742877183999999</v>
      </c>
      <c r="M11" s="522">
        <v>12.613123103</v>
      </c>
      <c r="N11" s="479">
        <v>11.750924102999999</v>
      </c>
      <c r="O11" s="475">
        <v>16.158726776000002</v>
      </c>
      <c r="P11" s="475"/>
      <c r="Q11" s="475"/>
      <c r="R11" s="323"/>
      <c r="S11" s="322">
        <f>+SUM(J11:K11)</f>
        <v>31.03074277</v>
      </c>
      <c r="T11" s="340">
        <f t="shared" ref="T11:T14" si="3">+SUM(N11:Q11)</f>
        <v>27.909650879000001</v>
      </c>
      <c r="U11" s="396">
        <f t="shared" si="0"/>
        <v>-0.10057781487365736</v>
      </c>
      <c r="V11" s="396">
        <f t="shared" si="1"/>
        <v>0.37510318358593819</v>
      </c>
    </row>
    <row r="12" spans="1:32" ht="12" customHeight="1">
      <c r="A12" s="133"/>
      <c r="B12" s="142" t="s">
        <v>219</v>
      </c>
      <c r="C12" s="134"/>
      <c r="F12" s="808"/>
      <c r="G12" s="808"/>
      <c r="H12" s="263"/>
      <c r="I12" s="100" t="s">
        <v>189</v>
      </c>
      <c r="J12" s="479">
        <v>4.1129862749999999</v>
      </c>
      <c r="K12" s="522">
        <v>4.2515464789999999</v>
      </c>
      <c r="L12" s="522">
        <v>4.3092120380000001</v>
      </c>
      <c r="M12" s="522">
        <v>5.284606643</v>
      </c>
      <c r="N12" s="479">
        <v>4.130051173</v>
      </c>
      <c r="O12" s="475">
        <v>4.2226775180000002</v>
      </c>
      <c r="P12" s="475"/>
      <c r="Q12" s="475"/>
      <c r="R12" s="323"/>
      <c r="S12" s="322">
        <f>+SUM(J12:K12)</f>
        <v>8.364532753999999</v>
      </c>
      <c r="T12" s="340">
        <f t="shared" si="3"/>
        <v>8.3527286909999994</v>
      </c>
      <c r="U12" s="396">
        <f t="shared" si="0"/>
        <v>-1.4107238926414079E-3</v>
      </c>
      <c r="V12" s="396">
        <f t="shared" si="1"/>
        <v>2.2420764630396439E-2</v>
      </c>
    </row>
    <row r="13" spans="1:32" ht="12" customHeight="1">
      <c r="A13" s="133"/>
      <c r="B13" s="142"/>
      <c r="C13" s="134"/>
      <c r="F13" s="808"/>
      <c r="G13" s="808"/>
      <c r="H13" s="263"/>
      <c r="I13" s="100" t="s">
        <v>149</v>
      </c>
      <c r="J13" s="479">
        <v>-11.135397902999999</v>
      </c>
      <c r="K13" s="522">
        <v>-11.008743130999999</v>
      </c>
      <c r="L13" s="522">
        <v>-10.759073901000001</v>
      </c>
      <c r="M13" s="522">
        <v>-10.730103606</v>
      </c>
      <c r="N13" s="479">
        <v>-10.272807022</v>
      </c>
      <c r="O13" s="475">
        <v>-9.9859833059999996</v>
      </c>
      <c r="P13" s="475"/>
      <c r="Q13" s="475"/>
      <c r="R13" s="323"/>
      <c r="S13" s="322">
        <f>+SUM(J13:K13)</f>
        <v>-22.144141034</v>
      </c>
      <c r="T13" s="340">
        <f t="shared" si="3"/>
        <v>-20.258790328</v>
      </c>
      <c r="U13" s="396" t="str">
        <f t="shared" si="0"/>
        <v>n.a.</v>
      </c>
      <c r="V13" s="396" t="str">
        <f t="shared" si="1"/>
        <v>n.a.</v>
      </c>
    </row>
    <row r="14" spans="1:32" ht="12" customHeight="1">
      <c r="A14" s="133"/>
      <c r="B14" s="133" t="s">
        <v>173</v>
      </c>
      <c r="C14" s="134"/>
      <c r="F14" s="808"/>
      <c r="G14" s="808"/>
      <c r="H14" s="263"/>
      <c r="I14" s="89" t="s">
        <v>161</v>
      </c>
      <c r="J14" s="479">
        <v>-4.7336265929999968</v>
      </c>
      <c r="K14" s="522">
        <v>10.085262125000042</v>
      </c>
      <c r="L14" s="522">
        <v>-3.2409878700000263</v>
      </c>
      <c r="M14" s="522">
        <v>-30.712647333000007</v>
      </c>
      <c r="N14" s="479">
        <v>13.151767345999986</v>
      </c>
      <c r="O14" s="475">
        <v>23.963907682999945</v>
      </c>
      <c r="P14" s="475"/>
      <c r="Q14" s="475"/>
      <c r="R14" s="323"/>
      <c r="S14" s="322">
        <f>+SUM(J14:K14)</f>
        <v>5.3516355320000457</v>
      </c>
      <c r="T14" s="340">
        <f t="shared" si="3"/>
        <v>37.115675028999931</v>
      </c>
      <c r="U14" s="396">
        <f t="shared" si="0"/>
        <v>5.9354398684505556</v>
      </c>
      <c r="V14" s="396">
        <f t="shared" si="1"/>
        <v>0.82210039690384584</v>
      </c>
    </row>
    <row r="15" spans="1:32" ht="12" customHeight="1">
      <c r="A15" s="133"/>
      <c r="B15" s="135"/>
      <c r="C15" s="142" t="s">
        <v>40</v>
      </c>
      <c r="F15" s="810"/>
      <c r="G15" s="810"/>
      <c r="H15" s="400"/>
      <c r="I15" s="400" t="s">
        <v>191</v>
      </c>
      <c r="J15" s="482">
        <v>472.494696369</v>
      </c>
      <c r="K15" s="533">
        <v>488.93878047700002</v>
      </c>
      <c r="L15" s="533">
        <v>493.99080792799998</v>
      </c>
      <c r="M15" s="533">
        <v>470.44578673500001</v>
      </c>
      <c r="N15" s="482">
        <v>489.20572233500002</v>
      </c>
      <c r="O15" s="477">
        <v>523.56505100599998</v>
      </c>
      <c r="P15" s="477"/>
      <c r="Q15" s="477"/>
      <c r="R15" s="489"/>
      <c r="S15" s="401">
        <f>K15</f>
        <v>488.93878047700002</v>
      </c>
      <c r="T15" s="402">
        <f t="shared" ref="T15" si="4">O15</f>
        <v>523.56505100599998</v>
      </c>
      <c r="U15" s="403">
        <f t="shared" si="0"/>
        <v>7.0819292721297611E-2</v>
      </c>
      <c r="V15" s="403">
        <f t="shared" si="1"/>
        <v>7.0235076982954281E-2</v>
      </c>
    </row>
    <row r="16" spans="1:32" ht="12" customHeight="1">
      <c r="A16" s="133"/>
      <c r="B16" s="133"/>
      <c r="C16" s="142" t="s">
        <v>41</v>
      </c>
      <c r="F16" s="805" t="s">
        <v>193</v>
      </c>
      <c r="G16" s="805"/>
      <c r="H16" s="805"/>
      <c r="I16" s="263" t="s">
        <v>194</v>
      </c>
      <c r="J16" s="480">
        <v>2671.0888680560001</v>
      </c>
      <c r="K16" s="531">
        <v>2661.1771350049999</v>
      </c>
      <c r="L16" s="531">
        <v>2744.2352676780001</v>
      </c>
      <c r="M16" s="531">
        <v>2796.980899869</v>
      </c>
      <c r="N16" s="480">
        <v>2457.0954806169998</v>
      </c>
      <c r="O16" s="474">
        <v>2510.8346162839998</v>
      </c>
      <c r="P16" s="474"/>
      <c r="Q16" s="474"/>
      <c r="R16" s="489"/>
      <c r="S16" s="265">
        <f>J16</f>
        <v>2671.0888680560001</v>
      </c>
      <c r="T16" s="339">
        <f t="shared" ref="T16" si="5">N16</f>
        <v>2457.0954806169998</v>
      </c>
      <c r="U16" s="282">
        <f t="shared" si="0"/>
        <v>-8.0114667842017595E-2</v>
      </c>
      <c r="V16" s="282">
        <f t="shared" si="1"/>
        <v>2.1870985478586569E-2</v>
      </c>
      <c r="X16" s="276"/>
    </row>
    <row r="17" spans="1:32" ht="12.75" customHeight="1">
      <c r="A17" s="133"/>
      <c r="B17" s="133"/>
      <c r="C17" s="142"/>
      <c r="F17" s="805"/>
      <c r="G17" s="805"/>
      <c r="H17" s="805"/>
      <c r="I17" s="89" t="s">
        <v>199</v>
      </c>
      <c r="J17" s="479">
        <v>190.381421389</v>
      </c>
      <c r="K17" s="522">
        <v>112.504863989</v>
      </c>
      <c r="L17" s="522">
        <v>122.96215785299999</v>
      </c>
      <c r="M17" s="522">
        <v>103.283784295</v>
      </c>
      <c r="N17" s="479">
        <v>94.465158220999996</v>
      </c>
      <c r="O17" s="475">
        <v>148.02143365699999</v>
      </c>
      <c r="P17" s="475"/>
      <c r="Q17" s="475"/>
      <c r="R17" s="323"/>
      <c r="S17" s="322">
        <f>+SUM(J17:K17)</f>
        <v>302.88628537800003</v>
      </c>
      <c r="T17" s="340">
        <f t="shared" ref="T17:T20" si="6">+SUM(N17:Q17)</f>
        <v>242.48659187799998</v>
      </c>
      <c r="U17" s="250">
        <f t="shared" si="0"/>
        <v>-0.19941377341926658</v>
      </c>
      <c r="V17" s="250">
        <f t="shared" si="1"/>
        <v>0.56694105342496504</v>
      </c>
      <c r="W17" s="63"/>
    </row>
    <row r="18" spans="1:32" ht="12" customHeight="1">
      <c r="A18" s="133"/>
      <c r="B18" s="133" t="s">
        <v>176</v>
      </c>
      <c r="C18" s="142"/>
      <c r="F18" s="805"/>
      <c r="G18" s="805"/>
      <c r="H18" s="805"/>
      <c r="I18" s="89" t="s">
        <v>189</v>
      </c>
      <c r="J18" s="479">
        <v>27.804561703000001</v>
      </c>
      <c r="K18" s="522">
        <v>27.189727489999999</v>
      </c>
      <c r="L18" s="522">
        <v>27.696868264999999</v>
      </c>
      <c r="M18" s="522">
        <v>27.814267753999999</v>
      </c>
      <c r="N18" s="479">
        <v>24.745960787000001</v>
      </c>
      <c r="O18" s="475">
        <v>25.598144668</v>
      </c>
      <c r="P18" s="475"/>
      <c r="Q18" s="475"/>
      <c r="R18" s="323"/>
      <c r="S18" s="322">
        <f>+SUM(J18:K18)</f>
        <v>54.994289193</v>
      </c>
      <c r="T18" s="340">
        <f t="shared" si="6"/>
        <v>50.344105455000005</v>
      </c>
      <c r="U18" s="250">
        <f t="shared" si="0"/>
        <v>-8.4557854177614855E-2</v>
      </c>
      <c r="V18" s="250">
        <f t="shared" si="1"/>
        <v>3.4433847894609126E-2</v>
      </c>
      <c r="W18" s="63"/>
      <c r="Y18" s="639"/>
    </row>
    <row r="19" spans="1:32" ht="12" customHeight="1">
      <c r="A19" s="133"/>
      <c r="B19" s="133"/>
      <c r="C19" s="142" t="s">
        <v>33</v>
      </c>
      <c r="F19" s="805"/>
      <c r="G19" s="805"/>
      <c r="H19" s="805"/>
      <c r="I19" s="89" t="s">
        <v>195</v>
      </c>
      <c r="J19" s="479">
        <v>-62.317686078000001</v>
      </c>
      <c r="K19" s="522">
        <v>-63.745713754000001</v>
      </c>
      <c r="L19" s="522">
        <v>-63.797645989999999</v>
      </c>
      <c r="M19" s="522">
        <v>-56.890212413</v>
      </c>
      <c r="N19" s="479">
        <v>-62.113713349000001</v>
      </c>
      <c r="O19" s="475">
        <v>-63.397780652000002</v>
      </c>
      <c r="P19" s="475"/>
      <c r="Q19" s="475"/>
      <c r="R19" s="323"/>
      <c r="S19" s="322">
        <f>+SUM(J19:K19)</f>
        <v>-126.063399832</v>
      </c>
      <c r="T19" s="340">
        <f t="shared" si="6"/>
        <v>-125.511494001</v>
      </c>
      <c r="U19" s="250" t="str">
        <f t="shared" si="0"/>
        <v>n.a.</v>
      </c>
      <c r="V19" s="250" t="str">
        <f t="shared" si="1"/>
        <v>n.a.</v>
      </c>
      <c r="W19" s="63"/>
      <c r="Y19" s="276"/>
    </row>
    <row r="20" spans="1:32" ht="12" customHeight="1">
      <c r="A20" s="133"/>
      <c r="B20" s="133"/>
      <c r="C20" s="142" t="s">
        <v>29</v>
      </c>
      <c r="F20" s="805"/>
      <c r="G20" s="805"/>
      <c r="H20" s="805"/>
      <c r="I20" s="89" t="s">
        <v>161</v>
      </c>
      <c r="J20" s="479">
        <v>-165.78003006500057</v>
      </c>
      <c r="K20" s="522">
        <v>7.1092549479999434</v>
      </c>
      <c r="L20" s="522">
        <v>-34.115747936999924</v>
      </c>
      <c r="M20" s="522">
        <v>-414.09325888800004</v>
      </c>
      <c r="N20" s="479">
        <v>-3.3582699919998049</v>
      </c>
      <c r="O20" s="475">
        <v>24.649774154000625</v>
      </c>
      <c r="P20" s="475"/>
      <c r="Q20" s="475"/>
      <c r="R20" s="323"/>
      <c r="S20" s="322">
        <f>+SUM(J20:K20)</f>
        <v>-158.67077511700063</v>
      </c>
      <c r="T20" s="340">
        <f t="shared" si="6"/>
        <v>21.29150416200082</v>
      </c>
      <c r="U20" s="250" t="str">
        <f t="shared" si="0"/>
        <v>n.a.</v>
      </c>
      <c r="V20" s="250" t="str">
        <f t="shared" si="1"/>
        <v>n.a.</v>
      </c>
      <c r="W20" s="63"/>
    </row>
    <row r="21" spans="1:32" ht="12" customHeight="1">
      <c r="A21" s="133"/>
      <c r="B21" s="133"/>
      <c r="C21" s="142" t="s">
        <v>30</v>
      </c>
      <c r="F21" s="806"/>
      <c r="G21" s="806"/>
      <c r="H21" s="806"/>
      <c r="I21" s="247" t="s">
        <v>196</v>
      </c>
      <c r="J21" s="483">
        <v>2661.1771350049999</v>
      </c>
      <c r="K21" s="534">
        <v>2744.2352676780001</v>
      </c>
      <c r="L21" s="534">
        <v>2796.980899869</v>
      </c>
      <c r="M21" s="534">
        <v>2457.0954806169998</v>
      </c>
      <c r="N21" s="483">
        <v>2510.8346162839998</v>
      </c>
      <c r="O21" s="523">
        <v>2645.7061881109998</v>
      </c>
      <c r="P21" s="523"/>
      <c r="Q21" s="523"/>
      <c r="R21" s="3"/>
      <c r="S21" s="245">
        <f>K21</f>
        <v>2744.2352676780001</v>
      </c>
      <c r="T21" s="341">
        <f>O21</f>
        <v>2645.7061881109998</v>
      </c>
      <c r="U21" s="281">
        <f t="shared" si="0"/>
        <v>-3.5904027617456813E-2</v>
      </c>
      <c r="V21" s="281">
        <f t="shared" si="1"/>
        <v>5.3715844126092538E-2</v>
      </c>
    </row>
    <row r="22" spans="1:32" ht="12" customHeight="1">
      <c r="A22" s="133"/>
      <c r="B22" s="133"/>
      <c r="C22" s="142" t="s">
        <v>31</v>
      </c>
      <c r="F22" s="89"/>
      <c r="G22" s="89"/>
      <c r="H22" s="89"/>
      <c r="I22" s="89"/>
      <c r="J22" s="361"/>
      <c r="L22" s="182"/>
      <c r="M22" s="276"/>
      <c r="N22" s="361"/>
      <c r="P22" s="182"/>
      <c r="Q22" s="276"/>
      <c r="R22" s="3"/>
      <c r="S22" s="276"/>
      <c r="T22" s="276"/>
      <c r="U22" s="276"/>
    </row>
    <row r="23" spans="1:32" ht="12" customHeight="1">
      <c r="A23" s="133"/>
      <c r="B23" s="133"/>
      <c r="C23" s="142"/>
      <c r="F23" s="89"/>
      <c r="G23" s="89"/>
      <c r="H23" s="89"/>
      <c r="I23" s="89"/>
      <c r="J23" s="73"/>
      <c r="K23" s="182"/>
      <c r="L23" s="73"/>
      <c r="N23" s="73"/>
      <c r="O23" s="182"/>
      <c r="P23" s="73"/>
      <c r="R23" s="3"/>
    </row>
    <row r="24" spans="1:32" ht="18" customHeight="1">
      <c r="A24" s="133"/>
      <c r="B24" s="133" t="s">
        <v>181</v>
      </c>
      <c r="C24" s="142"/>
      <c r="F24" s="85" t="s">
        <v>166</v>
      </c>
      <c r="G24" s="89"/>
      <c r="H24" s="89"/>
      <c r="I24" s="89"/>
      <c r="J24" s="73"/>
      <c r="L24" s="73"/>
      <c r="N24" s="73"/>
      <c r="P24" s="73"/>
      <c r="R24" s="3"/>
    </row>
    <row r="25" spans="1:32" ht="12" customHeight="1">
      <c r="A25" s="133"/>
      <c r="B25" s="133"/>
      <c r="C25" s="142" t="s">
        <v>32</v>
      </c>
      <c r="F25" s="240" t="s">
        <v>167</v>
      </c>
      <c r="G25" s="240"/>
      <c r="H25" s="240"/>
      <c r="I25" s="729"/>
      <c r="J25" s="800" t="s">
        <v>233</v>
      </c>
      <c r="K25" s="801"/>
      <c r="L25" s="801"/>
      <c r="M25" s="801"/>
      <c r="N25" s="800" t="s">
        <v>374</v>
      </c>
      <c r="O25" s="801"/>
      <c r="P25" s="801"/>
      <c r="Q25" s="801"/>
      <c r="R25" s="3"/>
      <c r="S25" s="801" t="s">
        <v>222</v>
      </c>
      <c r="T25" s="802"/>
      <c r="U25" s="410"/>
      <c r="V25" s="329"/>
    </row>
    <row r="26" spans="1:32" ht="12" customHeight="1">
      <c r="A26" s="133"/>
      <c r="B26" s="133"/>
      <c r="C26" s="142" t="s">
        <v>34</v>
      </c>
      <c r="F26" s="241" t="s">
        <v>168</v>
      </c>
      <c r="G26" s="241"/>
      <c r="H26" s="241"/>
      <c r="I26" s="730"/>
      <c r="J26" s="287">
        <v>45747</v>
      </c>
      <c r="K26" s="287">
        <v>45838</v>
      </c>
      <c r="L26" s="287">
        <v>45930</v>
      </c>
      <c r="M26" s="287">
        <v>46022</v>
      </c>
      <c r="N26" s="451">
        <v>46112</v>
      </c>
      <c r="O26" s="287">
        <v>46203</v>
      </c>
      <c r="P26" s="287">
        <v>46295</v>
      </c>
      <c r="Q26" s="287">
        <v>46387</v>
      </c>
      <c r="R26" s="3"/>
      <c r="S26" s="288" t="s">
        <v>379</v>
      </c>
      <c r="T26" s="338" t="s">
        <v>380</v>
      </c>
      <c r="U26" s="288" t="s">
        <v>23</v>
      </c>
      <c r="V26" s="264" t="s">
        <v>24</v>
      </c>
      <c r="X26" s="598"/>
    </row>
    <row r="27" spans="1:32" ht="12" customHeight="1">
      <c r="A27" s="133"/>
      <c r="B27" s="133"/>
      <c r="C27" s="142" t="s">
        <v>35</v>
      </c>
      <c r="F27" s="246" t="s">
        <v>170</v>
      </c>
      <c r="G27" s="246"/>
      <c r="H27" s="246"/>
      <c r="I27" s="731"/>
      <c r="J27" s="484">
        <v>190.08209279137756</v>
      </c>
      <c r="K27" s="484">
        <v>111.85240649295027</v>
      </c>
      <c r="L27" s="484">
        <v>118.7508918179775</v>
      </c>
      <c r="M27" s="691">
        <v>100.53122846266531</v>
      </c>
      <c r="N27" s="484">
        <v>85.627266851238502</v>
      </c>
      <c r="O27" s="411">
        <v>133.20411040038113</v>
      </c>
      <c r="P27" s="411"/>
      <c r="Q27" s="411"/>
      <c r="R27" s="3"/>
      <c r="S27" s="772">
        <f>+SUM(J27:K27)</f>
        <v>301.93449928432784</v>
      </c>
      <c r="T27" s="342">
        <f>+SUM(N27:Q27)</f>
        <v>218.83137725161964</v>
      </c>
      <c r="U27" s="316">
        <f>IF(T27/S27&lt;0,"n.a.",IF(S27&gt;0,ROUND(T27,4)/ROUND(S27,4)-1,IF(S27&lt;0,"n.a.")))</f>
        <v>-0.27523552293626596</v>
      </c>
      <c r="V27" s="316">
        <f>IF(O27/N27&lt;0,"n.a.",IF(N27&gt;0,ROUND(O27,4)/ROUND(N27,4)-1,IF(N27&lt;0,"n.a.")))</f>
        <v>0.55562653499526449</v>
      </c>
      <c r="X27" s="599"/>
      <c r="Y27" s="276"/>
      <c r="Z27" s="276"/>
      <c r="AA27" s="276"/>
      <c r="AC27" s="276"/>
      <c r="AD27" s="276"/>
    </row>
    <row r="28" spans="1:32" ht="12" customHeight="1">
      <c r="A28" s="133"/>
      <c r="B28" s="133"/>
      <c r="C28" s="142"/>
      <c r="F28" s="244"/>
      <c r="G28" s="244"/>
      <c r="H28" s="244" t="s">
        <v>58</v>
      </c>
      <c r="I28" s="732"/>
      <c r="J28" s="334">
        <v>24.364909669191725</v>
      </c>
      <c r="K28" s="334">
        <v>20.799177786175107</v>
      </c>
      <c r="L28" s="334">
        <v>24.486238661436516</v>
      </c>
      <c r="M28" s="336">
        <v>33.363700253714789</v>
      </c>
      <c r="N28" s="334">
        <v>32.12895023995614</v>
      </c>
      <c r="O28" s="412">
        <v>73.297421846997054</v>
      </c>
      <c r="P28" s="412"/>
      <c r="Q28" s="412"/>
      <c r="R28" s="3"/>
      <c r="S28" s="773">
        <f t="shared" ref="S28:S31" si="7">+SUM(J28:K28)</f>
        <v>45.164087455366833</v>
      </c>
      <c r="T28" s="452">
        <f>+SUM(N28:Q28)</f>
        <v>105.42637208695319</v>
      </c>
      <c r="U28" s="317">
        <f>IF(T28/S28&lt;0,"n.a.",IF(S28&gt;0,ROUND(T28,4)/ROUND(S28,4)-1,IF(S28&lt;0,"n.a.")))</f>
        <v>1.3342964876970869</v>
      </c>
      <c r="V28" s="317">
        <f t="shared" ref="V28" si="8">IF(O28/N28&lt;0,"n.a.",IF(N28&gt;0,ROUND(O28,4)/ROUND(N28,4)-1,IF(N28&lt;0,"n.a.")))</f>
        <v>1.2813470696255718</v>
      </c>
      <c r="X28" s="626"/>
      <c r="Y28" s="626"/>
      <c r="Z28" s="657"/>
      <c r="AA28" s="600"/>
      <c r="AB28" s="276"/>
      <c r="AC28" s="276"/>
      <c r="AD28" s="276"/>
    </row>
    <row r="29" spans="1:32" ht="12" customHeight="1">
      <c r="A29" s="133"/>
      <c r="B29" s="133"/>
      <c r="C29" s="142"/>
      <c r="F29" s="266"/>
      <c r="G29" s="266"/>
      <c r="H29" s="266" t="s">
        <v>169</v>
      </c>
      <c r="I29" s="733"/>
      <c r="J29" s="335">
        <v>165.71718312218584</v>
      </c>
      <c r="K29" s="335">
        <v>91.053228706775158</v>
      </c>
      <c r="L29" s="335">
        <v>94.264653156540987</v>
      </c>
      <c r="M29" s="337">
        <v>67.167528208950515</v>
      </c>
      <c r="N29" s="335">
        <v>53.49831661128237</v>
      </c>
      <c r="O29" s="413">
        <v>59.906688553384065</v>
      </c>
      <c r="P29" s="413"/>
      <c r="Q29" s="413"/>
      <c r="R29" s="3"/>
      <c r="S29" s="774">
        <f t="shared" si="7"/>
        <v>256.77041182896102</v>
      </c>
      <c r="T29" s="453">
        <f>+SUM(N29:Q29)</f>
        <v>113.40500516466643</v>
      </c>
      <c r="U29" s="318">
        <f>IF(T29/S29&lt;0,"n.a.",IF(S29&gt;0,ROUND(T29,4)/ROUND(S29,4)-1,IF(S29&lt;0,"n.a.")))</f>
        <v>-0.55834083679427216</v>
      </c>
      <c r="V29" s="318">
        <f>IF(O29/N29&lt;0,"n.a.",IF(N29&gt;0,ROUND(O29,4)/ROUND(N29,4)-1,IF(N29&lt;0,"n.a.")))</f>
        <v>0.11978698388546927</v>
      </c>
      <c r="X29" s="599"/>
      <c r="Y29" s="626"/>
      <c r="Z29" s="657"/>
      <c r="AC29" s="601"/>
      <c r="AD29" s="276"/>
    </row>
    <row r="30" spans="1:32" ht="12" customHeight="1">
      <c r="A30" s="133"/>
      <c r="B30" s="133" t="s">
        <v>185</v>
      </c>
      <c r="C30" s="142"/>
      <c r="F30" s="267" t="s">
        <v>232</v>
      </c>
      <c r="G30" s="267"/>
      <c r="H30" s="267"/>
      <c r="I30" s="734"/>
      <c r="J30" s="485">
        <v>0.29932859355771668</v>
      </c>
      <c r="K30" s="485">
        <v>0.6524574941318092</v>
      </c>
      <c r="L30" s="485">
        <v>4.2112660281438288</v>
      </c>
      <c r="M30" s="692">
        <v>2.7525558362081495</v>
      </c>
      <c r="N30" s="485">
        <v>8.8378913730326918</v>
      </c>
      <c r="O30" s="414">
        <v>14.817323250140589</v>
      </c>
      <c r="P30" s="414"/>
      <c r="Q30" s="414"/>
      <c r="R30" s="3"/>
      <c r="S30" s="775">
        <f t="shared" si="7"/>
        <v>0.95178608768952588</v>
      </c>
      <c r="T30" s="343">
        <f>+SUM(N30:Q30)</f>
        <v>23.655214623173279</v>
      </c>
      <c r="U30" s="319">
        <f>IF(T30/S30&lt;0,"n.a.",IF(S30&gt;0,ROUND(T30,4)/ROUND(S30,4)-1,IF(S30&lt;0,"n.a.")))</f>
        <v>23.853120403446102</v>
      </c>
      <c r="V30" s="319">
        <f>IF(O30/N30&lt;0,"n.a.",IF(N30&gt;0,ROUND(O30,4)/ROUND(N30,4)-1,IF(N30&lt;0,"n.a.")))</f>
        <v>0.67656343701558064</v>
      </c>
      <c r="X30" s="599"/>
      <c r="Y30" s="626"/>
      <c r="Z30" s="657"/>
      <c r="AC30" s="601"/>
    </row>
    <row r="31" spans="1:32" s="3" customFormat="1" ht="12" customHeight="1">
      <c r="A31" s="133"/>
      <c r="B31" s="133"/>
      <c r="C31" s="142" t="s">
        <v>147</v>
      </c>
      <c r="D31" s="1"/>
      <c r="F31" s="255" t="s">
        <v>117</v>
      </c>
      <c r="G31" s="255"/>
      <c r="H31" s="255"/>
      <c r="I31" s="735"/>
      <c r="J31" s="463">
        <v>190.38142138493527</v>
      </c>
      <c r="K31" s="463">
        <v>112.50486398708208</v>
      </c>
      <c r="L31" s="463">
        <v>122.96215784612133</v>
      </c>
      <c r="M31" s="594">
        <v>103.28378429887346</v>
      </c>
      <c r="N31" s="463">
        <v>94.465158224271192</v>
      </c>
      <c r="O31" s="415">
        <v>148.02143365052171</v>
      </c>
      <c r="P31" s="415"/>
      <c r="Q31" s="415"/>
      <c r="S31" s="776">
        <f t="shared" si="7"/>
        <v>302.88628537201737</v>
      </c>
      <c r="T31" s="454">
        <f>+SUM(N31:Q31)</f>
        <v>242.48659187479291</v>
      </c>
      <c r="U31" s="320">
        <f>IF(T31/S31&lt;0,"n.a.",IF(S31&gt;0,ROUND(T31,4)/ROUND(S31,4)-1,IF(S31&lt;0,"n.a.")))</f>
        <v>-0.19941377341926658</v>
      </c>
      <c r="V31" s="320">
        <f>IF(O31/N31&lt;0,"n.a.",IF(N31&gt;0,ROUND(O31,4)/ROUND(N31,4)-1,IF(N31&lt;0,"n.a.")))</f>
        <v>0.56694105342496504</v>
      </c>
      <c r="X31" s="602"/>
      <c r="Y31" s="626"/>
      <c r="Z31" s="276"/>
      <c r="AA31" s="597"/>
      <c r="AB31" s="597"/>
      <c r="AC31" s="601"/>
      <c r="AD31" s="597"/>
      <c r="AE31" s="597"/>
      <c r="AF31" s="597"/>
    </row>
    <row r="32" spans="1:32" ht="12" customHeight="1">
      <c r="A32" s="133"/>
      <c r="B32" s="133"/>
      <c r="C32" s="142" t="s">
        <v>36</v>
      </c>
      <c r="J32" s="546"/>
      <c r="K32" s="63"/>
      <c r="L32" s="63"/>
      <c r="N32" s="546"/>
      <c r="O32" s="63"/>
      <c r="P32" s="63"/>
      <c r="R32" s="3"/>
      <c r="S32" s="182"/>
      <c r="T32" s="182"/>
      <c r="U32" s="64"/>
    </row>
    <row r="33" spans="1:27" ht="12" customHeight="1">
      <c r="A33" s="133"/>
      <c r="B33" s="133"/>
      <c r="C33" s="142"/>
      <c r="J33" s="367"/>
      <c r="K33" s="60"/>
      <c r="L33" s="60"/>
      <c r="M33" s="60"/>
      <c r="N33" s="367"/>
      <c r="O33" s="60"/>
      <c r="P33" s="60"/>
      <c r="Q33" s="60"/>
      <c r="R33" s="3"/>
      <c r="S33" s="60"/>
      <c r="T33" s="60"/>
      <c r="U33" s="60"/>
      <c r="V33" s="60"/>
      <c r="W33" s="60"/>
    </row>
    <row r="34" spans="1:27" ht="20.25" customHeight="1">
      <c r="A34" s="133"/>
      <c r="B34" s="133" t="s">
        <v>188</v>
      </c>
      <c r="C34" s="142"/>
      <c r="F34" s="85" t="s">
        <v>218</v>
      </c>
      <c r="G34" s="89"/>
      <c r="H34" s="89"/>
      <c r="I34" s="89"/>
      <c r="J34" s="361"/>
      <c r="L34" s="73"/>
      <c r="N34" s="361"/>
      <c r="P34" s="73"/>
      <c r="R34" s="3"/>
      <c r="W34" s="3"/>
    </row>
    <row r="35" spans="1:27" ht="12" customHeight="1">
      <c r="A35" s="133"/>
      <c r="B35" s="133"/>
      <c r="C35" s="142" t="s">
        <v>37</v>
      </c>
      <c r="F35" s="240" t="s">
        <v>167</v>
      </c>
      <c r="G35" s="240"/>
      <c r="H35" s="240"/>
      <c r="I35" s="729"/>
      <c r="J35" s="800" t="s">
        <v>233</v>
      </c>
      <c r="K35" s="801"/>
      <c r="L35" s="801"/>
      <c r="M35" s="801"/>
      <c r="N35" s="800" t="s">
        <v>374</v>
      </c>
      <c r="O35" s="801"/>
      <c r="P35" s="801"/>
      <c r="Q35" s="801"/>
      <c r="R35" s="3"/>
      <c r="S35" s="801" t="s">
        <v>222</v>
      </c>
      <c r="T35" s="802"/>
      <c r="U35" s="410"/>
      <c r="V35" s="329"/>
      <c r="W35" s="3"/>
    </row>
    <row r="36" spans="1:27" ht="12" customHeight="1">
      <c r="A36" s="133"/>
      <c r="B36" s="133"/>
      <c r="C36" s="142" t="s">
        <v>38</v>
      </c>
      <c r="F36" s="241" t="s">
        <v>168</v>
      </c>
      <c r="G36" s="241"/>
      <c r="H36" s="241"/>
      <c r="I36" s="730"/>
      <c r="J36" s="287">
        <v>45747</v>
      </c>
      <c r="K36" s="287">
        <v>45838</v>
      </c>
      <c r="L36" s="287">
        <v>45930</v>
      </c>
      <c r="M36" s="287">
        <v>46022</v>
      </c>
      <c r="N36" s="451">
        <v>46112</v>
      </c>
      <c r="O36" s="287">
        <v>46203</v>
      </c>
      <c r="P36" s="287">
        <v>46295</v>
      </c>
      <c r="Q36" s="287">
        <v>46387</v>
      </c>
      <c r="R36" s="3"/>
      <c r="S36" s="288" t="s">
        <v>379</v>
      </c>
      <c r="T36" s="338" t="s">
        <v>380</v>
      </c>
      <c r="U36" s="288" t="s">
        <v>23</v>
      </c>
      <c r="V36" s="264" t="s">
        <v>24</v>
      </c>
      <c r="W36" s="3"/>
      <c r="X36" s="598"/>
    </row>
    <row r="37" spans="1:27" ht="12" customHeight="1">
      <c r="A37" s="25"/>
      <c r="F37" s="246" t="s">
        <v>170</v>
      </c>
      <c r="G37" s="246"/>
      <c r="H37" s="246"/>
      <c r="I37" s="731"/>
      <c r="J37" s="382">
        <v>1.0389892990020899</v>
      </c>
      <c r="K37" s="382">
        <v>0.73349618276669504</v>
      </c>
      <c r="L37" s="382">
        <v>0.76006570649323713</v>
      </c>
      <c r="M37" s="693">
        <v>0.74501428823013505</v>
      </c>
      <c r="N37" s="382">
        <v>0.72366425711116944</v>
      </c>
      <c r="O37" s="450">
        <v>0.79080181423170026</v>
      </c>
      <c r="P37" s="450"/>
      <c r="Q37" s="450"/>
      <c r="R37" s="3"/>
      <c r="S37" s="382">
        <v>0.90011159708233357</v>
      </c>
      <c r="T37" s="455">
        <v>0.763099745086812</v>
      </c>
      <c r="U37" s="379">
        <f>T37-S37</f>
        <v>-0.13701185199552157</v>
      </c>
      <c r="V37" s="379">
        <f>O37-N37</f>
        <v>6.7137557120530822E-2</v>
      </c>
      <c r="W37" s="3"/>
      <c r="Z37" s="382"/>
      <c r="AA37" s="382"/>
    </row>
    <row r="38" spans="1:27" ht="12" customHeight="1">
      <c r="A38" s="25"/>
      <c r="F38" s="244"/>
      <c r="G38" s="244"/>
      <c r="H38" s="244" t="s">
        <v>58</v>
      </c>
      <c r="I38" s="732"/>
      <c r="J38" s="383">
        <v>0.36687916569613238</v>
      </c>
      <c r="K38" s="383">
        <v>0.425483713113055</v>
      </c>
      <c r="L38" s="383">
        <v>0.49007954141669785</v>
      </c>
      <c r="M38" s="362">
        <v>0.57811709378203346</v>
      </c>
      <c r="N38" s="383">
        <v>0.62758904998011522</v>
      </c>
      <c r="O38" s="416">
        <v>0.68467672524112233</v>
      </c>
      <c r="P38" s="416"/>
      <c r="Q38" s="416"/>
      <c r="R38" s="3"/>
      <c r="S38" s="383">
        <v>0.39172677198620304</v>
      </c>
      <c r="T38" s="456">
        <v>0.6662085297404623</v>
      </c>
      <c r="U38" s="141">
        <f>T38-S38</f>
        <v>0.27448175775425926</v>
      </c>
      <c r="V38" s="141">
        <f t="shared" ref="V38" si="9">O38-N38</f>
        <v>5.7087675261007109E-2</v>
      </c>
      <c r="W38" s="256"/>
      <c r="Z38" s="383"/>
      <c r="AA38" s="383"/>
    </row>
    <row r="39" spans="1:27" ht="12" customHeight="1">
      <c r="A39" s="25"/>
      <c r="F39" s="266"/>
      <c r="G39" s="266"/>
      <c r="H39" s="266" t="s">
        <v>169</v>
      </c>
      <c r="I39" s="733"/>
      <c r="J39" s="384">
        <v>1.4220040375194358</v>
      </c>
      <c r="K39" s="384">
        <v>0.87881972344309234</v>
      </c>
      <c r="L39" s="384">
        <v>0.88699754111477036</v>
      </c>
      <c r="M39" s="363">
        <v>0.86973380531836519</v>
      </c>
      <c r="N39" s="384">
        <v>0.79693215686510899</v>
      </c>
      <c r="O39" s="417">
        <v>0.97587320121284271</v>
      </c>
      <c r="P39" s="417"/>
      <c r="Q39" s="417"/>
      <c r="R39" s="3"/>
      <c r="S39" s="384">
        <v>1.1663625364088201</v>
      </c>
      <c r="T39" s="457">
        <v>0.88240488600417322</v>
      </c>
      <c r="U39" s="366">
        <f t="shared" ref="U39:U41" si="10">T39-S39</f>
        <v>-0.28395765040464693</v>
      </c>
      <c r="V39" s="366">
        <f>O39-N39</f>
        <v>0.17894104434773372</v>
      </c>
      <c r="W39" s="257"/>
      <c r="Z39" s="383"/>
      <c r="AA39" s="383"/>
    </row>
    <row r="40" spans="1:27" ht="12" customHeight="1">
      <c r="A40" s="25"/>
      <c r="F40" s="267" t="s">
        <v>232</v>
      </c>
      <c r="G40" s="267"/>
      <c r="H40" s="267"/>
      <c r="I40" s="734"/>
      <c r="J40" s="385">
        <v>0.2119660608509836</v>
      </c>
      <c r="K40" s="385">
        <v>0.19958942330120744</v>
      </c>
      <c r="L40" s="385">
        <v>0.15686797983337541</v>
      </c>
      <c r="M40" s="364">
        <v>0.32997677875154285</v>
      </c>
      <c r="N40" s="385">
        <v>0.42429236369279499</v>
      </c>
      <c r="O40" s="418">
        <v>0.38929627495343772</v>
      </c>
      <c r="P40" s="418"/>
      <c r="Q40" s="418"/>
      <c r="R40" s="3"/>
      <c r="S40" s="385">
        <v>0.20332305804672807</v>
      </c>
      <c r="T40" s="458">
        <v>0.40167426319729421</v>
      </c>
      <c r="U40" s="380">
        <f t="shared" si="10"/>
        <v>0.19835120515056615</v>
      </c>
      <c r="V40" s="380">
        <f>O40-N40</f>
        <v>-3.4996088739357278E-2</v>
      </c>
      <c r="W40" s="256"/>
      <c r="Z40" s="382"/>
      <c r="AA40" s="382"/>
    </row>
    <row r="41" spans="1:27" ht="12" customHeight="1">
      <c r="A41" s="25"/>
      <c r="F41" s="255" t="s">
        <v>117</v>
      </c>
      <c r="G41" s="255"/>
      <c r="H41" s="255"/>
      <c r="I41" s="735"/>
      <c r="J41" s="386">
        <v>1.0326545402134037</v>
      </c>
      <c r="K41" s="386">
        <v>0.72229094716562414</v>
      </c>
      <c r="L41" s="386">
        <v>0.67161757805460742</v>
      </c>
      <c r="M41" s="365">
        <v>0.72085113802463974</v>
      </c>
      <c r="N41" s="386">
        <v>0.67885189407317792</v>
      </c>
      <c r="O41" s="419">
        <v>0.7167981354581523</v>
      </c>
      <c r="P41" s="419"/>
      <c r="Q41" s="419"/>
      <c r="R41" s="3"/>
      <c r="S41" s="386">
        <v>0.89052159799155972</v>
      </c>
      <c r="T41" s="459">
        <v>0.70152181230768385</v>
      </c>
      <c r="U41" s="381">
        <f t="shared" si="10"/>
        <v>-0.18899978568387588</v>
      </c>
      <c r="V41" s="381">
        <f>O41-N41</f>
        <v>3.7946241384974377E-2</v>
      </c>
      <c r="W41" s="199"/>
      <c r="Z41" s="441"/>
      <c r="AA41" s="441"/>
    </row>
    <row r="42" spans="1:27" ht="12" customHeight="1">
      <c r="A42" s="25"/>
      <c r="J42" s="60"/>
      <c r="K42" s="60"/>
      <c r="L42" s="60"/>
      <c r="M42" s="60"/>
      <c r="N42" s="60"/>
      <c r="O42" s="60"/>
      <c r="P42" s="60"/>
      <c r="Q42" s="60"/>
      <c r="R42" s="3"/>
      <c r="S42" s="60"/>
      <c r="T42" s="60"/>
      <c r="U42" s="60"/>
      <c r="V42" s="60"/>
      <c r="W42" s="256"/>
    </row>
    <row r="43" spans="1:27" ht="12" customHeight="1">
      <c r="A43" s="25"/>
      <c r="J43" s="60"/>
      <c r="K43" s="60"/>
      <c r="L43" s="60"/>
      <c r="M43" s="60"/>
      <c r="N43" s="60"/>
      <c r="O43" s="60"/>
      <c r="P43" s="60"/>
      <c r="Q43" s="60"/>
      <c r="R43" s="3"/>
      <c r="S43" s="60"/>
      <c r="T43" s="60"/>
      <c r="U43" s="60"/>
      <c r="V43" s="60"/>
      <c r="W43" s="199"/>
    </row>
    <row r="44" spans="1:27" ht="19.5" customHeight="1">
      <c r="A44" s="25"/>
      <c r="F44" s="85" t="s">
        <v>220</v>
      </c>
      <c r="G44" s="89"/>
      <c r="H44" s="89"/>
      <c r="I44" s="89"/>
      <c r="J44" s="73"/>
      <c r="L44" s="73"/>
      <c r="N44" s="73"/>
      <c r="P44" s="73"/>
      <c r="R44" s="3"/>
      <c r="W44" s="256"/>
    </row>
    <row r="45" spans="1:27" ht="12" customHeight="1">
      <c r="A45" s="25"/>
      <c r="F45" s="240" t="s">
        <v>167</v>
      </c>
      <c r="G45" s="240"/>
      <c r="H45" s="240"/>
      <c r="I45" s="729"/>
      <c r="J45" s="800" t="s">
        <v>233</v>
      </c>
      <c r="K45" s="801"/>
      <c r="L45" s="801"/>
      <c r="M45" s="801"/>
      <c r="N45" s="800" t="s">
        <v>374</v>
      </c>
      <c r="O45" s="801"/>
      <c r="P45" s="801"/>
      <c r="Q45" s="801"/>
      <c r="R45" s="3"/>
      <c r="S45" s="801" t="s">
        <v>222</v>
      </c>
      <c r="T45" s="802"/>
      <c r="U45" s="410"/>
      <c r="V45" s="329"/>
      <c r="W45" s="256"/>
    </row>
    <row r="46" spans="1:27" ht="12" customHeight="1">
      <c r="A46" s="25"/>
      <c r="F46" s="241" t="s">
        <v>168</v>
      </c>
      <c r="G46" s="241"/>
      <c r="H46" s="241"/>
      <c r="I46" s="730"/>
      <c r="J46" s="287">
        <v>45747</v>
      </c>
      <c r="K46" s="287">
        <v>45838</v>
      </c>
      <c r="L46" s="287">
        <v>45930</v>
      </c>
      <c r="M46" s="287">
        <v>46022</v>
      </c>
      <c r="N46" s="451">
        <v>46112</v>
      </c>
      <c r="O46" s="287">
        <v>46203</v>
      </c>
      <c r="P46" s="287">
        <v>46295</v>
      </c>
      <c r="Q46" s="287">
        <v>46387</v>
      </c>
      <c r="R46" s="3"/>
      <c r="S46" s="288" t="s">
        <v>379</v>
      </c>
      <c r="T46" s="338" t="s">
        <v>380</v>
      </c>
      <c r="U46" s="288" t="s">
        <v>23</v>
      </c>
      <c r="V46" s="264" t="s">
        <v>24</v>
      </c>
      <c r="W46" s="256"/>
      <c r="X46" s="598"/>
    </row>
    <row r="47" spans="1:27" ht="12" customHeight="1">
      <c r="A47" s="25"/>
      <c r="F47" s="246" t="s">
        <v>170</v>
      </c>
      <c r="G47" s="246"/>
      <c r="H47" s="246"/>
      <c r="I47" s="731"/>
      <c r="J47" s="486">
        <v>12.467871588025082</v>
      </c>
      <c r="K47" s="486">
        <v>8.8019541932003449</v>
      </c>
      <c r="L47" s="486">
        <v>9.1207884779188397</v>
      </c>
      <c r="M47" s="694">
        <v>8.9401714587616201</v>
      </c>
      <c r="N47" s="486">
        <v>8.6839710853340364</v>
      </c>
      <c r="O47" s="420">
        <v>9.4896217707804045</v>
      </c>
      <c r="P47" s="420"/>
      <c r="Q47" s="420"/>
      <c r="R47" s="370"/>
      <c r="S47" s="486">
        <v>10.801339164988008</v>
      </c>
      <c r="T47" s="519">
        <v>9.1571969410417449</v>
      </c>
      <c r="U47" s="369">
        <f>+T47-S47</f>
        <v>-1.6441422239462629</v>
      </c>
      <c r="V47" s="369">
        <f>+O47-N47</f>
        <v>0.80565068544636809</v>
      </c>
      <c r="W47" s="256"/>
    </row>
    <row r="48" spans="1:27" ht="12" customHeight="1">
      <c r="A48" s="25"/>
      <c r="F48" s="244"/>
      <c r="G48" s="244"/>
      <c r="H48" s="244" t="s">
        <v>58</v>
      </c>
      <c r="I48" s="732"/>
      <c r="J48" s="373">
        <v>4.4025499883535897</v>
      </c>
      <c r="K48" s="373">
        <v>5.1058045573566586</v>
      </c>
      <c r="L48" s="373">
        <v>5.880954497000376</v>
      </c>
      <c r="M48" s="372">
        <v>6.9374051253843998</v>
      </c>
      <c r="N48" s="373">
        <v>7.531068599761384</v>
      </c>
      <c r="O48" s="421">
        <v>8.216120702893468</v>
      </c>
      <c r="P48" s="421"/>
      <c r="Q48" s="421"/>
      <c r="R48" s="370"/>
      <c r="S48" s="373">
        <v>4.7007212638344367</v>
      </c>
      <c r="T48" s="460">
        <v>7.9945023568855484</v>
      </c>
      <c r="U48" s="371">
        <f>+T48-S48</f>
        <v>3.2937810930511118</v>
      </c>
      <c r="V48" s="371">
        <f>+O48-N48</f>
        <v>0.68505210313208398</v>
      </c>
    </row>
    <row r="49" spans="1:22" ht="12" customHeight="1">
      <c r="F49" s="266"/>
      <c r="G49" s="266"/>
      <c r="H49" s="266" t="s">
        <v>169</v>
      </c>
      <c r="I49" s="733"/>
      <c r="J49" s="376">
        <v>17.064048450233237</v>
      </c>
      <c r="K49" s="376">
        <v>10.545836681317116</v>
      </c>
      <c r="L49" s="376">
        <v>10.643970493377234</v>
      </c>
      <c r="M49" s="375">
        <v>10.436805663820383</v>
      </c>
      <c r="N49" s="376">
        <v>9.5631858823813118</v>
      </c>
      <c r="O49" s="422">
        <v>11.710478414554116</v>
      </c>
      <c r="P49" s="422"/>
      <c r="Q49" s="422"/>
      <c r="R49" s="370"/>
      <c r="S49" s="376">
        <v>13.996350436905848</v>
      </c>
      <c r="T49" s="461">
        <v>10.588858632050082</v>
      </c>
      <c r="U49" s="374">
        <f>+T49-S49</f>
        <v>-3.4074918048557663</v>
      </c>
      <c r="V49" s="374">
        <f>+O49-N49</f>
        <v>2.1472925321728038</v>
      </c>
    </row>
    <row r="50" spans="1:22" ht="12" customHeight="1">
      <c r="F50" s="267" t="s">
        <v>232</v>
      </c>
      <c r="G50" s="267"/>
      <c r="H50" s="267"/>
      <c r="I50" s="734"/>
      <c r="J50" s="487">
        <v>2.5435927302118029</v>
      </c>
      <c r="K50" s="487">
        <v>2.3950730796144883</v>
      </c>
      <c r="L50" s="487">
        <v>1.8824157580005052</v>
      </c>
      <c r="M50" s="695">
        <v>3.9597213450185147</v>
      </c>
      <c r="N50" s="487">
        <v>5.0915083643135413</v>
      </c>
      <c r="O50" s="423">
        <v>4.6715552994412519</v>
      </c>
      <c r="P50" s="423"/>
      <c r="Q50" s="423"/>
      <c r="R50" s="370"/>
      <c r="S50" s="487">
        <v>2.4398766965607361</v>
      </c>
      <c r="T50" s="520">
        <v>4.8200911583675303</v>
      </c>
      <c r="U50" s="377">
        <f>+T50-S50</f>
        <v>2.3802144618067942</v>
      </c>
      <c r="V50" s="377">
        <f>+O50-N50</f>
        <v>-0.41995306487228934</v>
      </c>
    </row>
    <row r="51" spans="1:22" ht="12" customHeight="1">
      <c r="F51" s="255" t="s">
        <v>117</v>
      </c>
      <c r="G51" s="255"/>
      <c r="H51" s="255"/>
      <c r="I51" s="735"/>
      <c r="J51" s="488">
        <v>12.391854482560849</v>
      </c>
      <c r="K51" s="488">
        <v>8.6674913659874928</v>
      </c>
      <c r="L51" s="488">
        <v>8.0594109366552846</v>
      </c>
      <c r="M51" s="696">
        <v>8.6502136562956764</v>
      </c>
      <c r="N51" s="488">
        <v>8.1462227288781381</v>
      </c>
      <c r="O51" s="424">
        <v>8.6015776254978302</v>
      </c>
      <c r="P51" s="424"/>
      <c r="Q51" s="424"/>
      <c r="R51" s="370"/>
      <c r="S51" s="488">
        <v>10.686259175898721</v>
      </c>
      <c r="T51" s="521">
        <v>8.4182617476922079</v>
      </c>
      <c r="U51" s="378">
        <f>+T51-S51</f>
        <v>-2.2679974282065132</v>
      </c>
      <c r="V51" s="378">
        <f>+O51-N51</f>
        <v>0.45535489661969208</v>
      </c>
    </row>
    <row r="64" spans="1:22"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15">
    <mergeCell ref="S2:T2"/>
    <mergeCell ref="J2:M2"/>
    <mergeCell ref="J25:M25"/>
    <mergeCell ref="J35:M35"/>
    <mergeCell ref="J45:M45"/>
    <mergeCell ref="N2:Q2"/>
    <mergeCell ref="N25:Q25"/>
    <mergeCell ref="N35:Q35"/>
    <mergeCell ref="N45:Q45"/>
    <mergeCell ref="S45:T45"/>
    <mergeCell ref="F16:H21"/>
    <mergeCell ref="F4:G9"/>
    <mergeCell ref="F10:G15"/>
    <mergeCell ref="S35:T35"/>
    <mergeCell ref="S25:T25"/>
  </mergeCells>
  <phoneticPr fontId="7" type="noConversion"/>
  <hyperlinks>
    <hyperlink ref="B5" location="FH!A1" display="재무현황" xr:uid="{00000000-0004-0000-0300-000000000000}"/>
    <hyperlink ref="B7" location="FS!A1" display="요약재무상태표 (Selected Balance sheet)" xr:uid="{00000000-0004-0000-0300-000001000000}"/>
    <hyperlink ref="C15" location="Stability!A1" display="재무 안정성 (Financial Stability)" xr:uid="{00000000-0004-0000-0300-000002000000}"/>
    <hyperlink ref="C16" location="Productivity!A1" display="생산성 / 경영효율 (Productivity / Operating Efficiency)" xr:uid="{00000000-0004-0000-0300-000003000000}"/>
    <hyperlink ref="C20" location="'Premium Income by P.T.(GA+SA)'!A1" display="상품별 수입보험료 (Premium Income)" xr:uid="{00000000-0004-0000-0300-000004000000}"/>
    <hyperlink ref="C21" location="'Initial P. by P.T.'!A1" display="상품별 초회보험료 (Initial Premium)" xr:uid="{00000000-0004-0000-0300-000005000000}"/>
    <hyperlink ref="C22" location="'First-year P. by P.T.'!A1" display="상품별 초년도보험료 (First Year Premium)" xr:uid="{00000000-0004-0000-0300-000006000000}"/>
    <hyperlink ref="C26" location="'Premium Income by D.C.(GA+SA)'!A1" display="채널별 수입보험료 (Premium Income)" xr:uid="{00000000-0004-0000-0300-000007000000}"/>
    <hyperlink ref="C27" location="'First-year P. by D.C'!A1" display="채널별 초년도보험료 (First Year Premium)" xr:uid="{00000000-0004-0000-0300-000008000000}"/>
    <hyperlink ref="C31" location="'&gt;Loan'!A1" display="대출 (Loan)/ 자산건전성 (Asset Quality of Loan)" xr:uid="{00000000-0004-0000-0300-000009000000}"/>
    <hyperlink ref="C32" location="'&gt;Bond'!A1" display="채권 (Bond)" xr:uid="{00000000-0004-0000-0300-00000A000000}"/>
    <hyperlink ref="C35" location="'BS  K-IFRS'!A1" display="재무상태표 (Balance Sheet - KIFRS)" xr:uid="{00000000-0004-0000-0300-00000B000000}"/>
    <hyperlink ref="C36" location="'IS  K-IFRS'!A1" display="손익계산서 (Income Statement - KIFRS)" xr:uid="{00000000-0004-0000-0300-00000C000000}"/>
    <hyperlink ref="B8" location="FS!A1" display="요약손익계산서 (Selected Income Statement)" xr:uid="{00000000-0004-0000-0300-00000D000000}"/>
    <hyperlink ref="B10" location="CSM!A1" display="RA, CSM, BEL Movement" xr:uid="{00000000-0004-0000-0300-00000E000000}"/>
    <hyperlink ref="B11" location="CSM!A1" display="신계약 CSM (New Business CSM)" xr:uid="{00000000-0004-0000-0300-00000F000000}"/>
    <hyperlink ref="B13" location="'Sources of Margin'!A1" display="이원별손익" xr:uid="{00000000-0004-0000-0300-000010000000}"/>
    <hyperlink ref="B12" location="CSM!A1" display="신계약 CSM 배수 (New Business CSM Margin)" xr:uid="{00000000-0004-0000-0300-000011000000}"/>
    <hyperlink ref="C19" location="'APE by P.T'!A1" display="상품별 APE (Annualized Premium Equivalent (APE))" xr:uid="{00000000-0004-0000-0300-000012000000}"/>
    <hyperlink ref="C25" location="'APE by D.C'!A1" display="채널별 APE (Annualized Premium Equivalent (APE))" xr:uid="{00000000-0004-0000-0300-000013000000}"/>
  </hyperlinks>
  <pageMargins left="0.19685039370078741" right="0.19685039370078741" top="0.74803149606299213" bottom="0.74803149606299213" header="0.31496062992125984" footer="0.31496062992125984"/>
  <pageSetup paperSize="9" scale="6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F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37.85546875" style="1" customWidth="1"/>
    <col min="10" max="15" width="10.7109375" style="1" customWidth="1"/>
    <col min="16" max="17" width="10.7109375" style="1" hidden="1" customWidth="1"/>
    <col min="18" max="18" width="4.85546875" style="1" customWidth="1"/>
    <col min="19" max="22" width="10.7109375" style="1" customWidth="1"/>
    <col min="23" max="23" width="3" style="1" customWidth="1"/>
    <col min="24" max="24" width="2.42578125" style="1" customWidth="1"/>
    <col min="25" max="25" width="3" style="1" customWidth="1"/>
    <col min="26" max="27" width="10.7109375" style="1" bestFit="1" customWidth="1"/>
    <col min="28" max="16384" width="9.140625" style="1"/>
  </cols>
  <sheetData>
    <row r="1" spans="1:32" s="3" customFormat="1" ht="24.95" customHeight="1">
      <c r="A1" s="6"/>
      <c r="F1" s="74" t="s">
        <v>59</v>
      </c>
      <c r="G1" s="74"/>
      <c r="H1" s="75"/>
      <c r="I1" s="75"/>
    </row>
    <row r="2" spans="1:32" ht="12" customHeight="1">
      <c r="A2" s="133"/>
      <c r="B2" s="134"/>
      <c r="C2" s="134"/>
      <c r="F2" s="84"/>
      <c r="G2" s="84"/>
      <c r="H2" s="84"/>
      <c r="I2" s="84"/>
      <c r="J2" s="225"/>
      <c r="K2" s="225"/>
      <c r="L2" s="225"/>
      <c r="M2" s="446"/>
      <c r="N2" s="225"/>
      <c r="O2" s="225"/>
      <c r="P2" s="225"/>
      <c r="Q2" s="446"/>
      <c r="R2" s="225"/>
      <c r="S2" s="543"/>
      <c r="W2" s="3"/>
      <c r="X2" s="3"/>
      <c r="Y2" s="3"/>
      <c r="Z2" s="3"/>
      <c r="AA2" s="3"/>
    </row>
    <row r="3" spans="1:32" ht="14.25" customHeight="1">
      <c r="A3" s="133" t="s">
        <v>27</v>
      </c>
      <c r="B3" s="134"/>
      <c r="C3" s="134"/>
      <c r="F3" s="242" t="s">
        <v>151</v>
      </c>
      <c r="G3" s="84"/>
      <c r="H3" s="84"/>
      <c r="I3" s="84"/>
      <c r="J3" s="225"/>
      <c r="K3" s="225"/>
      <c r="L3" s="225"/>
      <c r="M3" s="225"/>
      <c r="N3" s="225"/>
      <c r="O3" s="225"/>
      <c r="P3" s="225"/>
      <c r="Q3" s="225"/>
      <c r="R3" s="225"/>
      <c r="S3" s="225"/>
      <c r="W3" s="3"/>
      <c r="X3" s="3"/>
      <c r="Y3" s="3"/>
      <c r="Z3" s="3"/>
      <c r="AA3" s="3"/>
    </row>
    <row r="4" spans="1:32" ht="12" customHeight="1">
      <c r="A4" s="133"/>
      <c r="B4" s="134"/>
      <c r="C4" s="134"/>
      <c r="F4" s="240" t="s">
        <v>22</v>
      </c>
      <c r="G4" s="76"/>
      <c r="H4" s="76"/>
      <c r="I4" s="76"/>
      <c r="J4" s="801" t="s">
        <v>233</v>
      </c>
      <c r="K4" s="801"/>
      <c r="L4" s="801"/>
      <c r="M4" s="801"/>
      <c r="N4" s="811" t="s">
        <v>374</v>
      </c>
      <c r="O4" s="812"/>
      <c r="P4" s="812"/>
      <c r="Q4" s="813"/>
      <c r="R4" s="225"/>
      <c r="S4" s="804" t="s">
        <v>215</v>
      </c>
      <c r="T4" s="804"/>
      <c r="V4" s="145"/>
      <c r="W4" s="3"/>
      <c r="X4" s="3"/>
      <c r="Y4" s="3"/>
      <c r="Z4" s="3"/>
      <c r="AA4" s="3"/>
    </row>
    <row r="5" spans="1:32" ht="12" customHeight="1">
      <c r="A5" s="143"/>
      <c r="B5" s="133" t="s">
        <v>155</v>
      </c>
      <c r="C5" s="133"/>
      <c r="F5" s="241" t="s">
        <v>56</v>
      </c>
      <c r="G5" s="96"/>
      <c r="H5" s="96"/>
      <c r="I5" s="96"/>
      <c r="J5" s="287">
        <v>45747</v>
      </c>
      <c r="K5" s="287">
        <v>45838</v>
      </c>
      <c r="L5" s="287">
        <v>45930</v>
      </c>
      <c r="M5" s="287">
        <v>46022</v>
      </c>
      <c r="N5" s="451">
        <v>46112</v>
      </c>
      <c r="O5" s="287">
        <v>46203</v>
      </c>
      <c r="P5" s="287">
        <v>46295</v>
      </c>
      <c r="Q5" s="302">
        <v>46387</v>
      </c>
      <c r="R5" s="225"/>
      <c r="S5" s="285" t="s">
        <v>23</v>
      </c>
      <c r="T5" s="285" t="s">
        <v>24</v>
      </c>
      <c r="V5" s="222"/>
      <c r="W5" s="3"/>
      <c r="X5" s="3"/>
      <c r="Y5" s="3"/>
      <c r="Z5" s="3"/>
      <c r="AA5" s="3"/>
    </row>
    <row r="6" spans="1:32" ht="12" customHeight="1">
      <c r="A6" s="143"/>
      <c r="B6" s="142"/>
      <c r="C6" s="134"/>
      <c r="F6" s="90" t="s">
        <v>143</v>
      </c>
      <c r="G6" s="90"/>
      <c r="H6" s="90"/>
      <c r="I6" s="90"/>
      <c r="J6" s="290">
        <f t="shared" ref="J6:L6" si="0">J7/J8</f>
        <v>1.2716316131756702</v>
      </c>
      <c r="K6" s="290">
        <f t="shared" si="0"/>
        <v>1.7696418912290681</v>
      </c>
      <c r="L6" s="625">
        <f t="shared" si="0"/>
        <v>1.7359479676963407</v>
      </c>
      <c r="M6" s="625">
        <f>M7/M8</f>
        <v>1.7983878239391493</v>
      </c>
      <c r="N6" s="796">
        <f>N7/N8</f>
        <v>1.8955181727400436</v>
      </c>
      <c r="O6" s="697">
        <f>O7/O8</f>
        <v>2.0499919377234059</v>
      </c>
      <c r="P6" s="697"/>
      <c r="Q6" s="698"/>
      <c r="R6" s="225"/>
      <c r="S6" s="555">
        <f>O6-K6</f>
        <v>0.28035004649433781</v>
      </c>
      <c r="T6" s="555">
        <f>O6-N6</f>
        <v>0.15447376498336229</v>
      </c>
      <c r="U6" s="145"/>
      <c r="V6" s="145"/>
      <c r="W6" s="3"/>
      <c r="X6" s="3"/>
      <c r="Y6" s="3"/>
      <c r="Z6" s="283"/>
      <c r="AA6" s="283"/>
      <c r="AB6" s="278"/>
      <c r="AC6" s="278"/>
      <c r="AD6" s="278"/>
      <c r="AE6" s="276"/>
      <c r="AF6" s="64"/>
    </row>
    <row r="7" spans="1:32" ht="12" customHeight="1">
      <c r="A7" s="143"/>
      <c r="B7" s="142" t="s">
        <v>212</v>
      </c>
      <c r="C7" s="134"/>
      <c r="F7" s="79"/>
      <c r="G7" s="79" t="s">
        <v>60</v>
      </c>
      <c r="H7" s="79"/>
      <c r="I7" s="79"/>
      <c r="J7" s="291">
        <v>3386.1572805743199</v>
      </c>
      <c r="K7" s="291">
        <v>4285.0285413405418</v>
      </c>
      <c r="L7" s="629">
        <v>4020.0403157379837</v>
      </c>
      <c r="M7" s="629">
        <v>4059.4964387834143</v>
      </c>
      <c r="N7" s="797">
        <v>4345.7256186324903</v>
      </c>
      <c r="O7" s="699">
        <v>4927.3892158718545</v>
      </c>
      <c r="P7" s="699"/>
      <c r="Q7" s="700"/>
      <c r="R7" s="225"/>
      <c r="S7" s="145">
        <f>IF(O7/K7&lt;0,"n.a.",IF(K7&gt;0,ROUND(O7,4)/ROUND(K7,4)-1,IF(K7&lt;0,"n.a.")))</f>
        <v>0.1499081511359841</v>
      </c>
      <c r="T7" s="145">
        <f t="shared" ref="T7:T12" si="1">IF(O7/N7&lt;0,"n.a.",IF(N7&gt;0,ROUND(O7,4)/ROUND(N7,4)-1,IF(N7&lt;0,"n.a.")))</f>
        <v>0.13384729123256189</v>
      </c>
      <c r="U7" s="145"/>
      <c r="V7" s="737"/>
      <c r="W7" s="3"/>
      <c r="X7" s="3"/>
      <c r="Y7" s="3"/>
      <c r="Z7" s="283"/>
      <c r="AA7" s="283"/>
      <c r="AB7" s="278"/>
      <c r="AC7" s="278"/>
      <c r="AD7" s="278"/>
      <c r="AE7" s="276"/>
      <c r="AF7" s="64"/>
    </row>
    <row r="8" spans="1:32" ht="12" customHeight="1">
      <c r="A8" s="143"/>
      <c r="B8" s="142" t="s">
        <v>213</v>
      </c>
      <c r="C8" s="134"/>
      <c r="F8" s="79"/>
      <c r="G8" s="79" t="s">
        <v>61</v>
      </c>
      <c r="H8" s="79"/>
      <c r="I8" s="79"/>
      <c r="J8" s="291">
        <v>2662.8445262681098</v>
      </c>
      <c r="K8" s="291">
        <v>2421.4099827646282</v>
      </c>
      <c r="L8" s="630">
        <v>2315.7608353162263</v>
      </c>
      <c r="M8" s="630">
        <v>2257.2975554803202</v>
      </c>
      <c r="N8" s="797">
        <v>2292.631999592269</v>
      </c>
      <c r="O8" s="699">
        <v>2403.6139485230892</v>
      </c>
      <c r="P8" s="699"/>
      <c r="Q8" s="700"/>
      <c r="R8" s="225"/>
      <c r="S8" s="145">
        <f>IF(O8/K8&lt;0,"n.a.",IF(K8&gt;0,ROUND(O8,4)/ROUND(K8,4)-1,IF(K8&lt;0,"n.a.")))</f>
        <v>-7.349478196587933E-3</v>
      </c>
      <c r="T8" s="145">
        <f t="shared" si="1"/>
        <v>4.8408074213392993E-2</v>
      </c>
      <c r="U8" s="145"/>
      <c r="V8" s="737"/>
      <c r="W8" s="3"/>
      <c r="X8" s="3"/>
      <c r="Y8" s="3"/>
      <c r="Z8" s="283"/>
      <c r="AA8" s="283"/>
      <c r="AB8" s="278"/>
      <c r="AC8" s="278"/>
      <c r="AD8" s="278"/>
      <c r="AE8" s="276"/>
      <c r="AF8" s="64"/>
    </row>
    <row r="9" spans="1:32" ht="12" customHeight="1">
      <c r="A9" s="143"/>
      <c r="B9" s="142"/>
      <c r="C9" s="134"/>
      <c r="F9" s="79"/>
      <c r="G9" s="79"/>
      <c r="H9" s="79" t="s">
        <v>62</v>
      </c>
      <c r="I9" s="79"/>
      <c r="J9" s="291">
        <v>1955.94360486864</v>
      </c>
      <c r="K9" s="291">
        <v>1997.3053279853173</v>
      </c>
      <c r="L9" s="630">
        <v>2016.3067377166233</v>
      </c>
      <c r="M9" s="630">
        <v>1863.7667412976375</v>
      </c>
      <c r="N9" s="797">
        <v>1984.2305003907763</v>
      </c>
      <c r="O9" s="699">
        <v>2166.1019740816027</v>
      </c>
      <c r="P9" s="699"/>
      <c r="Q9" s="700"/>
      <c r="R9" s="225"/>
      <c r="S9" s="145">
        <f>IF(O9/K9&lt;0,"n.a.",IF(K9&gt;0,ROUND(O9,4)/ROUND(K9,4)-1,IF(K9&lt;0,"n.a.")))</f>
        <v>8.4512217536297563E-2</v>
      </c>
      <c r="T9" s="145">
        <f t="shared" si="1"/>
        <v>9.1658453995138167E-2</v>
      </c>
      <c r="U9" s="284"/>
      <c r="V9" s="145"/>
      <c r="W9" s="3"/>
      <c r="X9" s="3"/>
      <c r="Y9" s="3"/>
      <c r="Z9" s="283"/>
      <c r="AA9" s="283"/>
      <c r="AB9" s="278"/>
      <c r="AC9" s="278"/>
      <c r="AD9" s="278"/>
      <c r="AE9" s="276"/>
      <c r="AF9" s="64"/>
    </row>
    <row r="10" spans="1:32" ht="12" customHeight="1">
      <c r="A10" s="133"/>
      <c r="B10" s="142" t="s">
        <v>171</v>
      </c>
      <c r="C10" s="134"/>
      <c r="F10" s="79"/>
      <c r="G10" s="79"/>
      <c r="H10" s="79" t="s">
        <v>63</v>
      </c>
      <c r="I10" s="79"/>
      <c r="J10" s="291">
        <v>1219.7393156712899</v>
      </c>
      <c r="K10" s="291">
        <v>867.39940423917733</v>
      </c>
      <c r="L10" s="630">
        <v>612.6205643048196</v>
      </c>
      <c r="M10" s="630">
        <v>669.76495535004096</v>
      </c>
      <c r="N10" s="797">
        <v>665.03460989993664</v>
      </c>
      <c r="O10" s="699">
        <v>684.43740598595105</v>
      </c>
      <c r="P10" s="699"/>
      <c r="Q10" s="700"/>
      <c r="R10" s="225"/>
      <c r="S10" s="145">
        <f>IF(O10/K10&lt;0,"n.a.",IF(K10&gt;0,ROUND(O10,4)/ROUND(K10,4)-1,IF(K10&lt;0,"n.a.")))</f>
        <v>-0.21093166538966934</v>
      </c>
      <c r="T10" s="145">
        <f t="shared" si="1"/>
        <v>2.9175624847188608E-2</v>
      </c>
      <c r="U10" s="145"/>
      <c r="V10" s="145"/>
      <c r="W10" s="3"/>
      <c r="X10" s="3"/>
      <c r="Y10" s="3"/>
      <c r="Z10" s="283"/>
      <c r="AA10" s="283"/>
      <c r="AB10" s="278"/>
      <c r="AC10" s="278"/>
      <c r="AD10" s="278"/>
      <c r="AE10" s="276"/>
      <c r="AF10" s="64"/>
    </row>
    <row r="11" spans="1:32" ht="12" customHeight="1">
      <c r="A11" s="133"/>
      <c r="B11" s="142" t="s">
        <v>166</v>
      </c>
      <c r="C11" s="134"/>
      <c r="F11" s="79"/>
      <c r="G11" s="79"/>
      <c r="H11" s="79" t="s">
        <v>64</v>
      </c>
      <c r="I11" s="79"/>
      <c r="J11" s="291">
        <v>627.84819306847396</v>
      </c>
      <c r="K11" s="291">
        <v>665.54097354570251</v>
      </c>
      <c r="L11" s="630">
        <v>588.82625326803395</v>
      </c>
      <c r="M11" s="630">
        <v>589.58548818385316</v>
      </c>
      <c r="N11" s="797">
        <v>576.58746379672493</v>
      </c>
      <c r="O11" s="699">
        <v>585.78746379672486</v>
      </c>
      <c r="P11" s="699"/>
      <c r="Q11" s="700"/>
      <c r="R11" s="225"/>
      <c r="S11" s="145">
        <f t="shared" ref="S11" si="2">IF(O11/K11&lt;0,"n.a.",IF(K11&gt;0,ROUND(O11,4)/ROUND(K11,4)-1,IF(K11&lt;0,"n.a.")))</f>
        <v>-0.11983258732369606</v>
      </c>
      <c r="T11" s="145">
        <f t="shared" si="1"/>
        <v>1.5955947709584528E-2</v>
      </c>
      <c r="W11" s="3"/>
      <c r="X11" s="3"/>
      <c r="Y11" s="3"/>
      <c r="Z11" s="283"/>
      <c r="AA11" s="283"/>
      <c r="AB11" s="278"/>
      <c r="AC11" s="278"/>
      <c r="AD11" s="278"/>
      <c r="AE11" s="276"/>
      <c r="AF11" s="64"/>
    </row>
    <row r="12" spans="1:32" ht="12" customHeight="1">
      <c r="A12" s="133"/>
      <c r="B12" s="142" t="s">
        <v>219</v>
      </c>
      <c r="C12" s="134"/>
      <c r="F12" s="83"/>
      <c r="G12" s="83"/>
      <c r="H12" s="83" t="s">
        <v>65</v>
      </c>
      <c r="I12" s="83"/>
      <c r="J12" s="528">
        <v>151.631172566841</v>
      </c>
      <c r="K12" s="528">
        <v>141.85424973570639</v>
      </c>
      <c r="L12" s="631">
        <v>195.73361376809888</v>
      </c>
      <c r="M12" s="631">
        <v>245.1869291343813</v>
      </c>
      <c r="N12" s="798">
        <v>268.65443865001834</v>
      </c>
      <c r="O12" s="701">
        <v>318.11632938469654</v>
      </c>
      <c r="P12" s="701"/>
      <c r="Q12" s="702"/>
      <c r="R12" s="225"/>
      <c r="S12" s="292">
        <f>IF(O12/K12&lt;0,"n.a.",IF(K12&gt;0,ROUND(O12,4)/ROUND(K12,4)-1,IF(K12&lt;0,"n.a.")))</f>
        <v>1.2425582041279006</v>
      </c>
      <c r="T12" s="292">
        <f t="shared" si="1"/>
        <v>0.18410977076869028</v>
      </c>
      <c r="U12" s="145"/>
      <c r="V12" s="279"/>
      <c r="W12" s="3"/>
      <c r="X12" s="3"/>
      <c r="Y12" s="3"/>
      <c r="Z12" s="3"/>
      <c r="AA12" s="3"/>
    </row>
    <row r="13" spans="1:32" ht="12" customHeight="1">
      <c r="A13" s="133"/>
      <c r="B13" s="142"/>
      <c r="C13" s="134"/>
      <c r="F13" s="244" t="s">
        <v>378</v>
      </c>
      <c r="G13" s="79"/>
      <c r="H13" s="79"/>
      <c r="I13" s="79"/>
      <c r="J13" s="227"/>
      <c r="K13" s="227"/>
      <c r="L13" s="227"/>
      <c r="M13" s="227"/>
      <c r="N13" s="227"/>
      <c r="O13" s="227"/>
      <c r="P13" s="227"/>
      <c r="Q13" s="227"/>
      <c r="R13" s="225"/>
      <c r="S13" s="225"/>
      <c r="T13" s="279"/>
      <c r="U13" s="277"/>
      <c r="V13" s="632"/>
      <c r="W13" s="223"/>
    </row>
    <row r="14" spans="1:32" ht="12" customHeight="1">
      <c r="A14" s="133"/>
      <c r="B14" s="133" t="s">
        <v>173</v>
      </c>
      <c r="C14" s="134"/>
      <c r="F14" s="79" t="s">
        <v>240</v>
      </c>
      <c r="G14" s="79"/>
      <c r="H14" s="79"/>
      <c r="I14" s="79"/>
      <c r="J14" s="635"/>
      <c r="K14" s="635"/>
      <c r="L14" s="635"/>
      <c r="M14" s="635"/>
      <c r="N14" s="227"/>
      <c r="O14" s="227"/>
      <c r="P14" s="227"/>
      <c r="Q14" s="635"/>
      <c r="R14" s="225"/>
      <c r="S14" s="225"/>
      <c r="T14" s="277"/>
      <c r="U14" s="277"/>
      <c r="V14" s="632"/>
    </row>
    <row r="15" spans="1:32" ht="12" customHeight="1">
      <c r="A15" s="133"/>
      <c r="B15" s="135"/>
      <c r="C15" s="142" t="s">
        <v>40</v>
      </c>
      <c r="F15" s="79"/>
      <c r="G15" s="79"/>
      <c r="H15" s="79"/>
      <c r="I15" s="79"/>
      <c r="J15" s="227"/>
      <c r="K15" s="227"/>
      <c r="L15" s="227"/>
      <c r="M15" s="227"/>
      <c r="N15" s="227"/>
      <c r="O15" s="227"/>
      <c r="P15" s="227"/>
      <c r="Q15" s="227"/>
      <c r="R15" s="225"/>
      <c r="S15" s="225"/>
      <c r="T15" s="277"/>
      <c r="U15" s="226"/>
      <c r="V15" s="633"/>
    </row>
    <row r="16" spans="1:32" ht="12" customHeight="1">
      <c r="A16" s="133"/>
      <c r="B16" s="133"/>
      <c r="C16" s="142" t="s">
        <v>41</v>
      </c>
      <c r="F16" s="79"/>
      <c r="G16" s="79"/>
      <c r="H16" s="79"/>
      <c r="I16" s="79"/>
      <c r="J16" s="227"/>
      <c r="K16" s="227"/>
      <c r="L16" s="227"/>
      <c r="M16" s="227"/>
      <c r="N16" s="227"/>
      <c r="O16" s="227"/>
      <c r="P16" s="227"/>
      <c r="Q16" s="227"/>
      <c r="R16" s="225"/>
      <c r="S16" s="225"/>
      <c r="T16" s="277"/>
      <c r="V16" s="633"/>
    </row>
    <row r="17" spans="1:25" s="38" customFormat="1" ht="18.75" customHeight="1">
      <c r="A17" s="133"/>
      <c r="B17" s="133"/>
      <c r="C17" s="142"/>
      <c r="D17" s="1"/>
      <c r="E17" s="1"/>
      <c r="F17" s="240" t="s">
        <v>22</v>
      </c>
      <c r="G17" s="76"/>
      <c r="H17" s="76"/>
      <c r="I17" s="76"/>
      <c r="J17" s="801" t="s">
        <v>233</v>
      </c>
      <c r="K17" s="801"/>
      <c r="L17" s="801"/>
      <c r="M17" s="801"/>
      <c r="N17" s="811" t="s">
        <v>374</v>
      </c>
      <c r="O17" s="812"/>
      <c r="P17" s="812"/>
      <c r="Q17" s="813"/>
      <c r="R17" s="225"/>
      <c r="S17" s="804" t="s">
        <v>215</v>
      </c>
      <c r="T17" s="804"/>
      <c r="U17" s="278"/>
      <c r="V17" s="634"/>
      <c r="W17" s="1"/>
      <c r="X17" s="1"/>
      <c r="Y17" s="1"/>
    </row>
    <row r="18" spans="1:25" ht="12" customHeight="1">
      <c r="A18" s="133"/>
      <c r="B18" s="133" t="s">
        <v>176</v>
      </c>
      <c r="C18" s="142"/>
      <c r="F18" s="241" t="s">
        <v>56</v>
      </c>
      <c r="G18" s="96"/>
      <c r="H18" s="96"/>
      <c r="I18" s="96"/>
      <c r="J18" s="287">
        <v>45747</v>
      </c>
      <c r="K18" s="287">
        <v>45838</v>
      </c>
      <c r="L18" s="287">
        <v>45930</v>
      </c>
      <c r="M18" s="287">
        <v>46022</v>
      </c>
      <c r="N18" s="451">
        <v>46112</v>
      </c>
      <c r="O18" s="287">
        <v>46203</v>
      </c>
      <c r="P18" s="287">
        <v>46295</v>
      </c>
      <c r="Q18" s="302">
        <v>46387</v>
      </c>
      <c r="R18" s="225"/>
      <c r="S18" s="285" t="s">
        <v>23</v>
      </c>
      <c r="T18" s="285" t="s">
        <v>24</v>
      </c>
      <c r="V18" s="596"/>
    </row>
    <row r="19" spans="1:25" ht="12" customHeight="1">
      <c r="A19" s="133"/>
      <c r="B19" s="133"/>
      <c r="C19" s="142" t="s">
        <v>33</v>
      </c>
      <c r="F19" s="80" t="s">
        <v>66</v>
      </c>
      <c r="G19" s="80"/>
      <c r="H19" s="80"/>
      <c r="I19" s="80"/>
      <c r="J19" s="497">
        <v>29579.995804345981</v>
      </c>
      <c r="K19" s="497">
        <v>29788.905937618001</v>
      </c>
      <c r="L19" s="497">
        <v>30268.852278197999</v>
      </c>
      <c r="M19" s="497">
        <v>30352.360508350001</v>
      </c>
      <c r="N19" s="755">
        <v>30252.0271859725</v>
      </c>
      <c r="O19" s="502">
        <v>30487.415101633487</v>
      </c>
      <c r="P19" s="502"/>
      <c r="Q19" s="703"/>
      <c r="R19" s="225"/>
      <c r="S19" s="203">
        <f>IF(O19/K19&lt;0,"n.a.",IF(K19&gt;0,ROUND(O19,4)/ROUND(K19,4)-1,IF(K19&lt;0,"n.a.")))</f>
        <v>2.3448635621088565E-2</v>
      </c>
      <c r="T19" s="203">
        <f>IF(O19/N19&lt;0,"n.a.",IF(N19&gt;0,ROUND(O19,4)/ROUND(N19,4)-1,IF(N19&lt;0,"n.a.")))</f>
        <v>7.7808967459873646E-3</v>
      </c>
      <c r="U19" s="53"/>
      <c r="V19" s="145"/>
      <c r="X19" s="64"/>
    </row>
    <row r="20" spans="1:25" ht="12" customHeight="1">
      <c r="A20" s="133"/>
      <c r="B20" s="133"/>
      <c r="C20" s="142" t="s">
        <v>29</v>
      </c>
      <c r="F20" s="79"/>
      <c r="G20" s="79" t="s">
        <v>67</v>
      </c>
      <c r="H20" s="79"/>
      <c r="I20" s="79"/>
      <c r="J20" s="498">
        <v>0.41094195828621638</v>
      </c>
      <c r="K20" s="498">
        <v>0.40217874374875395</v>
      </c>
      <c r="L20" s="498">
        <v>0.39839999999999998</v>
      </c>
      <c r="M20" s="498">
        <v>0.39293181191561732</v>
      </c>
      <c r="N20" s="756">
        <v>0.37965838018144954</v>
      </c>
      <c r="O20" s="503">
        <v>0.37180702352375378</v>
      </c>
      <c r="P20" s="503"/>
      <c r="Q20" s="704"/>
      <c r="R20" s="225"/>
      <c r="S20" s="138">
        <f>O20-K20</f>
        <v>-3.0371720225000176E-2</v>
      </c>
      <c r="T20" s="138">
        <f t="shared" ref="T20:T26" si="3">O20-N20</f>
        <v>-7.8513566576957627E-3</v>
      </c>
      <c r="U20" s="182"/>
      <c r="V20" s="145"/>
    </row>
    <row r="21" spans="1:25" ht="12" customHeight="1">
      <c r="A21" s="133"/>
      <c r="B21" s="133"/>
      <c r="C21" s="142" t="s">
        <v>30</v>
      </c>
      <c r="F21" s="79"/>
      <c r="G21" s="79" t="s">
        <v>68</v>
      </c>
      <c r="H21" s="79"/>
      <c r="I21" s="79"/>
      <c r="J21" s="498">
        <v>0.58905804171378362</v>
      </c>
      <c r="K21" s="498">
        <v>0.59782125625124605</v>
      </c>
      <c r="L21" s="498">
        <v>0.60170000000000001</v>
      </c>
      <c r="M21" s="498">
        <v>0.60706818808438268</v>
      </c>
      <c r="N21" s="756">
        <v>0.62034161981855052</v>
      </c>
      <c r="O21" s="503">
        <v>0.62819297647624628</v>
      </c>
      <c r="P21" s="503"/>
      <c r="Q21" s="704"/>
      <c r="R21" s="225"/>
      <c r="S21" s="138">
        <f>O21-K21</f>
        <v>3.0371720225000232E-2</v>
      </c>
      <c r="T21" s="138">
        <f t="shared" si="3"/>
        <v>7.8513566576957627E-3</v>
      </c>
      <c r="U21" s="182"/>
      <c r="V21" s="145"/>
    </row>
    <row r="22" spans="1:25" ht="12" customHeight="1">
      <c r="A22" s="133"/>
      <c r="B22" s="133"/>
      <c r="C22" s="142" t="s">
        <v>31</v>
      </c>
      <c r="F22" s="79"/>
      <c r="G22" s="79"/>
      <c r="H22" s="79" t="s">
        <v>25</v>
      </c>
      <c r="I22" s="79"/>
      <c r="J22" s="499">
        <v>7.5259446129972873E-2</v>
      </c>
      <c r="K22" s="499">
        <v>7.4639295783609852E-2</v>
      </c>
      <c r="L22" s="499">
        <v>7.3300000000000004E-2</v>
      </c>
      <c r="M22" s="499">
        <v>7.2856848242944625E-2</v>
      </c>
      <c r="N22" s="757">
        <v>7.2971374803424957E-2</v>
      </c>
      <c r="O22" s="504">
        <v>7.2187383711454195E-2</v>
      </c>
      <c r="P22" s="504"/>
      <c r="Q22" s="705"/>
      <c r="R22" s="225"/>
      <c r="S22" s="138">
        <f>O22-K22</f>
        <v>-2.451912072155657E-3</v>
      </c>
      <c r="T22" s="138">
        <f t="shared" si="3"/>
        <v>-7.8399109197076211E-4</v>
      </c>
      <c r="U22" s="182"/>
      <c r="V22" s="145"/>
    </row>
    <row r="23" spans="1:25" ht="12" customHeight="1">
      <c r="A23" s="133"/>
      <c r="B23" s="133"/>
      <c r="C23" s="142"/>
      <c r="F23" s="83"/>
      <c r="G23" s="83"/>
      <c r="H23" s="83" t="s">
        <v>26</v>
      </c>
      <c r="I23" s="83"/>
      <c r="J23" s="292">
        <v>0.51379859558381069</v>
      </c>
      <c r="K23" s="292">
        <v>0.52318196046763621</v>
      </c>
      <c r="L23" s="292">
        <v>0.52839999999999998</v>
      </c>
      <c r="M23" s="292">
        <v>0.53421133984143809</v>
      </c>
      <c r="N23" s="758">
        <v>0.54737024501512543</v>
      </c>
      <c r="O23" s="505">
        <v>0.55600559276479211</v>
      </c>
      <c r="P23" s="505"/>
      <c r="Q23" s="706"/>
      <c r="R23" s="225"/>
      <c r="S23" s="249">
        <f t="shared" ref="S23" si="4">O23-K23</f>
        <v>3.2823632297155902E-2</v>
      </c>
      <c r="T23" s="249">
        <f t="shared" si="3"/>
        <v>8.6353477496666775E-3</v>
      </c>
      <c r="U23" s="182"/>
      <c r="V23" s="473"/>
    </row>
    <row r="24" spans="1:25" ht="12" customHeight="1">
      <c r="A24" s="133"/>
      <c r="B24" s="133" t="s">
        <v>181</v>
      </c>
      <c r="C24" s="142"/>
      <c r="F24" s="80" t="s">
        <v>69</v>
      </c>
      <c r="G24" s="79"/>
      <c r="H24" s="79"/>
      <c r="I24" s="79"/>
      <c r="J24" s="499">
        <v>3.5551844527334391E-2</v>
      </c>
      <c r="K24" s="499">
        <v>3.5492068882607093E-2</v>
      </c>
      <c r="L24" s="499">
        <v>3.5638137E-2</v>
      </c>
      <c r="M24" s="499">
        <v>3.5745760330646303E-2</v>
      </c>
      <c r="N24" s="757">
        <v>3.6067514339168709E-2</v>
      </c>
      <c r="O24" s="504">
        <v>3.6931005680908881E-2</v>
      </c>
      <c r="P24" s="504"/>
      <c r="Q24" s="705"/>
      <c r="R24" s="225"/>
      <c r="S24" s="438">
        <f>O24-K24</f>
        <v>1.4389367983017876E-3</v>
      </c>
      <c r="T24" s="438">
        <f t="shared" si="3"/>
        <v>8.6349134174017184E-4</v>
      </c>
      <c r="V24" s="473"/>
    </row>
    <row r="25" spans="1:25" s="7" customFormat="1" ht="12" customHeight="1">
      <c r="A25" s="133"/>
      <c r="B25" s="133"/>
      <c r="C25" s="142" t="s">
        <v>32</v>
      </c>
      <c r="D25" s="1"/>
      <c r="E25" s="1"/>
      <c r="F25" s="80" t="s">
        <v>70</v>
      </c>
      <c r="G25" s="80"/>
      <c r="H25" s="80"/>
      <c r="I25" s="80"/>
      <c r="J25" s="500">
        <v>3.8222661024777338E-2</v>
      </c>
      <c r="K25" s="500">
        <v>3.4722378929815487E-2</v>
      </c>
      <c r="L25" s="500">
        <v>3.5294827575510647E-2</v>
      </c>
      <c r="M25" s="500">
        <v>3.4280119531898391E-2</v>
      </c>
      <c r="N25" s="759">
        <v>3.5862481977833045E-2</v>
      </c>
      <c r="O25" s="636">
        <v>3.566646938696591E-2</v>
      </c>
      <c r="P25" s="636"/>
      <c r="Q25" s="707"/>
      <c r="R25" s="225"/>
      <c r="S25" s="439">
        <f>O25-K25</f>
        <v>9.4409045715042328E-4</v>
      </c>
      <c r="T25" s="439">
        <f t="shared" si="3"/>
        <v>-1.9601259086713535E-4</v>
      </c>
      <c r="U25" s="1"/>
      <c r="V25" s="145"/>
    </row>
    <row r="26" spans="1:25" ht="12" customHeight="1">
      <c r="A26" s="133"/>
      <c r="B26" s="133"/>
      <c r="C26" s="142" t="s">
        <v>34</v>
      </c>
      <c r="F26" s="91" t="s">
        <v>71</v>
      </c>
      <c r="G26" s="91"/>
      <c r="H26" s="91"/>
      <c r="I26" s="91"/>
      <c r="J26" s="501">
        <f t="shared" ref="J26:M26" si="5">J25-J24</f>
        <v>2.6708164974429474E-3</v>
      </c>
      <c r="K26" s="501">
        <f t="shared" si="5"/>
        <v>-7.6968995279160651E-4</v>
      </c>
      <c r="L26" s="501">
        <f t="shared" si="5"/>
        <v>-3.4330942448935337E-4</v>
      </c>
      <c r="M26" s="501">
        <f t="shared" si="5"/>
        <v>-1.4656407987479123E-3</v>
      </c>
      <c r="N26" s="760">
        <f>N25-N24</f>
        <v>-2.050323613356636E-4</v>
      </c>
      <c r="O26" s="637">
        <f>O25-O24</f>
        <v>-1.2645362939429708E-3</v>
      </c>
      <c r="P26" s="637"/>
      <c r="Q26" s="708"/>
      <c r="R26" s="225"/>
      <c r="S26" s="440">
        <f>O26-K26</f>
        <v>-4.9484634115136428E-4</v>
      </c>
      <c r="T26" s="440">
        <f t="shared" si="3"/>
        <v>-1.0595039326073072E-3</v>
      </c>
      <c r="V26" s="145"/>
    </row>
    <row r="27" spans="1:25" ht="12" customHeight="1">
      <c r="A27" s="133"/>
      <c r="B27" s="133"/>
      <c r="C27" s="142" t="s">
        <v>35</v>
      </c>
      <c r="F27" s="314"/>
      <c r="G27" s="314"/>
      <c r="H27" s="314"/>
      <c r="I27" s="314"/>
      <c r="J27"/>
      <c r="K27"/>
      <c r="L27"/>
      <c r="M27"/>
      <c r="N27"/>
      <c r="O27"/>
      <c r="P27"/>
      <c r="Q27"/>
      <c r="R27" s="225"/>
      <c r="S27" s="225"/>
      <c r="T27"/>
    </row>
    <row r="28" spans="1:25" ht="12" customHeight="1">
      <c r="A28" s="133"/>
      <c r="B28" s="133"/>
      <c r="C28" s="142"/>
      <c r="F28"/>
      <c r="G28"/>
      <c r="H28"/>
      <c r="I28"/>
      <c r="J28" s="314"/>
      <c r="K28" s="314"/>
      <c r="L28" s="314"/>
      <c r="M28" s="314"/>
      <c r="N28" s="314"/>
      <c r="O28" s="314"/>
      <c r="P28" s="314"/>
      <c r="Q28" s="314"/>
      <c r="R28" s="225"/>
      <c r="S28" s="225"/>
      <c r="T28"/>
    </row>
    <row r="29" spans="1:25" ht="14.25">
      <c r="A29" s="133"/>
      <c r="B29" s="133"/>
      <c r="C29" s="142"/>
      <c r="F29"/>
      <c r="G29"/>
      <c r="H29"/>
      <c r="I29"/>
      <c r="J29"/>
      <c r="K29"/>
      <c r="N29"/>
      <c r="O29"/>
      <c r="P29"/>
      <c r="Q29"/>
      <c r="R29"/>
      <c r="S29"/>
      <c r="T29"/>
      <c r="U29"/>
      <c r="V29"/>
    </row>
    <row r="30" spans="1:25" ht="14.25">
      <c r="A30" s="133"/>
      <c r="B30" s="133" t="s">
        <v>185</v>
      </c>
      <c r="C30" s="142"/>
      <c r="F30"/>
      <c r="G30"/>
      <c r="H30"/>
      <c r="I30"/>
      <c r="J30" s="53"/>
      <c r="K30" s="53"/>
      <c r="L30" s="165"/>
      <c r="M30" s="165"/>
      <c r="N30"/>
      <c r="O30"/>
      <c r="P30"/>
      <c r="Q30" s="53"/>
      <c r="R30"/>
      <c r="S30"/>
      <c r="T30"/>
      <c r="U30"/>
      <c r="V30"/>
    </row>
    <row r="31" spans="1:25" ht="14.25">
      <c r="A31" s="133"/>
      <c r="B31" s="133"/>
      <c r="C31" s="142" t="s">
        <v>147</v>
      </c>
      <c r="J31" s="53"/>
      <c r="K31" s="53"/>
      <c r="L31" s="165"/>
      <c r="M31" s="165"/>
      <c r="P31" s="222"/>
      <c r="Q31" s="53"/>
    </row>
    <row r="32" spans="1:25" ht="14.25">
      <c r="A32" s="133"/>
      <c r="B32" s="133"/>
      <c r="C32" s="142" t="s">
        <v>36</v>
      </c>
      <c r="J32" s="53"/>
      <c r="K32" s="53"/>
      <c r="L32" s="165"/>
      <c r="M32" s="165"/>
      <c r="Q32" s="53"/>
    </row>
    <row r="33" spans="1:22" ht="14.25">
      <c r="A33" s="133"/>
      <c r="B33" s="133"/>
      <c r="C33" s="142"/>
      <c r="J33" s="53"/>
      <c r="K33" s="53"/>
      <c r="L33" s="165"/>
      <c r="M33" s="165"/>
      <c r="Q33" s="53"/>
    </row>
    <row r="34" spans="1:22" ht="14.25">
      <c r="A34" s="133"/>
      <c r="B34" s="133" t="s">
        <v>188</v>
      </c>
      <c r="C34" s="142"/>
      <c r="J34" s="53"/>
      <c r="K34" s="53"/>
      <c r="L34" s="165"/>
      <c r="M34" s="165"/>
      <c r="Q34" s="53"/>
    </row>
    <row r="35" spans="1:22" ht="14.25">
      <c r="A35" s="133"/>
      <c r="B35" s="133"/>
      <c r="C35" s="142" t="s">
        <v>37</v>
      </c>
      <c r="J35" s="53"/>
      <c r="K35" s="53"/>
      <c r="L35" s="165"/>
      <c r="M35" s="165"/>
      <c r="Q35" s="53"/>
    </row>
    <row r="36" spans="1:22" ht="14.25">
      <c r="A36" s="133"/>
      <c r="B36" s="133"/>
      <c r="C36" s="142" t="s">
        <v>38</v>
      </c>
      <c r="J36" s="53"/>
      <c r="K36" s="53"/>
      <c r="L36" s="165"/>
      <c r="M36" s="165"/>
      <c r="Q36" s="53"/>
    </row>
    <row r="37" spans="1:22" ht="14.25">
      <c r="A37" s="25"/>
    </row>
    <row r="38" spans="1:22" ht="14.25">
      <c r="A38" s="25"/>
    </row>
    <row r="39" spans="1:22" ht="14.25">
      <c r="A39" s="25"/>
      <c r="J39" s="58"/>
      <c r="K39" s="58"/>
      <c r="L39" s="58"/>
      <c r="M39" s="58"/>
      <c r="Q39" s="58"/>
    </row>
    <row r="40" spans="1:22" ht="14.25">
      <c r="A40" s="25"/>
      <c r="J40" s="58"/>
      <c r="K40" s="58"/>
      <c r="L40" s="58"/>
      <c r="M40" s="58"/>
      <c r="N40" s="64"/>
      <c r="O40" s="64"/>
      <c r="Q40" s="58"/>
      <c r="R40" s="64"/>
      <c r="S40" s="64"/>
      <c r="T40" s="64"/>
      <c r="U40" s="64"/>
      <c r="V40" s="64"/>
    </row>
    <row r="41" spans="1:22" ht="14.25">
      <c r="A41" s="25"/>
      <c r="J41" s="58"/>
      <c r="K41" s="58"/>
      <c r="L41" s="58"/>
      <c r="M41" s="58"/>
      <c r="N41" s="64"/>
      <c r="O41" s="64"/>
      <c r="P41" s="64"/>
      <c r="Q41" s="58"/>
      <c r="R41" s="64"/>
      <c r="S41" s="64"/>
      <c r="T41" s="64"/>
      <c r="U41" s="64"/>
      <c r="V41" s="64"/>
    </row>
    <row r="42" spans="1:22" ht="14.25">
      <c r="A42" s="25"/>
      <c r="J42" s="64"/>
      <c r="K42" s="64"/>
      <c r="L42" s="64"/>
      <c r="M42" s="64"/>
      <c r="N42" s="64"/>
      <c r="O42" s="64"/>
      <c r="P42" s="64"/>
      <c r="Q42" s="64"/>
      <c r="R42" s="64"/>
      <c r="S42" s="64"/>
      <c r="T42" s="64"/>
      <c r="U42" s="64"/>
      <c r="V42" s="64"/>
    </row>
    <row r="43" spans="1:22" ht="14.25">
      <c r="A43" s="25"/>
      <c r="J43" s="64"/>
      <c r="K43" s="64"/>
      <c r="L43" s="64"/>
      <c r="M43" s="64"/>
      <c r="N43" s="64"/>
      <c r="O43" s="64"/>
      <c r="P43" s="64"/>
      <c r="Q43" s="64"/>
      <c r="R43" s="64"/>
      <c r="S43" s="64"/>
      <c r="T43" s="64"/>
      <c r="U43" s="64"/>
      <c r="V43" s="64"/>
    </row>
    <row r="44" spans="1:22" ht="14.25">
      <c r="A44" s="25"/>
      <c r="J44" s="64"/>
      <c r="K44" s="64"/>
      <c r="L44" s="64"/>
      <c r="M44" s="64"/>
      <c r="N44" s="64"/>
      <c r="O44" s="64"/>
      <c r="P44" s="64"/>
      <c r="Q44" s="64"/>
      <c r="R44" s="64"/>
      <c r="S44" s="64"/>
      <c r="T44" s="64"/>
      <c r="U44" s="64"/>
      <c r="V44" s="64"/>
    </row>
    <row r="45" spans="1:22" ht="14.25">
      <c r="A45" s="25"/>
      <c r="J45" s="64"/>
      <c r="K45" s="64"/>
      <c r="L45" s="64"/>
      <c r="M45" s="64"/>
      <c r="N45" s="64"/>
      <c r="O45" s="64"/>
      <c r="P45" s="64"/>
      <c r="Q45" s="64"/>
      <c r="R45" s="64"/>
      <c r="S45" s="64"/>
      <c r="T45" s="64"/>
      <c r="U45" s="64"/>
      <c r="V45" s="64"/>
    </row>
    <row r="46" spans="1:22" ht="14.25">
      <c r="A46" s="25"/>
      <c r="J46" s="64"/>
      <c r="K46" s="64"/>
      <c r="L46" s="64"/>
      <c r="M46" s="64"/>
      <c r="N46" s="64"/>
      <c r="O46" s="64"/>
      <c r="P46" s="64"/>
      <c r="Q46" s="64"/>
      <c r="R46" s="64"/>
      <c r="S46" s="64"/>
      <c r="T46" s="64"/>
      <c r="U46" s="64"/>
      <c r="V46" s="64"/>
    </row>
    <row r="47" spans="1:22" ht="14.25">
      <c r="A47" s="25"/>
      <c r="J47" s="64"/>
      <c r="K47" s="64"/>
      <c r="L47" s="64"/>
      <c r="M47" s="64"/>
      <c r="N47" s="64"/>
      <c r="O47" s="64"/>
      <c r="P47" s="64"/>
      <c r="Q47" s="64"/>
      <c r="R47" s="64"/>
      <c r="S47" s="64"/>
      <c r="T47" s="64"/>
      <c r="U47" s="64"/>
      <c r="V47" s="64"/>
    </row>
    <row r="48" spans="1:22" ht="14.25">
      <c r="A48" s="25"/>
      <c r="J48" s="64"/>
      <c r="K48" s="64"/>
      <c r="L48" s="64"/>
      <c r="M48" s="64"/>
      <c r="N48" s="64"/>
      <c r="O48" s="64"/>
      <c r="P48" s="64"/>
      <c r="Q48" s="64"/>
      <c r="R48" s="64"/>
      <c r="S48" s="64"/>
      <c r="T48" s="64"/>
      <c r="U48" s="64"/>
      <c r="V48" s="64"/>
    </row>
    <row r="49" spans="1:22">
      <c r="J49" s="64"/>
      <c r="K49" s="64"/>
      <c r="L49" s="64"/>
      <c r="M49" s="64"/>
      <c r="N49" s="64"/>
      <c r="O49" s="64"/>
      <c r="P49" s="64"/>
      <c r="Q49" s="64"/>
      <c r="R49" s="64"/>
      <c r="S49" s="64"/>
      <c r="T49" s="64"/>
      <c r="U49" s="64"/>
      <c r="V49" s="64"/>
    </row>
    <row r="50" spans="1:22">
      <c r="J50" s="64"/>
      <c r="K50" s="64"/>
      <c r="L50" s="64"/>
      <c r="M50" s="64"/>
      <c r="N50" s="64"/>
      <c r="O50" s="64"/>
      <c r="P50" s="64"/>
      <c r="Q50" s="64"/>
      <c r="R50" s="64"/>
      <c r="S50" s="64"/>
      <c r="T50" s="64"/>
      <c r="U50" s="64"/>
      <c r="V50" s="64"/>
    </row>
    <row r="51" spans="1:22">
      <c r="J51" s="64"/>
      <c r="K51" s="64"/>
      <c r="L51" s="64"/>
      <c r="M51" s="64"/>
      <c r="N51" s="64"/>
      <c r="O51" s="64"/>
      <c r="P51" s="64"/>
      <c r="Q51" s="64"/>
      <c r="R51" s="64"/>
      <c r="S51" s="64"/>
      <c r="T51" s="64"/>
      <c r="U51" s="64"/>
      <c r="V51" s="64"/>
    </row>
    <row r="52" spans="1:22">
      <c r="J52" s="64"/>
      <c r="K52" s="64"/>
      <c r="L52" s="64"/>
      <c r="M52" s="64"/>
      <c r="N52" s="64"/>
      <c r="O52" s="64"/>
      <c r="P52" s="64"/>
      <c r="Q52" s="64"/>
      <c r="R52" s="64"/>
      <c r="S52" s="64"/>
      <c r="T52" s="64"/>
      <c r="U52" s="64"/>
      <c r="V52" s="64"/>
    </row>
    <row r="53" spans="1:22">
      <c r="J53" s="64"/>
      <c r="K53" s="64"/>
      <c r="L53" s="64"/>
      <c r="M53" s="64"/>
      <c r="N53" s="64"/>
      <c r="O53" s="64"/>
      <c r="P53" s="64"/>
      <c r="Q53" s="64"/>
      <c r="R53" s="64"/>
      <c r="S53" s="64"/>
      <c r="T53" s="64"/>
      <c r="U53" s="64"/>
      <c r="V53" s="64"/>
    </row>
    <row r="54" spans="1:22">
      <c r="J54" s="64"/>
      <c r="K54" s="64"/>
      <c r="L54" s="64"/>
      <c r="M54" s="64"/>
      <c r="N54" s="64"/>
      <c r="O54" s="64"/>
      <c r="P54" s="64"/>
      <c r="Q54" s="64"/>
      <c r="R54" s="64"/>
      <c r="S54" s="64"/>
      <c r="T54" s="64"/>
      <c r="U54" s="64"/>
      <c r="V54" s="64"/>
    </row>
    <row r="55" spans="1:22">
      <c r="J55" s="64"/>
      <c r="K55" s="64"/>
      <c r="L55" s="64"/>
      <c r="M55" s="64"/>
      <c r="N55" s="64"/>
      <c r="O55" s="64"/>
      <c r="P55" s="64"/>
      <c r="Q55" s="64"/>
      <c r="R55" s="64"/>
      <c r="S55" s="64"/>
      <c r="T55" s="64"/>
      <c r="U55" s="64"/>
      <c r="V55" s="64"/>
    </row>
    <row r="56" spans="1:22">
      <c r="J56" s="64"/>
      <c r="K56" s="64"/>
      <c r="L56" s="64"/>
      <c r="M56" s="64"/>
      <c r="N56" s="64"/>
      <c r="O56" s="64"/>
      <c r="P56" s="64"/>
      <c r="Q56" s="64"/>
      <c r="R56" s="64"/>
      <c r="S56" s="64"/>
      <c r="T56" s="64"/>
      <c r="U56" s="64"/>
      <c r="V56" s="64"/>
    </row>
    <row r="57" spans="1:22">
      <c r="J57" s="64"/>
      <c r="K57" s="64"/>
      <c r="L57" s="64"/>
      <c r="M57" s="64"/>
      <c r="N57" s="64"/>
      <c r="O57" s="64"/>
      <c r="P57" s="64"/>
      <c r="Q57" s="64"/>
      <c r="R57" s="64"/>
      <c r="S57" s="64"/>
      <c r="T57" s="64"/>
      <c r="U57" s="64"/>
      <c r="V57" s="64"/>
    </row>
    <row r="58" spans="1:22">
      <c r="J58" s="64"/>
      <c r="K58" s="64"/>
      <c r="L58" s="64"/>
      <c r="M58" s="64"/>
      <c r="N58" s="64"/>
      <c r="O58" s="64"/>
      <c r="P58" s="64"/>
      <c r="Q58" s="64"/>
      <c r="R58" s="64"/>
      <c r="S58" s="64"/>
      <c r="T58" s="64"/>
      <c r="U58" s="64"/>
      <c r="V58" s="64"/>
    </row>
    <row r="59" spans="1:22">
      <c r="J59" s="64"/>
      <c r="K59" s="64"/>
      <c r="L59" s="64"/>
      <c r="M59" s="64"/>
      <c r="N59" s="64"/>
      <c r="O59" s="64"/>
      <c r="P59" s="64"/>
      <c r="Q59" s="64"/>
      <c r="R59" s="64"/>
      <c r="S59" s="64"/>
      <c r="T59" s="64"/>
      <c r="U59" s="64"/>
      <c r="V59" s="64"/>
    </row>
    <row r="60" spans="1:22">
      <c r="J60" s="64"/>
      <c r="K60" s="64"/>
      <c r="L60" s="64"/>
      <c r="M60" s="64"/>
      <c r="N60" s="64"/>
      <c r="O60" s="64"/>
      <c r="P60" s="64"/>
      <c r="Q60" s="64"/>
      <c r="R60" s="64"/>
      <c r="S60" s="64"/>
      <c r="T60" s="64"/>
      <c r="U60" s="64"/>
      <c r="V60" s="64"/>
    </row>
    <row r="61" spans="1:22">
      <c r="J61" s="64"/>
      <c r="K61" s="64"/>
      <c r="L61" s="64"/>
      <c r="M61" s="64"/>
      <c r="N61" s="64"/>
      <c r="O61" s="64"/>
      <c r="P61" s="64"/>
      <c r="Q61" s="64"/>
      <c r="R61" s="64"/>
      <c r="S61" s="64"/>
      <c r="T61" s="64"/>
      <c r="U61" s="64"/>
      <c r="V61" s="64"/>
    </row>
    <row r="62" spans="1:22">
      <c r="J62" s="64"/>
      <c r="K62" s="64"/>
      <c r="L62" s="64"/>
      <c r="M62" s="64"/>
      <c r="N62" s="64"/>
      <c r="O62" s="64"/>
      <c r="P62" s="64"/>
      <c r="Q62" s="64"/>
      <c r="R62" s="64"/>
      <c r="S62" s="64"/>
      <c r="T62" s="64"/>
      <c r="U62" s="64"/>
      <c r="V62" s="64"/>
    </row>
    <row r="63" spans="1:22">
      <c r="J63" s="64"/>
      <c r="K63" s="64"/>
      <c r="L63" s="64"/>
      <c r="M63" s="64"/>
      <c r="N63" s="64"/>
      <c r="O63" s="64"/>
      <c r="P63" s="64"/>
      <c r="Q63" s="64"/>
      <c r="R63" s="64"/>
      <c r="S63" s="64"/>
      <c r="T63" s="64"/>
      <c r="U63" s="64"/>
      <c r="V63" s="64"/>
    </row>
    <row r="64" spans="1:22"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6">
    <mergeCell ref="J4:M4"/>
    <mergeCell ref="S4:T4"/>
    <mergeCell ref="J17:M17"/>
    <mergeCell ref="S17:T17"/>
    <mergeCell ref="N4:Q4"/>
    <mergeCell ref="N17:Q17"/>
  </mergeCells>
  <phoneticPr fontId="7" type="noConversion"/>
  <hyperlinks>
    <hyperlink ref="B5" location="FH!A1" display="재무현황" xr:uid="{00000000-0004-0000-0400-000000000000}"/>
    <hyperlink ref="B7" location="FS!A1" display="요약재무상태표 (Selected Balance sheet)" xr:uid="{00000000-0004-0000-0400-000001000000}"/>
    <hyperlink ref="C15" location="Stability!A1" display="재무 안정성 (Financial Stability)" xr:uid="{00000000-0004-0000-0400-000002000000}"/>
    <hyperlink ref="C16" location="Productivity!A1" display="생산성 / 경영효율 (Productivity / Operating Efficiency)" xr:uid="{00000000-0004-0000-0400-000003000000}"/>
    <hyperlink ref="C20" location="'Premium Income by P.T.(GA+SA)'!A1" display="상품별 수입보험료 (Premium Income)" xr:uid="{00000000-0004-0000-0400-000004000000}"/>
    <hyperlink ref="C21" location="'Initial P. by P.T.'!A1" display="상품별 초회보험료 (Initial Premium)" xr:uid="{00000000-0004-0000-0400-000005000000}"/>
    <hyperlink ref="C22" location="'First-year P. by P.T.'!A1" display="상품별 초년도보험료 (First Year Premium)" xr:uid="{00000000-0004-0000-0400-000006000000}"/>
    <hyperlink ref="C26" location="'Premium Income by D.C.(GA+SA)'!A1" display="채널별 수입보험료 (Premium Income)" xr:uid="{00000000-0004-0000-0400-000007000000}"/>
    <hyperlink ref="C27" location="'First-year P. by D.C'!A1" display="채널별 초년도보험료 (First Year Premium)" xr:uid="{00000000-0004-0000-0400-000008000000}"/>
    <hyperlink ref="C31" location="'&gt;Loan'!A1" display="대출 (Loan)/ 자산건전성 (Asset Quality of Loan)" xr:uid="{00000000-0004-0000-0400-000009000000}"/>
    <hyperlink ref="C32" location="'&gt;Bond'!A1" display="채권 (Bond)" xr:uid="{00000000-0004-0000-0400-00000A000000}"/>
    <hyperlink ref="C35" location="'BS  K-IFRS'!A1" display="재무상태표 (Balance Sheet - KIFRS)" xr:uid="{00000000-0004-0000-0400-00000B000000}"/>
    <hyperlink ref="C36" location="'IS  K-IFRS'!A1" display="손익계산서 (Income Statement - KIFRS)" xr:uid="{00000000-0004-0000-0400-00000C000000}"/>
    <hyperlink ref="B8" location="FS!A1" display="요약손익계산서 (Selected Income Statement)" xr:uid="{00000000-0004-0000-0400-00000D000000}"/>
    <hyperlink ref="B10" location="CSM!A1" display="RA, CSM, BEL Movement" xr:uid="{00000000-0004-0000-0400-00000E000000}"/>
    <hyperlink ref="B11" location="CSM!A1" display="신계약 CSM (New Business CSM)" xr:uid="{00000000-0004-0000-0400-00000F000000}"/>
    <hyperlink ref="B13" location="'Sources of Margin'!A1" display="이원별손익" xr:uid="{00000000-0004-0000-0400-000010000000}"/>
    <hyperlink ref="B12" location="CSM!A1" display="신계약 CSM 배수 (New Business CSM Margin)" xr:uid="{00000000-0004-0000-0400-000011000000}"/>
    <hyperlink ref="C19" location="'APE by P.T'!A1" display="상품별 APE (Annualized Premium Equivalent (APE))" xr:uid="{00000000-0004-0000-0400-000012000000}"/>
    <hyperlink ref="C25" location="'APE by D.C'!A1" display="채널별 APE (Annualized Premium Equivalent (APE))" xr:uid="{00000000-0004-0000-0400-000013000000}"/>
  </hyperlinks>
  <pageMargins left="0.19685039370078741" right="0.19685039370078741"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9.7109375" style="1" customWidth="1"/>
    <col min="10" max="15" width="10.7109375" style="1" customWidth="1"/>
    <col min="16" max="17" width="10.7109375" style="1" hidden="1" customWidth="1"/>
    <col min="18" max="18" width="4.85546875" style="1" customWidth="1"/>
    <col min="19" max="20" width="8.7109375" style="1" customWidth="1"/>
    <col min="21" max="16384" width="9.140625" style="1"/>
  </cols>
  <sheetData>
    <row r="1" spans="1:22" s="3" customFormat="1" ht="24.95" customHeight="1">
      <c r="A1" s="6"/>
      <c r="F1" s="74" t="s">
        <v>72</v>
      </c>
      <c r="G1" s="74"/>
      <c r="H1" s="75"/>
      <c r="I1" s="75"/>
      <c r="J1" s="225"/>
      <c r="K1" s="225"/>
      <c r="L1" s="225"/>
      <c r="M1" s="225"/>
      <c r="N1" s="225"/>
      <c r="O1" s="225"/>
      <c r="P1" s="225"/>
      <c r="Q1" s="225"/>
    </row>
    <row r="2" spans="1:22" ht="12" customHeight="1">
      <c r="A2" s="133"/>
      <c r="B2" s="134"/>
      <c r="C2" s="134"/>
      <c r="F2" s="76" t="s">
        <v>230</v>
      </c>
      <c r="G2" s="76"/>
      <c r="H2" s="76"/>
      <c r="I2" s="331"/>
      <c r="J2" s="801" t="s">
        <v>233</v>
      </c>
      <c r="K2" s="801"/>
      <c r="L2" s="801"/>
      <c r="M2" s="801"/>
      <c r="N2" s="811" t="s">
        <v>374</v>
      </c>
      <c r="O2" s="812"/>
      <c r="P2" s="812"/>
      <c r="Q2" s="813"/>
      <c r="R2" s="3"/>
      <c r="S2" s="804" t="s">
        <v>215</v>
      </c>
      <c r="T2" s="804"/>
    </row>
    <row r="3" spans="1:22" ht="12" customHeight="1">
      <c r="A3" s="133" t="s">
        <v>27</v>
      </c>
      <c r="B3" s="134"/>
      <c r="C3" s="134"/>
      <c r="F3" s="96" t="s">
        <v>231</v>
      </c>
      <c r="G3" s="96"/>
      <c r="H3" s="96"/>
      <c r="I3" s="97"/>
      <c r="J3" s="287">
        <v>45747</v>
      </c>
      <c r="K3" s="287">
        <v>45838</v>
      </c>
      <c r="L3" s="287">
        <v>45930</v>
      </c>
      <c r="M3" s="287">
        <v>46022</v>
      </c>
      <c r="N3" s="451">
        <v>46112</v>
      </c>
      <c r="O3" s="287">
        <v>46203</v>
      </c>
      <c r="P3" s="287">
        <v>46295</v>
      </c>
      <c r="Q3" s="302">
        <v>46387</v>
      </c>
      <c r="R3" s="3"/>
      <c r="S3" s="285" t="s">
        <v>23</v>
      </c>
      <c r="T3" s="285" t="s">
        <v>24</v>
      </c>
      <c r="V3" s="222"/>
    </row>
    <row r="4" spans="1:22" ht="12" customHeight="1">
      <c r="A4" s="133"/>
      <c r="B4" s="134"/>
      <c r="C4" s="134"/>
      <c r="F4" s="79" t="s">
        <v>73</v>
      </c>
      <c r="G4" s="79"/>
      <c r="H4" s="79"/>
      <c r="I4" s="332"/>
      <c r="J4" s="224"/>
      <c r="K4" s="224"/>
      <c r="L4" s="224"/>
      <c r="M4" s="719"/>
      <c r="N4" s="762"/>
      <c r="O4" s="716"/>
      <c r="P4" s="716"/>
      <c r="Q4" s="709"/>
      <c r="R4" s="3"/>
      <c r="S4" s="40"/>
      <c r="T4" s="224"/>
      <c r="U4" s="229"/>
      <c r="V4" s="222"/>
    </row>
    <row r="5" spans="1:22" ht="12" customHeight="1">
      <c r="A5" s="143"/>
      <c r="B5" s="133" t="s">
        <v>155</v>
      </c>
      <c r="C5" s="133"/>
      <c r="F5" s="79"/>
      <c r="G5" s="79" t="s">
        <v>48</v>
      </c>
      <c r="H5" s="79"/>
      <c r="I5" s="332"/>
      <c r="J5" s="145">
        <v>1.4338998535945694E-2</v>
      </c>
      <c r="K5" s="145">
        <v>2.4947612545098589E-2</v>
      </c>
      <c r="L5" s="145">
        <v>3.9589009693831237E-2</v>
      </c>
      <c r="M5" s="346">
        <v>5.4271010564929854E-2</v>
      </c>
      <c r="N5" s="763">
        <v>1.474387978231601E-2</v>
      </c>
      <c r="O5" s="507">
        <v>3.5923147435954116E-2</v>
      </c>
      <c r="P5" s="507"/>
      <c r="Q5" s="710"/>
      <c r="R5" s="3"/>
      <c r="S5" s="138">
        <f>O5-K5</f>
        <v>1.0975534890855527E-2</v>
      </c>
      <c r="T5" s="138">
        <f>O5-N5</f>
        <v>2.1179267653638104E-2</v>
      </c>
    </row>
    <row r="6" spans="1:22" ht="12" customHeight="1">
      <c r="A6" s="143"/>
      <c r="B6" s="142"/>
      <c r="C6" s="134"/>
      <c r="F6" s="79"/>
      <c r="G6" s="79" t="s">
        <v>74</v>
      </c>
      <c r="H6" s="79"/>
      <c r="I6" s="332"/>
      <c r="J6" s="145">
        <v>7.9135191723926605E-5</v>
      </c>
      <c r="K6" s="145">
        <v>1.1851790325467786E-4</v>
      </c>
      <c r="L6" s="145">
        <v>1.8433944511475901E-4</v>
      </c>
      <c r="M6" s="346">
        <v>4.00727158224185E-3</v>
      </c>
      <c r="N6" s="763">
        <v>1.1096503302584762E-4</v>
      </c>
      <c r="O6" s="507">
        <v>1.6942913757079217E-3</v>
      </c>
      <c r="P6" s="507"/>
      <c r="Q6" s="710"/>
      <c r="R6" s="3"/>
      <c r="S6" s="138">
        <f>O6-K6</f>
        <v>1.5757734724532438E-3</v>
      </c>
      <c r="T6" s="138">
        <f>O6-N6</f>
        <v>1.583326342682074E-3</v>
      </c>
    </row>
    <row r="7" spans="1:22" ht="12" customHeight="1">
      <c r="A7" s="143"/>
      <c r="B7" s="142" t="s">
        <v>212</v>
      </c>
      <c r="C7" s="134"/>
      <c r="F7" s="79" t="s">
        <v>75</v>
      </c>
      <c r="G7" s="79"/>
      <c r="H7" s="79"/>
      <c r="I7" s="332"/>
      <c r="J7" s="224"/>
      <c r="K7" s="224"/>
      <c r="L7" s="224"/>
      <c r="M7" s="347"/>
      <c r="N7" s="764"/>
      <c r="O7" s="506"/>
      <c r="P7" s="506"/>
      <c r="Q7" s="711"/>
      <c r="R7" s="3"/>
      <c r="S7" s="425"/>
      <c r="T7" s="138"/>
      <c r="V7" s="222"/>
    </row>
    <row r="8" spans="1:22" ht="12" customHeight="1">
      <c r="A8" s="143"/>
      <c r="B8" s="142" t="s">
        <v>213</v>
      </c>
      <c r="C8" s="134"/>
      <c r="F8" s="79"/>
      <c r="G8" s="79" t="s">
        <v>48</v>
      </c>
      <c r="H8" s="79"/>
      <c r="I8" s="332"/>
      <c r="J8" s="23">
        <v>2.0696706945230417E-2</v>
      </c>
      <c r="K8" s="23">
        <v>3.8037782028110652E-2</v>
      </c>
      <c r="L8" s="23">
        <v>5.4206474484437599E-2</v>
      </c>
      <c r="M8" s="348">
        <v>6.9134890753740033E-2</v>
      </c>
      <c r="N8" s="765">
        <v>1.7749656294045377E-2</v>
      </c>
      <c r="O8" s="508">
        <v>3.4387836722831293E-2</v>
      </c>
      <c r="P8" s="508"/>
      <c r="Q8" s="712"/>
      <c r="R8" s="3"/>
      <c r="S8" s="138">
        <f>O8-K8</f>
        <v>-3.649945305279359E-3</v>
      </c>
      <c r="T8" s="138">
        <f t="shared" ref="T8" si="0">O8-N8</f>
        <v>1.6638180428785915E-2</v>
      </c>
    </row>
    <row r="9" spans="1:22" ht="12" customHeight="1">
      <c r="A9" s="143"/>
      <c r="B9" s="142"/>
      <c r="C9" s="134"/>
      <c r="F9" s="79"/>
      <c r="G9" s="79" t="s">
        <v>74</v>
      </c>
      <c r="H9" s="79"/>
      <c r="I9" s="332"/>
      <c r="J9" s="23">
        <v>1.6496223226139323E-2</v>
      </c>
      <c r="K9" s="23">
        <v>3.5185052026469703E-2</v>
      </c>
      <c r="L9" s="23">
        <v>4.6912738818977284E-2</v>
      </c>
      <c r="M9" s="348">
        <v>6.0952619040955995E-2</v>
      </c>
      <c r="N9" s="765">
        <v>2.6312964446411329E-2</v>
      </c>
      <c r="O9" s="508">
        <v>5.6248341440452779E-2</v>
      </c>
      <c r="P9" s="508"/>
      <c r="Q9" s="712"/>
      <c r="R9" s="3"/>
      <c r="S9" s="138">
        <f t="shared" ref="S9" si="1">O9-K9</f>
        <v>2.1063289413983076E-2</v>
      </c>
      <c r="T9" s="138">
        <f>O9-N9</f>
        <v>2.9935376994041449E-2</v>
      </c>
      <c r="U9" s="228"/>
    </row>
    <row r="10" spans="1:22" ht="12" customHeight="1">
      <c r="A10" s="133"/>
      <c r="B10" s="142" t="s">
        <v>171</v>
      </c>
      <c r="C10" s="134"/>
      <c r="F10" s="79" t="s">
        <v>235</v>
      </c>
      <c r="G10" s="79"/>
      <c r="H10" s="79"/>
      <c r="I10" s="332"/>
      <c r="J10" s="224"/>
      <c r="K10" s="224"/>
      <c r="L10" s="224"/>
      <c r="M10" s="347"/>
      <c r="N10" s="764"/>
      <c r="O10" s="506"/>
      <c r="P10" s="506"/>
      <c r="Q10" s="711"/>
      <c r="R10" s="3"/>
      <c r="S10" s="425"/>
      <c r="T10" s="138"/>
    </row>
    <row r="11" spans="1:22" ht="12" customHeight="1">
      <c r="A11" s="133"/>
      <c r="B11" s="142" t="s">
        <v>166</v>
      </c>
      <c r="C11" s="134"/>
      <c r="F11" s="79"/>
      <c r="G11" s="79" t="s">
        <v>76</v>
      </c>
      <c r="H11" s="79"/>
      <c r="I11" s="332"/>
      <c r="J11" s="145">
        <v>0.89433798253142183</v>
      </c>
      <c r="K11" s="145">
        <v>0.8974079412356657</v>
      </c>
      <c r="L11" s="145">
        <v>0.89920240363081727</v>
      </c>
      <c r="M11" s="346">
        <v>0.89866682589743396</v>
      </c>
      <c r="N11" s="763">
        <v>0.89469318415530596</v>
      </c>
      <c r="O11" s="507">
        <v>0.89052152228552195</v>
      </c>
      <c r="P11" s="507"/>
      <c r="Q11" s="710"/>
      <c r="R11" s="3"/>
      <c r="S11" s="138">
        <f>O11-K11</f>
        <v>-6.8864189501437467E-3</v>
      </c>
      <c r="T11" s="138">
        <f>O11-N11</f>
        <v>-4.1716618697840158E-3</v>
      </c>
    </row>
    <row r="12" spans="1:22" ht="12" customHeight="1">
      <c r="A12" s="133"/>
      <c r="B12" s="142" t="s">
        <v>219</v>
      </c>
      <c r="C12" s="134"/>
      <c r="F12" s="79"/>
      <c r="G12" s="79" t="s">
        <v>77</v>
      </c>
      <c r="H12" s="79"/>
      <c r="I12" s="332"/>
      <c r="J12" s="145">
        <v>0.78729114748925511</v>
      </c>
      <c r="K12" s="145">
        <v>0.8116778910887773</v>
      </c>
      <c r="L12" s="145">
        <v>0.83585764033626053</v>
      </c>
      <c r="M12" s="346">
        <v>0.78552608127857604</v>
      </c>
      <c r="N12" s="763">
        <v>0.802866336051131</v>
      </c>
      <c r="O12" s="507">
        <v>0.81026344580079201</v>
      </c>
      <c r="P12" s="507"/>
      <c r="Q12" s="710"/>
      <c r="R12" s="3"/>
      <c r="S12" s="138">
        <f>O12-K12</f>
        <v>-1.4144452879852887E-3</v>
      </c>
      <c r="T12" s="138">
        <f>O12-N12</f>
        <v>7.3971097496610128E-3</v>
      </c>
      <c r="U12" s="228"/>
    </row>
    <row r="13" spans="1:22" ht="12" customHeight="1">
      <c r="A13" s="133"/>
      <c r="B13" s="142"/>
      <c r="C13" s="134"/>
      <c r="F13" s="79" t="s">
        <v>236</v>
      </c>
      <c r="G13" s="79"/>
      <c r="H13" s="79"/>
      <c r="I13" s="332"/>
      <c r="J13" s="145"/>
      <c r="K13" s="145"/>
      <c r="L13" s="145"/>
      <c r="M13" s="346"/>
      <c r="N13" s="763"/>
      <c r="O13" s="507"/>
      <c r="P13" s="507"/>
      <c r="Q13" s="710"/>
      <c r="R13" s="3"/>
      <c r="S13" s="138"/>
      <c r="T13" s="138"/>
    </row>
    <row r="14" spans="1:22" ht="12" customHeight="1">
      <c r="A14" s="133"/>
      <c r="B14" s="133" t="s">
        <v>173</v>
      </c>
      <c r="C14" s="134"/>
      <c r="F14" s="79"/>
      <c r="G14" s="79" t="s">
        <v>76</v>
      </c>
      <c r="H14" s="79"/>
      <c r="I14" s="332"/>
      <c r="J14" s="145">
        <v>0.88719516473765969</v>
      </c>
      <c r="K14" s="145">
        <v>0.885967805660967</v>
      </c>
      <c r="L14" s="145">
        <v>0.89507224381360506</v>
      </c>
      <c r="M14" s="346">
        <v>0.89326945992125328</v>
      </c>
      <c r="N14" s="763">
        <v>0.893218026480469</v>
      </c>
      <c r="O14" s="507">
        <v>0.88945288670411704</v>
      </c>
      <c r="P14" s="507"/>
      <c r="Q14" s="710"/>
      <c r="R14" s="3"/>
      <c r="S14" s="138">
        <f>O14-K14</f>
        <v>3.4850810431500401E-3</v>
      </c>
      <c r="T14" s="138">
        <f>O14-N14</f>
        <v>-3.7651397763519556E-3</v>
      </c>
    </row>
    <row r="15" spans="1:22" ht="12" customHeight="1">
      <c r="A15" s="133"/>
      <c r="B15" s="135"/>
      <c r="C15" s="142" t="s">
        <v>40</v>
      </c>
      <c r="F15" s="79"/>
      <c r="G15" s="79" t="s">
        <v>77</v>
      </c>
      <c r="H15" s="79"/>
      <c r="I15" s="332"/>
      <c r="J15" s="145">
        <v>0.71177674137360347</v>
      </c>
      <c r="K15" s="145">
        <v>0.74013701628368078</v>
      </c>
      <c r="L15" s="145">
        <v>0.77708952244315133</v>
      </c>
      <c r="M15" s="346">
        <v>0.77215343168130202</v>
      </c>
      <c r="N15" s="763">
        <v>0.82394914124873997</v>
      </c>
      <c r="O15" s="507">
        <v>0.79378327947811478</v>
      </c>
      <c r="P15" s="507"/>
      <c r="Q15" s="710"/>
      <c r="R15" s="3"/>
      <c r="S15" s="138">
        <f>O15-K15</f>
        <v>5.3646263194433996E-2</v>
      </c>
      <c r="T15" s="138">
        <f>O15-N15</f>
        <v>-3.0165861770625191E-2</v>
      </c>
    </row>
    <row r="16" spans="1:22" ht="12" customHeight="1">
      <c r="A16" s="133"/>
      <c r="B16" s="133"/>
      <c r="C16" s="142" t="s">
        <v>41</v>
      </c>
      <c r="F16" s="444" t="s">
        <v>225</v>
      </c>
      <c r="I16" s="332"/>
      <c r="J16" s="473"/>
      <c r="K16" s="473"/>
      <c r="L16" s="473"/>
      <c r="M16" s="720"/>
      <c r="N16" s="766"/>
      <c r="O16" s="717"/>
      <c r="P16" s="717"/>
      <c r="Q16" s="713"/>
    </row>
    <row r="17" spans="1:24" ht="12" customHeight="1">
      <c r="A17" s="133"/>
      <c r="B17" s="133"/>
      <c r="C17" s="142"/>
      <c r="F17" s="7"/>
      <c r="G17" s="545" t="s">
        <v>226</v>
      </c>
      <c r="H17" s="473"/>
      <c r="I17" s="550"/>
      <c r="J17" s="510">
        <v>155.96825638199999</v>
      </c>
      <c r="K17" s="510">
        <v>313.99645896199956</v>
      </c>
      <c r="L17" s="510">
        <v>473.7138084009996</v>
      </c>
      <c r="M17" s="721">
        <v>634.73319049799898</v>
      </c>
      <c r="N17" s="767">
        <v>161.28534426900001</v>
      </c>
      <c r="O17" s="718">
        <v>324.18271363399992</v>
      </c>
      <c r="P17" s="718"/>
      <c r="Q17" s="714"/>
      <c r="R17" s="3"/>
      <c r="S17" s="445">
        <f>IF(O17/K17&lt;0,"n.a.",IF(K17&gt;0,ROUND(O17,4)/ROUND(K17,4)-1,IF(K17&lt;0,"n.a.")))</f>
        <v>3.2440488986342109E-2</v>
      </c>
      <c r="T17" s="22">
        <f>IF(O17/N17&lt;0,"n.a.",IF(N17&gt;0,ROUND(O17,4)/ROUND(N17,4)-1,IF(N17&lt;0,"n.a.")))</f>
        <v>1.0099953312546153</v>
      </c>
      <c r="V17" s="222"/>
    </row>
    <row r="18" spans="1:24" ht="12" customHeight="1">
      <c r="A18" s="133"/>
      <c r="B18" s="133" t="s">
        <v>176</v>
      </c>
      <c r="C18" s="142"/>
      <c r="F18" s="7"/>
      <c r="G18" s="545" t="s">
        <v>227</v>
      </c>
      <c r="H18" s="473"/>
      <c r="I18" s="550"/>
      <c r="J18" s="510">
        <v>143.561749682</v>
      </c>
      <c r="K18" s="510">
        <v>282.45167992699999</v>
      </c>
      <c r="L18" s="510">
        <v>435.23597651099999</v>
      </c>
      <c r="M18" s="721">
        <v>579.64822364209999</v>
      </c>
      <c r="N18" s="767">
        <v>161.009651429</v>
      </c>
      <c r="O18" s="718">
        <v>319.70036235400005</v>
      </c>
      <c r="P18" s="718"/>
      <c r="Q18" s="714"/>
      <c r="R18" s="58"/>
      <c r="S18" s="445">
        <f>IF(O18/K18&lt;0,"n.a.",IF(K18&gt;0,ROUND(O18,4)/ROUND(K18,4)-1,IF(K18&lt;0,"n.a.")))</f>
        <v>0.13187635266489806</v>
      </c>
      <c r="T18" s="22">
        <f t="shared" ref="T18" si="2">IF(O18/N18&lt;0,"n.a.",IF(N18&gt;0,ROUND(O18,4)/ROUND(N18,4)-1,IF(N18&lt;0,"n.a.")))</f>
        <v>0.98559714104181295</v>
      </c>
    </row>
    <row r="19" spans="1:24" ht="12" customHeight="1">
      <c r="A19" s="133"/>
      <c r="B19" s="133"/>
      <c r="C19" s="142" t="s">
        <v>33</v>
      </c>
      <c r="E19" s="7"/>
      <c r="F19" s="7"/>
      <c r="G19" s="551" t="s">
        <v>228</v>
      </c>
      <c r="H19" s="552"/>
      <c r="I19" s="550"/>
      <c r="J19" s="510">
        <v>7.9477560970000001</v>
      </c>
      <c r="K19" s="510">
        <v>13.770921856801746</v>
      </c>
      <c r="L19" s="510">
        <v>22.681381576801748</v>
      </c>
      <c r="M19" s="721">
        <v>28.484494206348199</v>
      </c>
      <c r="N19" s="767">
        <v>3.991916244</v>
      </c>
      <c r="O19" s="718">
        <v>11.259486107999999</v>
      </c>
      <c r="P19" s="718"/>
      <c r="Q19" s="714"/>
      <c r="R19" s="262"/>
      <c r="S19" s="445">
        <f>IF(O19/K19&lt;0,"n.a.",IF(K19&gt;0,ROUND(O19,4)/ROUND(K19,4)-1,IF(K19&lt;0,"n.a.")))</f>
        <v>-0.18237007022053753</v>
      </c>
      <c r="T19" s="22">
        <f>IF(O19/N19&lt;0,"n.a.",IF(N19&gt;0,ROUND(O19,4)/ROUND(N19,4)-1,IF(N19&lt;0,"n.a.")))</f>
        <v>1.8205866880432877</v>
      </c>
    </row>
    <row r="20" spans="1:24" ht="12" customHeight="1">
      <c r="A20" s="133"/>
      <c r="B20" s="133"/>
      <c r="C20" s="142" t="s">
        <v>29</v>
      </c>
      <c r="G20" s="551" t="s">
        <v>225</v>
      </c>
      <c r="H20" s="552"/>
      <c r="I20" s="550"/>
      <c r="J20" s="145">
        <v>0.97141244823510997</v>
      </c>
      <c r="K20" s="145">
        <v>0.9433947209565543</v>
      </c>
      <c r="L20" s="145">
        <v>0.96665402183120208</v>
      </c>
      <c r="M20" s="346">
        <v>0.9580918832546309</v>
      </c>
      <c r="N20" s="763">
        <v>1.02304129628667</v>
      </c>
      <c r="O20" s="507">
        <v>1.0209052936599556</v>
      </c>
      <c r="P20" s="507"/>
      <c r="Q20" s="710"/>
      <c r="R20" s="262"/>
      <c r="S20" s="138">
        <f>O20-K20</f>
        <v>7.7510572703401337E-2</v>
      </c>
      <c r="T20" s="138">
        <f>O20-N20</f>
        <v>-2.1360026267143173E-3</v>
      </c>
    </row>
    <row r="21" spans="1:24" ht="12" customHeight="1">
      <c r="A21" s="133"/>
      <c r="B21" s="133"/>
      <c r="C21" s="142" t="s">
        <v>30</v>
      </c>
      <c r="G21" s="551" t="s">
        <v>229</v>
      </c>
      <c r="H21" s="552"/>
      <c r="I21" s="550"/>
      <c r="J21" s="145">
        <v>0.92045492468920198</v>
      </c>
      <c r="K21" s="145">
        <v>0.89953778733913303</v>
      </c>
      <c r="L21" s="145">
        <v>0.91877409691754641</v>
      </c>
      <c r="M21" s="346">
        <v>0.91321555626753903</v>
      </c>
      <c r="N21" s="763">
        <v>0.99829065163205299</v>
      </c>
      <c r="O21" s="507">
        <v>0.98617337972850572</v>
      </c>
      <c r="P21" s="507"/>
      <c r="Q21" s="710"/>
      <c r="R21" s="262"/>
      <c r="S21" s="138">
        <f>O21-K21</f>
        <v>8.6635592389372684E-2</v>
      </c>
      <c r="T21" s="138">
        <f>O21-N21</f>
        <v>-1.2117271903547278E-2</v>
      </c>
    </row>
    <row r="22" spans="1:24" s="7" customFormat="1" ht="12" customHeight="1">
      <c r="A22" s="133"/>
      <c r="B22" s="133"/>
      <c r="C22" s="142" t="s">
        <v>31</v>
      </c>
      <c r="D22" s="1"/>
      <c r="E22" s="1"/>
      <c r="F22" s="83" t="s">
        <v>78</v>
      </c>
      <c r="G22" s="83"/>
      <c r="H22" s="83"/>
      <c r="I22" s="333"/>
      <c r="J22" s="511">
        <v>1558</v>
      </c>
      <c r="K22" s="511">
        <v>1589</v>
      </c>
      <c r="L22" s="511">
        <v>1585</v>
      </c>
      <c r="M22" s="722">
        <v>1644</v>
      </c>
      <c r="N22" s="768">
        <v>1586</v>
      </c>
      <c r="O22" s="509">
        <v>1782</v>
      </c>
      <c r="P22" s="509"/>
      <c r="Q22" s="715"/>
      <c r="R22" s="3"/>
      <c r="S22" s="408">
        <f>IF(O22/K22&lt;0,"n.a.",IF(K22&gt;0,ROUND(O22,4)/ROUND(K22,4)-1,IF(K22&lt;0,"n.a.")))</f>
        <v>0.12146003775959713</v>
      </c>
      <c r="T22" s="408">
        <f>IF(O22/N22&lt;0,"n.a.",IF(N22&gt;0,ROUND(O22,4)/ROUND(N22,4)-1,IF(N22&lt;0,"n.a.")))</f>
        <v>0.12358133669609073</v>
      </c>
      <c r="V22" s="222"/>
      <c r="W22" s="1"/>
      <c r="X22" s="1"/>
    </row>
    <row r="23" spans="1:24" ht="12" customHeight="1">
      <c r="A23" s="133"/>
      <c r="B23" s="133"/>
      <c r="C23" s="142"/>
      <c r="H23" s="262"/>
      <c r="I23" s="262"/>
      <c r="J23" s="262"/>
      <c r="K23" s="262"/>
      <c r="L23" s="262"/>
      <c r="M23" s="262"/>
      <c r="N23" s="262"/>
      <c r="O23" s="262"/>
      <c r="P23" s="262"/>
      <c r="Q23" s="262"/>
      <c r="R23" s="262"/>
      <c r="S23" s="58"/>
    </row>
    <row r="24" spans="1:24" ht="12" customHeight="1">
      <c r="A24" s="133"/>
      <c r="B24" s="133" t="s">
        <v>181</v>
      </c>
      <c r="C24" s="142"/>
      <c r="H24" s="262"/>
      <c r="I24" s="262"/>
      <c r="J24" s="262"/>
      <c r="K24" s="262"/>
      <c r="L24" s="262"/>
      <c r="M24" s="262"/>
      <c r="N24" s="262"/>
      <c r="O24" s="262"/>
      <c r="P24" s="262"/>
      <c r="Q24" s="262"/>
      <c r="R24" s="262"/>
    </row>
    <row r="25" spans="1:24" ht="12" customHeight="1">
      <c r="A25" s="133"/>
      <c r="B25" s="133"/>
      <c r="C25" s="142" t="s">
        <v>32</v>
      </c>
      <c r="J25" s="182"/>
      <c r="K25" s="182"/>
      <c r="L25" s="182"/>
      <c r="M25" s="182"/>
      <c r="N25" s="182"/>
      <c r="O25" s="182"/>
      <c r="P25" s="182"/>
      <c r="Q25" s="182"/>
      <c r="R25" s="182"/>
      <c r="S25" s="182"/>
      <c r="T25" s="182"/>
    </row>
    <row r="26" spans="1:24" ht="12" customHeight="1">
      <c r="A26" s="133"/>
      <c r="B26" s="133"/>
      <c r="C26" s="142" t="s">
        <v>34</v>
      </c>
      <c r="G26" s="598"/>
      <c r="H26" s="598"/>
      <c r="I26" s="548"/>
      <c r="J26" s="276"/>
      <c r="K26" s="276"/>
      <c r="L26" s="276"/>
      <c r="M26" s="276"/>
      <c r="N26" s="276"/>
      <c r="O26" s="276"/>
      <c r="P26" s="276"/>
      <c r="Q26" s="276"/>
      <c r="R26" s="276"/>
      <c r="S26" s="548"/>
      <c r="T26" s="548"/>
      <c r="U26" s="548"/>
      <c r="V26" s="548"/>
      <c r="W26" s="548"/>
    </row>
    <row r="27" spans="1:24" ht="12" customHeight="1">
      <c r="A27" s="133"/>
      <c r="B27" s="133"/>
      <c r="C27" s="142" t="s">
        <v>35</v>
      </c>
      <c r="G27" s="548"/>
      <c r="H27" s="604"/>
      <c r="I27" s="548"/>
      <c r="J27" s="605"/>
      <c r="K27" s="605"/>
      <c r="L27" s="605"/>
      <c r="M27" s="606"/>
      <c r="N27" s="606"/>
      <c r="O27" s="606"/>
      <c r="P27" s="606"/>
      <c r="Q27" s="606"/>
      <c r="R27" s="606"/>
      <c r="S27" s="606"/>
      <c r="T27" s="548"/>
      <c r="U27" s="548"/>
      <c r="V27" s="548"/>
      <c r="W27" s="548"/>
    </row>
    <row r="28" spans="1:24" ht="12" customHeight="1">
      <c r="A28" s="133"/>
      <c r="B28" s="133"/>
      <c r="C28" s="142"/>
      <c r="G28" s="548"/>
      <c r="H28" s="604"/>
      <c r="I28" s="548"/>
      <c r="J28" s="605"/>
      <c r="K28" s="605"/>
      <c r="L28" s="605"/>
      <c r="M28" s="606"/>
      <c r="N28" s="606"/>
      <c r="O28" s="606"/>
      <c r="P28" s="606"/>
      <c r="Q28" s="606"/>
      <c r="R28" s="606"/>
      <c r="S28" s="606"/>
      <c r="T28" s="548"/>
      <c r="U28" s="548"/>
      <c r="V28" s="548"/>
      <c r="W28" s="548"/>
    </row>
    <row r="29" spans="1:24" ht="12" customHeight="1">
      <c r="A29" s="133"/>
      <c r="B29" s="133"/>
      <c r="C29" s="142"/>
      <c r="G29" s="548"/>
      <c r="H29" s="607"/>
      <c r="I29" s="608"/>
      <c r="J29" s="605"/>
      <c r="K29" s="605"/>
      <c r="L29" s="605"/>
      <c r="M29" s="548"/>
      <c r="N29" s="548"/>
      <c r="O29" s="548"/>
      <c r="P29" s="548"/>
      <c r="Q29" s="548"/>
      <c r="R29" s="548"/>
      <c r="S29" s="548"/>
      <c r="T29" s="548"/>
      <c r="U29" s="548"/>
      <c r="V29" s="548"/>
      <c r="W29" s="548"/>
    </row>
    <row r="30" spans="1:24" ht="12" customHeight="1">
      <c r="A30" s="133"/>
      <c r="B30" s="133" t="s">
        <v>185</v>
      </c>
      <c r="C30" s="142"/>
      <c r="G30" s="548"/>
      <c r="H30" s="607"/>
      <c r="I30" s="608"/>
      <c r="J30" s="145"/>
      <c r="K30" s="605"/>
      <c r="L30" s="605"/>
      <c r="M30" s="609"/>
      <c r="N30" s="609"/>
      <c r="O30" s="609"/>
      <c r="P30" s="609"/>
      <c r="Q30" s="609"/>
      <c r="R30" s="609"/>
      <c r="S30" s="548"/>
      <c r="T30" s="548"/>
      <c r="U30" s="548"/>
      <c r="V30" s="548"/>
      <c r="W30" s="548"/>
    </row>
    <row r="31" spans="1:24" ht="12" customHeight="1">
      <c r="A31" s="133"/>
      <c r="B31" s="133"/>
      <c r="C31" s="142" t="s">
        <v>147</v>
      </c>
      <c r="G31" s="548"/>
      <c r="H31" s="607"/>
      <c r="I31" s="608"/>
      <c r="J31" s="145"/>
      <c r="K31" s="145"/>
      <c r="L31" s="145"/>
      <c r="M31" s="609"/>
      <c r="N31" s="609"/>
      <c r="O31" s="609"/>
      <c r="P31" s="609"/>
      <c r="Q31" s="609"/>
      <c r="R31" s="609"/>
      <c r="S31" s="548"/>
      <c r="T31" s="600"/>
      <c r="U31" s="548"/>
      <c r="V31" s="548"/>
      <c r="W31" s="548"/>
    </row>
    <row r="32" spans="1:24" ht="12" customHeight="1">
      <c r="A32" s="133"/>
      <c r="B32" s="133"/>
      <c r="C32" s="142" t="s">
        <v>36</v>
      </c>
      <c r="G32" s="598"/>
      <c r="H32" s="548"/>
      <c r="I32" s="548"/>
      <c r="J32" s="609"/>
      <c r="K32" s="276"/>
      <c r="L32" s="276"/>
      <c r="M32" s="276"/>
      <c r="N32" s="276"/>
      <c r="O32" s="276"/>
      <c r="P32" s="276"/>
      <c r="Q32" s="276"/>
      <c r="R32" s="609"/>
      <c r="S32" s="548"/>
      <c r="T32" s="548"/>
      <c r="U32" s="548"/>
      <c r="V32" s="548"/>
      <c r="W32" s="548"/>
    </row>
    <row r="33" spans="1:23" ht="12" customHeight="1">
      <c r="A33" s="133"/>
      <c r="B33" s="133"/>
      <c r="C33" s="142"/>
      <c r="G33" s="548"/>
      <c r="H33" s="604"/>
      <c r="I33" s="548"/>
      <c r="J33" s="605"/>
      <c r="K33" s="605"/>
      <c r="L33" s="605"/>
      <c r="M33" s="610"/>
      <c r="N33" s="610"/>
      <c r="O33" s="610"/>
      <c r="P33" s="610"/>
      <c r="Q33" s="610"/>
      <c r="R33" s="610"/>
      <c r="S33" s="548"/>
      <c r="T33" s="548"/>
      <c r="U33" s="548"/>
      <c r="V33" s="548"/>
      <c r="W33" s="548"/>
    </row>
    <row r="34" spans="1:23" ht="12" customHeight="1">
      <c r="A34" s="133"/>
      <c r="B34" s="133" t="s">
        <v>188</v>
      </c>
      <c r="C34" s="142"/>
      <c r="G34" s="548"/>
      <c r="H34" s="604"/>
      <c r="I34" s="548"/>
      <c r="J34" s="605"/>
      <c r="K34" s="145"/>
      <c r="L34" s="145"/>
      <c r="M34" s="276"/>
      <c r="N34" s="276"/>
      <c r="O34" s="276"/>
      <c r="P34" s="276"/>
      <c r="Q34" s="276"/>
      <c r="R34" s="548"/>
      <c r="S34" s="548"/>
      <c r="T34" s="548"/>
      <c r="U34" s="548"/>
      <c r="V34" s="548"/>
      <c r="W34" s="548"/>
    </row>
    <row r="35" spans="1:23" ht="12" customHeight="1">
      <c r="A35" s="133"/>
      <c r="B35" s="133"/>
      <c r="C35" s="142" t="s">
        <v>37</v>
      </c>
      <c r="G35" s="548"/>
      <c r="H35" s="607"/>
      <c r="I35" s="608"/>
      <c r="J35" s="605"/>
      <c r="K35" s="605"/>
      <c r="L35" s="605"/>
      <c r="M35" s="548"/>
      <c r="N35" s="548"/>
      <c r="O35" s="548"/>
      <c r="P35" s="548"/>
      <c r="Q35" s="548"/>
      <c r="R35" s="548"/>
      <c r="S35" s="548"/>
      <c r="T35" s="548"/>
      <c r="U35" s="548"/>
      <c r="V35" s="548"/>
      <c r="W35" s="548"/>
    </row>
    <row r="36" spans="1:23" ht="12" customHeight="1">
      <c r="A36" s="133"/>
      <c r="B36" s="133"/>
      <c r="C36" s="142" t="s">
        <v>38</v>
      </c>
      <c r="G36" s="548"/>
      <c r="H36" s="607"/>
      <c r="I36" s="608"/>
      <c r="J36" s="145"/>
      <c r="K36" s="145"/>
      <c r="L36" s="145"/>
      <c r="M36" s="548"/>
      <c r="N36" s="548"/>
      <c r="O36" s="548"/>
      <c r="P36" s="548"/>
      <c r="Q36" s="548"/>
      <c r="R36" s="548"/>
      <c r="S36" s="548"/>
      <c r="T36" s="548"/>
      <c r="U36" s="548"/>
      <c r="V36" s="548"/>
      <c r="W36" s="548"/>
    </row>
    <row r="37" spans="1:23" ht="12" customHeight="1">
      <c r="A37" s="25"/>
      <c r="G37" s="548"/>
      <c r="H37" s="607"/>
      <c r="I37" s="608"/>
      <c r="J37" s="145"/>
      <c r="K37" s="145"/>
      <c r="L37" s="145"/>
      <c r="M37" s="548"/>
      <c r="N37" s="548"/>
      <c r="O37" s="548"/>
      <c r="P37" s="548"/>
      <c r="Q37" s="548"/>
      <c r="R37" s="548"/>
      <c r="S37" s="548"/>
      <c r="T37" s="548"/>
      <c r="U37" s="548"/>
      <c r="V37" s="548"/>
      <c r="W37" s="548"/>
    </row>
    <row r="38" spans="1:23" ht="12" customHeight="1">
      <c r="A38" s="25"/>
      <c r="G38" s="548"/>
      <c r="H38" s="548"/>
      <c r="I38" s="548"/>
      <c r="J38" s="548"/>
      <c r="K38" s="548"/>
      <c r="L38" s="548"/>
      <c r="M38" s="548"/>
      <c r="N38" s="548"/>
      <c r="O38" s="548"/>
      <c r="P38" s="548"/>
      <c r="Q38" s="548"/>
      <c r="R38" s="548"/>
      <c r="S38" s="548"/>
      <c r="T38" s="548"/>
      <c r="U38" s="548"/>
      <c r="V38" s="548"/>
      <c r="W38" s="548"/>
    </row>
    <row r="39" spans="1:23" ht="12" customHeight="1">
      <c r="A39" s="25"/>
      <c r="G39" s="548"/>
      <c r="H39" s="548"/>
      <c r="I39" s="548"/>
      <c r="J39" s="548"/>
      <c r="K39" s="548"/>
      <c r="L39" s="548"/>
      <c r="M39" s="548"/>
      <c r="N39" s="548"/>
      <c r="O39" s="548"/>
      <c r="P39" s="548"/>
      <c r="Q39" s="548"/>
      <c r="R39" s="548"/>
      <c r="S39" s="548"/>
      <c r="T39" s="548"/>
      <c r="U39" s="548"/>
      <c r="V39" s="548"/>
      <c r="W39" s="548"/>
    </row>
    <row r="40" spans="1:23" ht="12" customHeight="1">
      <c r="A40" s="25"/>
      <c r="G40" s="548"/>
      <c r="H40" s="548"/>
      <c r="I40" s="548"/>
      <c r="J40" s="548"/>
      <c r="K40" s="548"/>
      <c r="L40" s="548"/>
      <c r="M40" s="548"/>
      <c r="N40" s="548"/>
      <c r="O40" s="548"/>
      <c r="P40" s="548"/>
      <c r="Q40" s="548"/>
      <c r="R40" s="548"/>
      <c r="S40" s="548"/>
      <c r="T40" s="548"/>
      <c r="U40" s="548"/>
      <c r="V40" s="548"/>
      <c r="W40" s="548"/>
    </row>
    <row r="41" spans="1:23" ht="12" customHeight="1">
      <c r="A41" s="25"/>
      <c r="G41" s="548"/>
      <c r="H41" s="548"/>
      <c r="I41" s="548"/>
      <c r="J41" s="548"/>
      <c r="K41" s="548"/>
      <c r="L41" s="548"/>
      <c r="M41" s="548"/>
      <c r="N41" s="548"/>
      <c r="O41" s="548"/>
      <c r="P41" s="548"/>
      <c r="Q41" s="548"/>
      <c r="R41" s="548"/>
      <c r="S41" s="548"/>
      <c r="T41" s="548"/>
      <c r="U41" s="548"/>
      <c r="V41" s="548"/>
      <c r="W41" s="548"/>
    </row>
    <row r="42" spans="1:23" ht="14.25">
      <c r="A42" s="25"/>
      <c r="G42" s="548"/>
      <c r="H42" s="548"/>
      <c r="I42" s="548"/>
      <c r="J42" s="548"/>
      <c r="K42" s="548"/>
      <c r="L42" s="548"/>
      <c r="M42" s="548"/>
      <c r="N42" s="548"/>
      <c r="O42" s="548"/>
      <c r="P42" s="548"/>
      <c r="Q42" s="548"/>
      <c r="R42" s="548"/>
      <c r="S42" s="548"/>
      <c r="T42" s="548"/>
      <c r="U42" s="548"/>
      <c r="V42" s="548"/>
      <c r="W42" s="548"/>
    </row>
    <row r="43" spans="1:23" ht="14.25">
      <c r="A43" s="25"/>
      <c r="G43" s="548"/>
      <c r="H43" s="548"/>
      <c r="I43" s="548"/>
      <c r="J43" s="548"/>
      <c r="K43" s="548"/>
      <c r="L43" s="548"/>
      <c r="M43" s="548"/>
      <c r="N43" s="548"/>
      <c r="O43" s="548"/>
      <c r="P43" s="548"/>
      <c r="Q43" s="548"/>
      <c r="R43" s="548"/>
      <c r="S43" s="548"/>
      <c r="T43" s="548"/>
      <c r="U43" s="548"/>
      <c r="V43" s="548"/>
      <c r="W43" s="548"/>
    </row>
    <row r="44" spans="1:23" ht="14.25">
      <c r="A44" s="25"/>
    </row>
    <row r="45" spans="1:23" ht="14.25">
      <c r="A45" s="25"/>
    </row>
    <row r="46" spans="1:23" ht="14.25">
      <c r="A46" s="25"/>
    </row>
    <row r="47" spans="1:23" ht="14.25">
      <c r="A47" s="25"/>
    </row>
    <row r="48" spans="1:23"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3">
    <mergeCell ref="S2:T2"/>
    <mergeCell ref="J2:M2"/>
    <mergeCell ref="N2:Q2"/>
  </mergeCells>
  <phoneticPr fontId="7" type="noConversion"/>
  <hyperlinks>
    <hyperlink ref="B5" location="FH!A1" display="재무현황" xr:uid="{00000000-0004-0000-0500-000000000000}"/>
    <hyperlink ref="B7" location="FS!A1" display="요약재무상태표 (Selected Balance sheet)" xr:uid="{00000000-0004-0000-0500-000001000000}"/>
    <hyperlink ref="C15" location="Stability!A1" display="재무 안정성 (Financial Stability)" xr:uid="{00000000-0004-0000-0500-000002000000}"/>
    <hyperlink ref="C16" location="Productivity!A1" display="생산성 / 경영효율 (Productivity / Operating Efficiency)" xr:uid="{00000000-0004-0000-0500-000003000000}"/>
    <hyperlink ref="C20" location="'Premium Income by P.T.(GA+SA)'!A1" display="상품별 수입보험료 (Premium Income)" xr:uid="{00000000-0004-0000-0500-000004000000}"/>
    <hyperlink ref="C21" location="'Initial P. by P.T.'!A1" display="상품별 초회보험료 (Initial Premium)" xr:uid="{00000000-0004-0000-0500-000005000000}"/>
    <hyperlink ref="C22" location="'First-year P. by P.T.'!A1" display="상품별 초년도보험료 (First Year Premium)" xr:uid="{00000000-0004-0000-0500-000006000000}"/>
    <hyperlink ref="C26" location="'Premium Income by D.C.(GA+SA)'!A1" display="채널별 수입보험료 (Premium Income)" xr:uid="{00000000-0004-0000-0500-000007000000}"/>
    <hyperlink ref="C27" location="'First-year P. by D.C'!A1" display="채널별 초년도보험료 (First Year Premium)" xr:uid="{00000000-0004-0000-0500-000008000000}"/>
    <hyperlink ref="C31" location="'&gt;Loan'!A1" display="대출 (Loan)/ 자산건전성 (Asset Quality of Loan)" xr:uid="{00000000-0004-0000-0500-000009000000}"/>
    <hyperlink ref="C32" location="'&gt;Bond'!A1" display="채권 (Bond)" xr:uid="{00000000-0004-0000-0500-00000A000000}"/>
    <hyperlink ref="C35" location="'BS  K-IFRS'!A1" display="재무상태표 (Balance Sheet - KIFRS)" xr:uid="{00000000-0004-0000-0500-00000B000000}"/>
    <hyperlink ref="C36" location="'IS  K-IFRS'!A1" display="손익계산서 (Income Statement - KIFRS)" xr:uid="{00000000-0004-0000-0500-00000C000000}"/>
    <hyperlink ref="B8" location="FS!A1" display="요약손익계산서 (Selected Income Statement)" xr:uid="{00000000-0004-0000-0500-00000D000000}"/>
    <hyperlink ref="B10" location="CSM!A1" display="RA, CSM, BEL Movement" xr:uid="{00000000-0004-0000-0500-00000E000000}"/>
    <hyperlink ref="B11" location="CSM!A1" display="신계약 CSM (New Business CSM)" xr:uid="{00000000-0004-0000-0500-00000F000000}"/>
    <hyperlink ref="B13" location="'Sources of Margin'!A1" display="이원별손익" xr:uid="{00000000-0004-0000-0500-000010000000}"/>
    <hyperlink ref="B12" location="CSM!A1" display="신계약 CSM 배수 (New Business CSM Margin)" xr:uid="{00000000-0004-0000-0500-000011000000}"/>
    <hyperlink ref="C19" location="'APE by P.T'!A1" display="상품별 APE (Annualized Premium Equivalent (APE))" xr:uid="{00000000-0004-0000-0500-000012000000}"/>
    <hyperlink ref="C25" location="'APE by D.C'!A1" display="채널별 APE (Annualized Premium Equivalent (APE))" xr:uid="{00000000-0004-0000-0500-000013000000}"/>
  </hyperlinks>
  <pageMargins left="0.19685039370078741" right="0.19685039370078741"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105"/>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7" width="11.85546875" style="1" bestFit="1" customWidth="1"/>
    <col min="18" max="16384" width="9.140625" style="1"/>
  </cols>
  <sheetData>
    <row r="1" spans="1:17" s="3" customFormat="1" ht="24" customHeight="1">
      <c r="A1" s="6"/>
      <c r="F1" s="4" t="s">
        <v>10</v>
      </c>
      <c r="G1" s="74" t="s">
        <v>79</v>
      </c>
      <c r="H1" s="75"/>
      <c r="I1" s="75"/>
    </row>
    <row r="2" spans="1:17" ht="12" customHeight="1">
      <c r="A2" s="133"/>
      <c r="B2" s="134"/>
      <c r="C2" s="134"/>
      <c r="F2" s="2" t="s">
        <v>5</v>
      </c>
      <c r="G2" s="92" t="s">
        <v>80</v>
      </c>
      <c r="H2" s="93"/>
      <c r="I2" s="93"/>
    </row>
    <row r="3" spans="1:17" ht="12" customHeight="1">
      <c r="A3" s="133" t="s">
        <v>27</v>
      </c>
      <c r="B3" s="134"/>
      <c r="C3" s="134"/>
      <c r="F3" s="55"/>
      <c r="G3" s="94"/>
      <c r="H3" s="94"/>
      <c r="I3" s="95"/>
      <c r="J3" s="814" t="s">
        <v>82</v>
      </c>
      <c r="K3" s="815"/>
      <c r="L3" s="816" t="s">
        <v>83</v>
      </c>
      <c r="M3" s="814"/>
      <c r="N3" s="815"/>
      <c r="O3" s="94"/>
      <c r="P3" s="94"/>
    </row>
    <row r="4" spans="1:17" ht="12" customHeight="1">
      <c r="A4" s="133"/>
      <c r="B4" s="134"/>
      <c r="C4" s="134"/>
      <c r="F4" s="8" t="s">
        <v>8</v>
      </c>
      <c r="G4" s="77" t="s">
        <v>81</v>
      </c>
      <c r="H4" s="96"/>
      <c r="I4" s="97"/>
      <c r="J4" s="761" t="s">
        <v>381</v>
      </c>
      <c r="K4" s="178" t="s">
        <v>382</v>
      </c>
      <c r="L4" s="761" t="s">
        <v>381</v>
      </c>
      <c r="M4" s="248" t="s">
        <v>382</v>
      </c>
      <c r="N4" s="254">
        <v>46112</v>
      </c>
      <c r="O4" s="251" t="s">
        <v>23</v>
      </c>
      <c r="P4" s="103" t="s">
        <v>24</v>
      </c>
    </row>
    <row r="5" spans="1:17" ht="12" customHeight="1">
      <c r="A5" s="143"/>
      <c r="B5" s="133" t="s">
        <v>155</v>
      </c>
      <c r="C5" s="133"/>
      <c r="F5" s="9" t="s">
        <v>0</v>
      </c>
      <c r="G5" s="98" t="s">
        <v>84</v>
      </c>
      <c r="H5" s="98"/>
      <c r="I5" s="98"/>
      <c r="J5" s="148">
        <f>SUM(J6,J10,J14)</f>
        <v>345.65795050209994</v>
      </c>
      <c r="K5" s="777">
        <f>SUM(K6,K10,K14)</f>
        <v>340.12233510690004</v>
      </c>
      <c r="L5" s="150">
        <f>SUM(L6,L10,L14)</f>
        <v>206.50365329970003</v>
      </c>
      <c r="M5" s="151">
        <f>SUM(M6,M10,M14)</f>
        <v>155.76114366179999</v>
      </c>
      <c r="N5" s="151">
        <f>SUM(N6,N10,N14)</f>
        <v>139.15429720240002</v>
      </c>
      <c r="O5" s="183">
        <f>IF(J5/K5&lt;0,"n.a.",IF(K5&gt;0,ROUND(J5,4)/ROUND(K5,4)-1,IF(K5&lt;0,"n.a.")))</f>
        <v>1.6275616153366146E-2</v>
      </c>
      <c r="P5" s="183">
        <f>IF(L5/N5&lt;0,"n.a.",IF(N5&gt;0,ROUND(L5,4)/ROUND(N5,4)-1,IF(N5&lt;0,"n.a.")))</f>
        <v>0.48399079295429615</v>
      </c>
      <c r="Q5" s="193"/>
    </row>
    <row r="6" spans="1:17" ht="12" customHeight="1">
      <c r="A6" s="143"/>
      <c r="B6" s="142"/>
      <c r="C6" s="134"/>
      <c r="F6" s="7"/>
      <c r="G6" s="99" t="s">
        <v>85</v>
      </c>
      <c r="H6" s="99"/>
      <c r="I6" s="99"/>
      <c r="J6" s="152">
        <f>SUM(J7:J9)</f>
        <v>286.76641377559997</v>
      </c>
      <c r="K6" s="778">
        <f>SUM(K7:K9)</f>
        <v>335.44118336330001</v>
      </c>
      <c r="L6" s="153">
        <f>SUM(L7:L9)</f>
        <v>168.44183713690001</v>
      </c>
      <c r="M6" s="154">
        <f>SUM(M7:M9)</f>
        <v>152.49214531839999</v>
      </c>
      <c r="N6" s="154">
        <f>SUM(N7:N9)</f>
        <v>118.32457663870001</v>
      </c>
      <c r="O6" s="184">
        <f>IF(J6/K6&lt;0,"n.a.",IF(K6&gt;0,ROUND(J6,4)/ROUND(K6,4)-1,IF(K6&lt;0,"n.a.")))</f>
        <v>-0.14510680262293363</v>
      </c>
      <c r="P6" s="184">
        <f>IF(L6/N6&lt;0,"n.a.",IF(N6&gt;0,ROUND(L6,4)/ROUND(N6,4)-1,IF(N6&lt;0,"n.a.")))</f>
        <v>0.42355689349467474</v>
      </c>
      <c r="Q6" s="199"/>
    </row>
    <row r="7" spans="1:17" ht="12" customHeight="1">
      <c r="A7" s="143"/>
      <c r="B7" s="142" t="s">
        <v>212</v>
      </c>
      <c r="C7" s="134"/>
      <c r="F7" s="7"/>
      <c r="G7" s="100"/>
      <c r="H7" s="100" t="s">
        <v>86</v>
      </c>
      <c r="I7" s="100"/>
      <c r="J7" s="155">
        <v>158.27296562399999</v>
      </c>
      <c r="K7" s="779">
        <v>115.305874124</v>
      </c>
      <c r="L7" s="147">
        <v>107.078716392</v>
      </c>
      <c r="M7" s="157">
        <v>48.886778843999998</v>
      </c>
      <c r="N7" s="157">
        <v>51.194249232000004</v>
      </c>
      <c r="O7" s="185">
        <f>IF(J7/K7&lt;0,"n.a.",IF(K7&gt;0,ROUND(J7,4)/ROUND(K7,4)-1,IF(K7&lt;0,"n.a.")))</f>
        <v>0.37263574543887179</v>
      </c>
      <c r="P7" s="185">
        <f>IF(L7/N7&lt;0,"n.a.",IF(N7&gt;0,ROUND(L7,4)/ROUND(N7,4)-1,IF(N7&lt;0,"n.a.")))</f>
        <v>1.0916178004539576</v>
      </c>
      <c r="Q7" s="195"/>
    </row>
    <row r="8" spans="1:17" ht="12" customHeight="1">
      <c r="A8" s="143"/>
      <c r="B8" s="142" t="s">
        <v>213</v>
      </c>
      <c r="C8" s="134"/>
      <c r="F8" s="7"/>
      <c r="G8" s="100"/>
      <c r="H8" s="100" t="s">
        <v>87</v>
      </c>
      <c r="I8" s="100"/>
      <c r="J8" s="155">
        <v>-6.1328400000000007E-4</v>
      </c>
      <c r="K8" s="779">
        <v>-1.1003603999999998E-2</v>
      </c>
      <c r="L8" s="147">
        <v>-6.1328400000000007E-4</v>
      </c>
      <c r="M8" s="157">
        <v>-3.173796E-3</v>
      </c>
      <c r="N8" s="157">
        <v>0</v>
      </c>
      <c r="O8" s="185"/>
      <c r="P8" s="185"/>
      <c r="Q8" s="195"/>
    </row>
    <row r="9" spans="1:17" ht="12" customHeight="1">
      <c r="A9" s="143"/>
      <c r="B9" s="142"/>
      <c r="C9" s="134"/>
      <c r="F9" s="7"/>
      <c r="G9" s="100"/>
      <c r="H9" s="100" t="s">
        <v>88</v>
      </c>
      <c r="I9" s="100"/>
      <c r="J9" s="155">
        <v>128.4940614356</v>
      </c>
      <c r="K9" s="779">
        <v>220.1463128433</v>
      </c>
      <c r="L9" s="147">
        <v>61.363734028900005</v>
      </c>
      <c r="M9" s="157">
        <v>103.6085402704</v>
      </c>
      <c r="N9" s="157">
        <v>67.130327406700005</v>
      </c>
      <c r="O9" s="185">
        <f>IF(J9/K9&lt;0,"n.a.",IF(K9&gt;0,ROUND(J9,4)/ROUND(K9,4)-1,IF(K9&lt;0,"n.a.")))</f>
        <v>-0.41632405359526825</v>
      </c>
      <c r="P9" s="185">
        <f>IF(L9/N9&lt;0,"n.a.",IF(N9&gt;0,ROUND(L9,4)/ROUND(N9,4)-1,IF(N9&lt;0,"n.a.")))</f>
        <v>-8.5901597341290103E-2</v>
      </c>
      <c r="Q9" s="195"/>
    </row>
    <row r="10" spans="1:17" ht="12" customHeight="1">
      <c r="A10" s="133"/>
      <c r="B10" s="142" t="s">
        <v>171</v>
      </c>
      <c r="C10" s="134"/>
      <c r="F10" s="7"/>
      <c r="G10" s="101" t="s">
        <v>89</v>
      </c>
      <c r="H10" s="101"/>
      <c r="I10" s="101"/>
      <c r="J10" s="152">
        <f>SUM(J11:J13)</f>
        <v>58.686549313600004</v>
      </c>
      <c r="K10" s="778">
        <f>SUM(K11:K13)</f>
        <v>4.3657060124999996</v>
      </c>
      <c r="L10" s="158">
        <f>SUM(L11:L13)</f>
        <v>37.982230718600007</v>
      </c>
      <c r="M10" s="159">
        <f>SUM(M11:M13)</f>
        <v>3.1650244579</v>
      </c>
      <c r="N10" s="159">
        <f>SUM(N11:N13)</f>
        <v>20.704318595000004</v>
      </c>
      <c r="O10" s="186">
        <f>IF(J10/K10&lt;0,"n.a.",IF(K10&gt;0,ROUND(J10,4)/ROUND(K10,4)-1,IF(K10&lt;0,"n.a.")))</f>
        <v>12.442632338456605</v>
      </c>
      <c r="P10" s="186">
        <f>IF(L10/N10&lt;0,"n.a.",IF(N10&gt;0,ROUND(L10,4)/ROUND(N10,4)-1,IF(N10&lt;0,"n.a.")))</f>
        <v>0.83450780755688436</v>
      </c>
      <c r="Q10" s="195"/>
    </row>
    <row r="11" spans="1:17" ht="12" customHeight="1">
      <c r="A11" s="133"/>
      <c r="B11" s="142" t="s">
        <v>166</v>
      </c>
      <c r="C11" s="134"/>
      <c r="F11" s="7"/>
      <c r="G11" s="100"/>
      <c r="H11" s="100" t="s">
        <v>90</v>
      </c>
      <c r="I11" s="100"/>
      <c r="J11" s="155">
        <v>4.73864149E-2</v>
      </c>
      <c r="K11" s="780">
        <v>4.5906350500000005E-2</v>
      </c>
      <c r="L11" s="466">
        <v>2.0211099E-2</v>
      </c>
      <c r="M11" s="157">
        <v>2.7818386300000001E-2</v>
      </c>
      <c r="N11" s="157">
        <v>2.7175315899999997E-2</v>
      </c>
      <c r="O11" s="185">
        <f>IF(J11/K11&lt;0,"n.a.",IF(K11&gt;0,ROUND(J11,4)/ROUND(K11,4)-1,IF(K11&lt;0,"n.a.")))</f>
        <v>3.2679738562091387E-2</v>
      </c>
      <c r="P11" s="185">
        <f>IF(L11/N11&lt;0,"n.a.",IF(N11&gt;0,ROUND(L11,4)/ROUND(N11,4)-1,IF(N11&lt;0,"n.a.")))</f>
        <v>-0.25735294117647056</v>
      </c>
      <c r="Q11" s="195"/>
    </row>
    <row r="12" spans="1:17" ht="12" customHeight="1">
      <c r="A12" s="133"/>
      <c r="B12" s="142" t="s">
        <v>219</v>
      </c>
      <c r="C12" s="134"/>
      <c r="F12" s="7"/>
      <c r="G12" s="100"/>
      <c r="H12" s="100" t="s">
        <v>91</v>
      </c>
      <c r="I12" s="100"/>
      <c r="J12" s="155">
        <v>58.639162898700008</v>
      </c>
      <c r="K12" s="779">
        <v>4.3197996619999994</v>
      </c>
      <c r="L12" s="147">
        <v>37.962019619600007</v>
      </c>
      <c r="M12" s="157">
        <v>3.1372060716000001</v>
      </c>
      <c r="N12" s="157">
        <v>20.677143279100004</v>
      </c>
      <c r="O12" s="185">
        <f>IF(J12/K12&lt;0,"n.a.",IF(K12&gt;0,ROUND(J12,4)/ROUND(K12,4)-1,IF(K12&lt;0,"n.a.")))</f>
        <v>12.574517338765684</v>
      </c>
      <c r="P12" s="185">
        <f>IF(L12/N12&lt;0,"n.a.",IF(N12&gt;0,ROUND(L12,4)/ROUND(N12,4)-1,IF(N12&lt;0,"n.a.")))</f>
        <v>0.83594411208535058</v>
      </c>
      <c r="Q12" s="195"/>
    </row>
    <row r="13" spans="1:17" ht="12" customHeight="1">
      <c r="A13" s="133"/>
      <c r="B13" s="142"/>
      <c r="C13" s="134"/>
      <c r="F13" s="7"/>
      <c r="G13" s="100"/>
      <c r="H13" s="100" t="s">
        <v>92</v>
      </c>
      <c r="I13" s="100"/>
      <c r="J13" s="155">
        <v>0</v>
      </c>
      <c r="K13" s="779">
        <v>0</v>
      </c>
      <c r="L13" s="147">
        <v>0</v>
      </c>
      <c r="M13" s="157">
        <v>0</v>
      </c>
      <c r="N13" s="157">
        <v>0</v>
      </c>
      <c r="O13" s="185"/>
      <c r="P13" s="185"/>
      <c r="Q13" s="195"/>
    </row>
    <row r="14" spans="1:17" ht="12" customHeight="1">
      <c r="A14" s="133"/>
      <c r="B14" s="133" t="s">
        <v>173</v>
      </c>
      <c r="C14" s="134"/>
      <c r="F14" s="7"/>
      <c r="G14" s="101" t="s">
        <v>93</v>
      </c>
      <c r="H14" s="101"/>
      <c r="I14" s="101"/>
      <c r="J14" s="152">
        <f>SUM(J15:J17)</f>
        <v>0.20498741289999997</v>
      </c>
      <c r="K14" s="778">
        <f>SUM(K15:K17)</f>
        <v>0.31544573110000002</v>
      </c>
      <c r="L14" s="158">
        <f>SUM(L15:L17)</f>
        <v>7.9585444199999994E-2</v>
      </c>
      <c r="M14" s="159">
        <f>SUM(M15:M17)</f>
        <v>0.10397388549999999</v>
      </c>
      <c r="N14" s="159">
        <f>SUM(N15:N17)</f>
        <v>0.1254019687</v>
      </c>
      <c r="O14" s="186">
        <f>IF(J14/K14&lt;0,"n.a.",IF(K14&gt;0,ROUND(J14,4)/ROUND(K14,4)-1,IF(K14&lt;0,"n.a.")))</f>
        <v>-0.35003170577045029</v>
      </c>
      <c r="P14" s="186">
        <f>IF(L14/N14&lt;0,"n.a.",IF(N14&gt;0,ROUND(L14,4)/ROUND(N14,4)-1,IF(N14&lt;0,"n.a.")))</f>
        <v>-0.36523125996810213</v>
      </c>
      <c r="Q14" s="195"/>
    </row>
    <row r="15" spans="1:17" ht="12" customHeight="1">
      <c r="A15" s="133"/>
      <c r="B15" s="135"/>
      <c r="C15" s="142" t="s">
        <v>40</v>
      </c>
      <c r="F15" s="7"/>
      <c r="G15" s="100"/>
      <c r="H15" s="100" t="s">
        <v>90</v>
      </c>
      <c r="I15" s="100"/>
      <c r="J15" s="155">
        <v>0</v>
      </c>
      <c r="K15" s="779">
        <v>0</v>
      </c>
      <c r="L15" s="147">
        <v>0</v>
      </c>
      <c r="M15" s="157">
        <v>0</v>
      </c>
      <c r="N15" s="157">
        <v>0</v>
      </c>
      <c r="O15" s="185"/>
      <c r="P15" s="185"/>
      <c r="Q15" s="195"/>
    </row>
    <row r="16" spans="1:17" ht="12" customHeight="1">
      <c r="A16" s="133"/>
      <c r="B16" s="133"/>
      <c r="C16" s="142" t="s">
        <v>41</v>
      </c>
      <c r="F16" s="7"/>
      <c r="G16" s="100"/>
      <c r="H16" s="100" t="s">
        <v>91</v>
      </c>
      <c r="I16" s="100"/>
      <c r="J16" s="155">
        <v>0.20498741289999997</v>
      </c>
      <c r="K16" s="779">
        <v>0.31544573110000002</v>
      </c>
      <c r="L16" s="147">
        <v>7.9585444199999994E-2</v>
      </c>
      <c r="M16" s="157">
        <v>0.10397388549999999</v>
      </c>
      <c r="N16" s="157">
        <v>0.1254019687</v>
      </c>
      <c r="O16" s="185">
        <f>IF(J16/K16&lt;0,"n.a.",IF(K16&gt;0,ROUND(J16,4)/ROUND(K16,4)-1,IF(K16&lt;0,"n.a.")))</f>
        <v>-0.35003170577045029</v>
      </c>
      <c r="P16" s="185">
        <f>IF(L16/N16&lt;0,"n.a.",IF(N16&gt;0,ROUND(L16,4)/ROUND(N16,4)-1,IF(N16&lt;0,"n.a.")))</f>
        <v>-0.36523125996810213</v>
      </c>
      <c r="Q16" s="195"/>
    </row>
    <row r="17" spans="1:17" ht="12" customHeight="1">
      <c r="A17" s="133"/>
      <c r="B17" s="133"/>
      <c r="C17" s="142"/>
      <c r="F17" s="7"/>
      <c r="G17" s="100"/>
      <c r="H17" s="100" t="s">
        <v>94</v>
      </c>
      <c r="I17" s="100"/>
      <c r="J17" s="155">
        <v>0</v>
      </c>
      <c r="K17" s="779">
        <v>0</v>
      </c>
      <c r="L17" s="147">
        <v>0</v>
      </c>
      <c r="M17" s="157">
        <v>0</v>
      </c>
      <c r="N17" s="157">
        <v>0</v>
      </c>
      <c r="O17" s="185"/>
      <c r="P17" s="185"/>
      <c r="Q17" s="195"/>
    </row>
    <row r="18" spans="1:17" ht="12" customHeight="1">
      <c r="A18" s="133"/>
      <c r="B18" s="133" t="s">
        <v>176</v>
      </c>
      <c r="C18" s="142"/>
      <c r="F18" s="9" t="s">
        <v>1</v>
      </c>
      <c r="G18" s="98" t="s">
        <v>95</v>
      </c>
      <c r="H18" s="98"/>
      <c r="I18" s="98"/>
      <c r="J18" s="148">
        <f>SUM(J19:J20)</f>
        <v>0</v>
      </c>
      <c r="K18" s="777">
        <f>SUM(K19:K20)</f>
        <v>0</v>
      </c>
      <c r="L18" s="150">
        <f>SUM(L19:L20)</f>
        <v>0</v>
      </c>
      <c r="M18" s="151">
        <f>SUM(M19:M20)</f>
        <v>0</v>
      </c>
      <c r="N18" s="151">
        <f>SUM(N19:N20)</f>
        <v>0</v>
      </c>
      <c r="O18" s="183"/>
      <c r="P18" s="183"/>
      <c r="Q18" s="195"/>
    </row>
    <row r="19" spans="1:17" ht="12" customHeight="1">
      <c r="A19" s="133"/>
      <c r="B19" s="133"/>
      <c r="C19" s="142" t="s">
        <v>33</v>
      </c>
      <c r="F19" s="7"/>
      <c r="G19" s="100" t="s">
        <v>96</v>
      </c>
      <c r="H19" s="100"/>
      <c r="I19" s="100"/>
      <c r="J19" s="155">
        <v>0</v>
      </c>
      <c r="K19" s="779">
        <v>0</v>
      </c>
      <c r="L19" s="147">
        <v>0</v>
      </c>
      <c r="M19" s="157">
        <v>0</v>
      </c>
      <c r="N19" s="157">
        <v>0</v>
      </c>
      <c r="O19" s="185"/>
      <c r="P19" s="185"/>
      <c r="Q19" s="195"/>
    </row>
    <row r="20" spans="1:17" ht="12" customHeight="1">
      <c r="A20" s="133"/>
      <c r="B20" s="133"/>
      <c r="C20" s="142" t="s">
        <v>29</v>
      </c>
      <c r="F20" s="7"/>
      <c r="G20" s="102" t="s">
        <v>97</v>
      </c>
      <c r="H20" s="102"/>
      <c r="I20" s="102"/>
      <c r="J20" s="160">
        <v>0</v>
      </c>
      <c r="K20" s="781">
        <v>0</v>
      </c>
      <c r="L20" s="161">
        <v>0</v>
      </c>
      <c r="M20" s="162">
        <v>0</v>
      </c>
      <c r="N20" s="162">
        <v>0</v>
      </c>
      <c r="O20" s="187"/>
      <c r="P20" s="187"/>
      <c r="Q20" s="195"/>
    </row>
    <row r="21" spans="1:17" ht="12" customHeight="1">
      <c r="A21" s="133"/>
      <c r="B21" s="133"/>
      <c r="C21" s="142" t="s">
        <v>30</v>
      </c>
      <c r="F21" s="18"/>
      <c r="G21" s="98" t="s">
        <v>98</v>
      </c>
      <c r="H21" s="98"/>
      <c r="I21" s="98"/>
      <c r="J21" s="148">
        <f>SUM(J22:J24)</f>
        <v>345.65795050209994</v>
      </c>
      <c r="K21" s="149">
        <f>SUM(K22:K24)</f>
        <v>340.12233510690004</v>
      </c>
      <c r="L21" s="150">
        <f>SUM(L22:L24)</f>
        <v>206.50365329970003</v>
      </c>
      <c r="M21" s="151">
        <f>SUM(M22:M24)</f>
        <v>155.76114366179999</v>
      </c>
      <c r="N21" s="151">
        <f>SUM(N22:N24)</f>
        <v>139.15429720240002</v>
      </c>
      <c r="O21" s="183">
        <f>IF(J21/K21&lt;0,"n.a.",IF(K21&gt;0,ROUND(J21,4)/ROUND(K21,4)-1,IF(K21&lt;0,"n.a.")))</f>
        <v>1.6275616153366146E-2</v>
      </c>
      <c r="P21" s="183">
        <f>IF(L21/N21&lt;0,"n.a.",IF(N21&gt;0,ROUND(L21,4)/ROUND(N21,4)-1,IF(N21&lt;0,"n.a.")))</f>
        <v>0.48399079295429615</v>
      </c>
      <c r="Q21" s="195"/>
    </row>
    <row r="22" spans="1:17" ht="12" customHeight="1">
      <c r="A22" s="133"/>
      <c r="B22" s="133"/>
      <c r="C22" s="142" t="s">
        <v>31</v>
      </c>
      <c r="F22" s="9" t="s">
        <v>4</v>
      </c>
      <c r="G22" s="179" t="s">
        <v>85</v>
      </c>
      <c r="H22" s="100"/>
      <c r="I22" s="100"/>
      <c r="J22" s="155">
        <f>SUM(J6,J19)</f>
        <v>286.76641377559997</v>
      </c>
      <c r="K22" s="782">
        <f>SUM(K6,K19)</f>
        <v>335.44118336330001</v>
      </c>
      <c r="L22" s="147">
        <f>SUM(L6,L19)</f>
        <v>168.44183713690001</v>
      </c>
      <c r="M22" s="157">
        <f>SUM(M6,M19)</f>
        <v>152.49214531839999</v>
      </c>
      <c r="N22" s="157">
        <f>SUM(N6,N19)</f>
        <v>118.32457663870001</v>
      </c>
      <c r="O22" s="185">
        <f>IF(J22/K22&lt;0,"n.a.",IF(K22&gt;0,ROUND(J22,4)/ROUND(K22,4)-1,IF(K22&lt;0,"n.a.")))</f>
        <v>-0.14510680262293363</v>
      </c>
      <c r="P22" s="185">
        <f>IF(L22/N22&lt;0,"n.a.",IF(N22&gt;0,ROUND(L22,4)/ROUND(N22,4)-1,IF(N22&lt;0,"n.a.")))</f>
        <v>0.42355689349467474</v>
      </c>
      <c r="Q22" s="195"/>
    </row>
    <row r="23" spans="1:17" ht="12" customHeight="1">
      <c r="A23" s="133"/>
      <c r="B23" s="133"/>
      <c r="C23" s="142"/>
      <c r="F23" s="7"/>
      <c r="G23" s="100" t="s">
        <v>99</v>
      </c>
      <c r="H23" s="100"/>
      <c r="I23" s="100"/>
      <c r="J23" s="155">
        <f>J10</f>
        <v>58.686549313600004</v>
      </c>
      <c r="K23" s="156">
        <f>K10</f>
        <v>4.3657060124999996</v>
      </c>
      <c r="L23" s="147">
        <f>L10</f>
        <v>37.982230718600007</v>
      </c>
      <c r="M23" s="157">
        <f>M10</f>
        <v>3.1650244579</v>
      </c>
      <c r="N23" s="157">
        <f>N10</f>
        <v>20.704318595000004</v>
      </c>
      <c r="O23" s="185">
        <f>IF(J23/K23&lt;0,"n.a.",IF(K23&gt;0,ROUND(J23,4)/ROUND(K23,4)-1,IF(K23&lt;0,"n.a.")))</f>
        <v>12.442632338456605</v>
      </c>
      <c r="P23" s="185">
        <f>IF(L23/N23&lt;0,"n.a.",IF(N23&gt;0,ROUND(L23,4)/ROUND(N23,4)-1,IF(N23&lt;0,"n.a.")))</f>
        <v>0.83450780755688436</v>
      </c>
      <c r="Q23" s="195"/>
    </row>
    <row r="24" spans="1:17" ht="12" customHeight="1">
      <c r="A24" s="133"/>
      <c r="B24" s="133" t="s">
        <v>181</v>
      </c>
      <c r="C24" s="142"/>
      <c r="F24" s="7"/>
      <c r="G24" s="102" t="s">
        <v>93</v>
      </c>
      <c r="H24" s="102"/>
      <c r="I24" s="102"/>
      <c r="J24" s="160">
        <f>SUM(J14,J20)</f>
        <v>0.20498741289999997</v>
      </c>
      <c r="K24" s="783">
        <f>SUM(K14,K20)</f>
        <v>0.31544573110000002</v>
      </c>
      <c r="L24" s="161">
        <f>SUM(L14,L20)</f>
        <v>7.9585444199999994E-2</v>
      </c>
      <c r="M24" s="162">
        <f>SUM(M14,M20)</f>
        <v>0.10397388549999999</v>
      </c>
      <c r="N24" s="162">
        <f>SUM(N14,N20)</f>
        <v>0.1254019687</v>
      </c>
      <c r="O24" s="187">
        <f>IF(J24/K24&lt;0,"n.a.",IF(K24&gt;0,ROUND(J24,4)/ROUND(K24,4)-1,IF(K24&lt;0,"n.a.")))</f>
        <v>-0.35003170577045029</v>
      </c>
      <c r="P24" s="187">
        <f>IF(L24/N24&lt;0,"n.a.",IF(N24&gt;0,ROUND(L24,4)/ROUND(N24,4)-1,IF(N24&lt;0,"n.a.")))</f>
        <v>-0.36523125996810213</v>
      </c>
      <c r="Q24" s="195"/>
    </row>
    <row r="25" spans="1:17" ht="12" customHeight="1">
      <c r="A25" s="133"/>
      <c r="B25" s="133"/>
      <c r="C25" s="142" t="s">
        <v>32</v>
      </c>
      <c r="F25" s="18"/>
      <c r="G25" s="98" t="s">
        <v>100</v>
      </c>
      <c r="H25" s="98"/>
      <c r="I25" s="98"/>
      <c r="J25" s="148">
        <f>SUM(J26:J27)</f>
        <v>13.746758550700001</v>
      </c>
      <c r="K25" s="777">
        <f>SUM(K26:K27)</f>
        <v>0.15814576620000001</v>
      </c>
      <c r="L25" s="163">
        <f>SUM(L26:L27)</f>
        <v>11.8055638898</v>
      </c>
      <c r="M25" s="151">
        <f>SUM(M26:M27)</f>
        <v>3.0803075000000003E-2</v>
      </c>
      <c r="N25" s="151">
        <f>SUM(N26:N27)</f>
        <v>1.9411946609000001</v>
      </c>
      <c r="O25" s="467">
        <f>IF(J25/K25&lt;0,"n.a.",IF(K25&gt;0,ROUND(J25,4)/ROUND(K25,4)-1,IF(K25&lt;0,"n.a.")))</f>
        <v>85.95003162555345</v>
      </c>
      <c r="P25" s="183">
        <f>IF(L25/N25&lt;0,"n.a.",IF(N25&gt;0,ROUND(L25,4)/ROUND(N25,4)-1,IF(N25&lt;0,"n.a.")))</f>
        <v>5.0815990109210798</v>
      </c>
      <c r="Q25" s="195"/>
    </row>
    <row r="26" spans="1:17" ht="12" customHeight="1">
      <c r="A26" s="133"/>
      <c r="B26" s="133"/>
      <c r="C26" s="142" t="s">
        <v>34</v>
      </c>
      <c r="F26" s="9" t="s">
        <v>2</v>
      </c>
      <c r="G26" s="100" t="s">
        <v>101</v>
      </c>
      <c r="H26" s="100"/>
      <c r="I26" s="100"/>
      <c r="J26" s="155">
        <v>0</v>
      </c>
      <c r="K26" s="779">
        <v>0</v>
      </c>
      <c r="L26" s="147">
        <v>0</v>
      </c>
      <c r="M26" s="157">
        <v>0</v>
      </c>
      <c r="N26" s="157">
        <v>0</v>
      </c>
      <c r="O26" s="185"/>
      <c r="P26" s="185"/>
      <c r="Q26" s="195"/>
    </row>
    <row r="27" spans="1:17" ht="12" customHeight="1">
      <c r="A27" s="133"/>
      <c r="B27" s="133"/>
      <c r="C27" s="142" t="s">
        <v>35</v>
      </c>
      <c r="F27" s="7"/>
      <c r="G27" s="102" t="s">
        <v>102</v>
      </c>
      <c r="H27" s="102"/>
      <c r="I27" s="102"/>
      <c r="J27" s="160">
        <v>13.746758550700001</v>
      </c>
      <c r="K27" s="781">
        <v>0.15814576620000001</v>
      </c>
      <c r="L27" s="161">
        <v>11.8055638898</v>
      </c>
      <c r="M27" s="162">
        <v>3.0803075000000003E-2</v>
      </c>
      <c r="N27" s="162">
        <v>1.9411946609000001</v>
      </c>
      <c r="O27" s="187">
        <f>IF(J27/K27&lt;0,"n.a.",IF(K27&gt;0,ROUND(J27,4)/ROUND(K27,4)-1,IF(K27&lt;0,"n.a.")))</f>
        <v>85.95003162555345</v>
      </c>
      <c r="P27" s="187">
        <f>IF(L27/N27&lt;0,"n.a.",IF(N27&gt;0,ROUND(L27,4)/ROUND(N27,4)-1,IF(N27&lt;0,"n.a.")))</f>
        <v>5.0815990109210798</v>
      </c>
      <c r="Q27" s="195"/>
    </row>
    <row r="28" spans="1:17" ht="12" customHeight="1">
      <c r="A28" s="133"/>
      <c r="B28" s="133"/>
      <c r="C28" s="142"/>
      <c r="F28" s="18"/>
      <c r="G28" s="7"/>
      <c r="H28" s="7"/>
      <c r="I28" s="7"/>
      <c r="J28" s="67"/>
      <c r="K28" s="67"/>
      <c r="L28" s="67"/>
      <c r="M28" s="67"/>
      <c r="N28" s="67"/>
    </row>
    <row r="29" spans="1:17" ht="12" customHeight="1">
      <c r="A29" s="133"/>
      <c r="B29" s="133"/>
      <c r="C29" s="142"/>
      <c r="F29" s="7"/>
      <c r="G29" s="100"/>
      <c r="J29" s="448"/>
      <c r="K29" s="448"/>
      <c r="L29" s="448"/>
      <c r="M29" s="448"/>
      <c r="N29" s="448"/>
    </row>
    <row r="30" spans="1:17" s="3" customFormat="1" ht="12" customHeight="1">
      <c r="A30" s="133"/>
      <c r="B30" s="133" t="s">
        <v>185</v>
      </c>
      <c r="C30" s="142"/>
      <c r="D30" s="1"/>
      <c r="E30" s="1"/>
      <c r="F30" s="7"/>
      <c r="J30" s="448"/>
      <c r="K30" s="448"/>
      <c r="L30" s="448"/>
      <c r="M30" s="448"/>
      <c r="N30" s="448"/>
      <c r="O30" s="1"/>
      <c r="P30" s="1"/>
    </row>
    <row r="31" spans="1:17" ht="12" customHeight="1">
      <c r="A31" s="133"/>
      <c r="B31" s="133"/>
      <c r="C31" s="142" t="s">
        <v>147</v>
      </c>
      <c r="F31" s="4" t="s">
        <v>7</v>
      </c>
      <c r="I31" s="222"/>
      <c r="J31" s="656"/>
      <c r="K31" s="656"/>
      <c r="L31" s="656"/>
      <c r="M31" s="448"/>
      <c r="N31" s="448"/>
    </row>
    <row r="32" spans="1:17" ht="12" customHeight="1">
      <c r="A32" s="133"/>
      <c r="B32" s="133"/>
      <c r="C32" s="142" t="s">
        <v>36</v>
      </c>
      <c r="F32" s="2" t="s">
        <v>6</v>
      </c>
      <c r="I32" s="222"/>
      <c r="J32" s="656"/>
      <c r="K32" s="656"/>
      <c r="L32" s="656"/>
      <c r="M32" s="448"/>
      <c r="N32" s="448"/>
      <c r="Q32" s="303"/>
    </row>
    <row r="33" spans="1:17" ht="12" customHeight="1">
      <c r="A33" s="133"/>
      <c r="B33" s="133"/>
      <c r="C33" s="142"/>
      <c r="F33" s="55"/>
      <c r="J33" s="656"/>
      <c r="K33" s="656"/>
      <c r="L33" s="656"/>
      <c r="M33" s="448"/>
      <c r="N33" s="448"/>
    </row>
    <row r="34" spans="1:17" ht="12" customHeight="1">
      <c r="A34" s="133"/>
      <c r="B34" s="133" t="s">
        <v>188</v>
      </c>
      <c r="C34" s="142"/>
      <c r="F34" s="8" t="s">
        <v>8</v>
      </c>
      <c r="J34" s="448"/>
      <c r="K34" s="448"/>
      <c r="L34" s="448"/>
      <c r="M34" s="448"/>
      <c r="N34" s="448"/>
    </row>
    <row r="35" spans="1:17" ht="12" customHeight="1">
      <c r="A35" s="133"/>
      <c r="B35" s="133"/>
      <c r="C35" s="142" t="s">
        <v>37</v>
      </c>
      <c r="F35" s="9" t="s">
        <v>0</v>
      </c>
      <c r="J35" s="638"/>
      <c r="K35" s="638"/>
      <c r="L35" s="638"/>
      <c r="M35" s="638"/>
      <c r="N35" s="448"/>
    </row>
    <row r="36" spans="1:17" ht="12" customHeight="1">
      <c r="A36" s="133"/>
      <c r="B36" s="133"/>
      <c r="C36" s="142" t="s">
        <v>38</v>
      </c>
      <c r="F36" s="7"/>
      <c r="J36" s="448"/>
      <c r="K36" s="448"/>
      <c r="L36" s="448"/>
      <c r="M36" s="448"/>
      <c r="N36" s="448"/>
      <c r="Q36" s="303"/>
    </row>
    <row r="37" spans="1:17" ht="12" customHeight="1">
      <c r="A37" s="25"/>
      <c r="F37" s="7"/>
      <c r="J37" s="448"/>
      <c r="K37" s="448"/>
      <c r="L37" s="448"/>
      <c r="M37" s="448"/>
      <c r="N37" s="448"/>
    </row>
    <row r="38" spans="1:17" ht="12" customHeight="1">
      <c r="A38" s="25"/>
      <c r="F38" s="7"/>
      <c r="J38" s="448"/>
      <c r="K38" s="448"/>
      <c r="L38" s="448"/>
      <c r="M38" s="448"/>
      <c r="N38" s="448"/>
    </row>
    <row r="39" spans="1:17" ht="12" customHeight="1">
      <c r="A39" s="25"/>
      <c r="F39" s="7"/>
      <c r="J39" s="448"/>
      <c r="K39" s="448"/>
      <c r="L39" s="448"/>
      <c r="M39" s="448"/>
      <c r="N39" s="448"/>
    </row>
    <row r="40" spans="1:17" ht="12" customHeight="1">
      <c r="A40" s="25"/>
      <c r="F40" s="7"/>
      <c r="J40" s="448"/>
      <c r="K40" s="448"/>
      <c r="L40" s="448"/>
      <c r="M40" s="448"/>
      <c r="N40" s="448"/>
    </row>
    <row r="41" spans="1:17" ht="12" customHeight="1">
      <c r="A41" s="25"/>
      <c r="F41" s="7"/>
      <c r="J41" s="448"/>
      <c r="K41" s="448"/>
      <c r="L41" s="448"/>
      <c r="M41" s="448"/>
      <c r="N41" s="448"/>
    </row>
    <row r="42" spans="1:17" ht="12" customHeight="1">
      <c r="A42" s="25"/>
      <c r="F42" s="7"/>
      <c r="J42" s="448"/>
      <c r="K42" s="448"/>
      <c r="L42" s="448"/>
      <c r="M42" s="448"/>
      <c r="N42" s="448"/>
    </row>
    <row r="43" spans="1:17" ht="12" customHeight="1">
      <c r="A43" s="25"/>
      <c r="F43" s="7"/>
      <c r="J43" s="448"/>
      <c r="K43" s="448"/>
      <c r="L43" s="448"/>
      <c r="M43" s="448"/>
      <c r="N43" s="448"/>
    </row>
    <row r="44" spans="1:17" ht="12" customHeight="1">
      <c r="A44" s="25"/>
      <c r="F44" s="7"/>
      <c r="J44" s="448"/>
      <c r="K44" s="448"/>
      <c r="L44" s="448"/>
      <c r="M44" s="448"/>
      <c r="N44" s="448"/>
    </row>
    <row r="45" spans="1:17" ht="12" customHeight="1">
      <c r="A45" s="25"/>
      <c r="F45" s="7"/>
    </row>
    <row r="46" spans="1:17" ht="12" customHeight="1">
      <c r="A46" s="25"/>
      <c r="F46" s="7"/>
    </row>
    <row r="47" spans="1:17" ht="12" customHeight="1">
      <c r="A47" s="25"/>
      <c r="F47" s="7"/>
    </row>
    <row r="48" spans="1:17" ht="12" customHeight="1">
      <c r="A48" s="25"/>
      <c r="F48" s="9" t="s">
        <v>1</v>
      </c>
    </row>
    <row r="49" spans="1:16" ht="12" customHeight="1">
      <c r="F49" s="7"/>
    </row>
    <row r="50" spans="1:16" ht="12" customHeight="1">
      <c r="F50" s="7"/>
    </row>
    <row r="51" spans="1:16" ht="12" customHeight="1">
      <c r="F51" s="18"/>
    </row>
    <row r="52" spans="1:16" ht="12" customHeight="1">
      <c r="F52" s="9" t="s">
        <v>4</v>
      </c>
    </row>
    <row r="53" spans="1:16" ht="12" customHeight="1">
      <c r="F53" s="7"/>
      <c r="J53" s="67"/>
      <c r="K53" s="67"/>
      <c r="L53" s="67"/>
      <c r="M53" s="67"/>
      <c r="N53" s="67"/>
      <c r="O53" s="67"/>
      <c r="P53" s="67"/>
    </row>
    <row r="54" spans="1:16" ht="12" customHeight="1">
      <c r="F54" s="7"/>
      <c r="J54" s="67"/>
      <c r="K54" s="67"/>
      <c r="L54" s="67"/>
      <c r="M54" s="67"/>
      <c r="N54" s="67"/>
      <c r="O54" s="67"/>
      <c r="P54" s="67"/>
    </row>
    <row r="55" spans="1:16" ht="12" customHeight="1">
      <c r="F55" s="18"/>
      <c r="J55" s="67"/>
      <c r="K55" s="67"/>
      <c r="L55" s="67"/>
      <c r="M55" s="67"/>
      <c r="N55" s="67"/>
      <c r="O55" s="67"/>
      <c r="P55" s="67"/>
    </row>
    <row r="56" spans="1:16" ht="12" customHeight="1">
      <c r="F56" s="9" t="s">
        <v>2</v>
      </c>
      <c r="J56" s="67"/>
      <c r="K56" s="67"/>
      <c r="L56" s="67"/>
      <c r="M56" s="67"/>
      <c r="N56" s="67"/>
      <c r="O56" s="67"/>
      <c r="P56" s="67"/>
    </row>
    <row r="57" spans="1:16" ht="12" customHeight="1">
      <c r="F57" s="7"/>
      <c r="J57" s="67"/>
      <c r="K57" s="67"/>
      <c r="L57" s="67"/>
      <c r="M57" s="67"/>
      <c r="N57" s="67"/>
      <c r="O57" s="67"/>
      <c r="P57" s="67"/>
    </row>
    <row r="58" spans="1:16" ht="12" customHeight="1">
      <c r="F58" s="18"/>
      <c r="J58" s="67"/>
      <c r="K58" s="67"/>
      <c r="L58" s="67"/>
      <c r="M58" s="67"/>
      <c r="N58" s="67"/>
      <c r="O58" s="67"/>
      <c r="P58" s="67"/>
    </row>
    <row r="59" spans="1:16" ht="12" customHeight="1">
      <c r="J59" s="67"/>
      <c r="K59" s="67"/>
      <c r="L59" s="67"/>
      <c r="M59" s="67"/>
      <c r="N59" s="67"/>
      <c r="O59" s="67"/>
      <c r="P59" s="67"/>
    </row>
    <row r="60" spans="1:16" ht="12" customHeight="1">
      <c r="F60" s="2" t="s">
        <v>9</v>
      </c>
      <c r="J60" s="67"/>
      <c r="K60" s="67"/>
      <c r="L60" s="67"/>
      <c r="M60" s="67"/>
      <c r="N60" s="67"/>
      <c r="O60" s="67"/>
      <c r="P60" s="67"/>
    </row>
    <row r="61" spans="1:16" ht="12" customHeight="1">
      <c r="F61" s="55"/>
      <c r="J61" s="67"/>
      <c r="K61" s="67"/>
      <c r="L61" s="67"/>
      <c r="M61" s="67"/>
      <c r="N61" s="67"/>
      <c r="O61" s="67"/>
      <c r="P61" s="67"/>
    </row>
    <row r="62" spans="1:16" ht="12" customHeight="1">
      <c r="F62" s="8" t="s">
        <v>8</v>
      </c>
      <c r="J62" s="67"/>
      <c r="K62" s="67"/>
      <c r="L62" s="67"/>
      <c r="M62" s="67"/>
      <c r="N62" s="67"/>
      <c r="O62" s="67"/>
      <c r="P62" s="67"/>
    </row>
    <row r="63" spans="1:16" ht="12" customHeight="1">
      <c r="F63" s="9" t="s">
        <v>0</v>
      </c>
      <c r="J63" s="67"/>
      <c r="K63" s="67"/>
      <c r="L63" s="67"/>
      <c r="M63" s="67"/>
      <c r="N63" s="67"/>
      <c r="O63" s="67"/>
      <c r="P63" s="67"/>
    </row>
    <row r="64" spans="1:16" ht="12" customHeight="1">
      <c r="A64" s="1"/>
      <c r="F64" s="7"/>
      <c r="J64" s="67"/>
      <c r="K64" s="67"/>
      <c r="L64" s="67"/>
      <c r="M64" s="67"/>
      <c r="N64" s="67"/>
      <c r="O64" s="67"/>
      <c r="P64" s="67"/>
    </row>
    <row r="65" spans="1:16" ht="12" customHeight="1">
      <c r="A65" s="1"/>
      <c r="F65" s="7"/>
      <c r="J65" s="67"/>
      <c r="K65" s="67"/>
      <c r="L65" s="67"/>
      <c r="M65" s="67"/>
      <c r="N65" s="67"/>
      <c r="O65" s="67"/>
      <c r="P65" s="67"/>
    </row>
    <row r="66" spans="1:16" ht="12" customHeight="1">
      <c r="A66" s="1"/>
      <c r="F66" s="7"/>
      <c r="J66" s="67"/>
      <c r="K66" s="67"/>
      <c r="L66" s="67"/>
      <c r="M66" s="67"/>
      <c r="N66" s="67"/>
      <c r="O66" s="67"/>
      <c r="P66" s="67"/>
    </row>
    <row r="67" spans="1:16" ht="12" customHeight="1">
      <c r="A67" s="1"/>
      <c r="F67" s="7"/>
      <c r="J67" s="67"/>
      <c r="K67" s="67"/>
      <c r="L67" s="67"/>
      <c r="M67" s="67"/>
      <c r="N67" s="67"/>
      <c r="O67" s="67"/>
      <c r="P67" s="67"/>
    </row>
    <row r="68" spans="1:16" ht="12" customHeight="1">
      <c r="A68" s="1"/>
      <c r="F68" s="7"/>
      <c r="J68" s="67"/>
      <c r="K68" s="67"/>
      <c r="L68" s="67"/>
      <c r="M68" s="67"/>
      <c r="N68" s="67"/>
      <c r="O68" s="67"/>
      <c r="P68" s="67"/>
    </row>
    <row r="69" spans="1:16" ht="12" customHeight="1">
      <c r="A69" s="1"/>
      <c r="F69" s="7"/>
      <c r="J69" s="67"/>
      <c r="K69" s="67"/>
      <c r="L69" s="67"/>
      <c r="M69" s="67"/>
      <c r="N69" s="67"/>
      <c r="O69" s="67"/>
      <c r="P69" s="67"/>
    </row>
    <row r="70" spans="1:16" ht="12" customHeight="1">
      <c r="A70" s="1"/>
      <c r="F70" s="7"/>
      <c r="J70" s="67"/>
      <c r="K70" s="67"/>
      <c r="L70" s="67"/>
      <c r="M70" s="67"/>
      <c r="N70" s="67"/>
      <c r="O70" s="67"/>
      <c r="P70" s="67"/>
    </row>
    <row r="71" spans="1:16" ht="12" customHeight="1">
      <c r="A71" s="1"/>
      <c r="F71" s="7"/>
      <c r="J71" s="67"/>
      <c r="K71" s="67"/>
      <c r="L71" s="67"/>
      <c r="M71" s="67"/>
      <c r="N71" s="67"/>
      <c r="O71" s="67"/>
      <c r="P71" s="67"/>
    </row>
    <row r="72" spans="1:16" ht="12" customHeight="1">
      <c r="A72" s="1"/>
      <c r="F72" s="7"/>
      <c r="J72" s="67"/>
      <c r="K72" s="67"/>
      <c r="L72" s="67"/>
      <c r="M72" s="67"/>
      <c r="N72" s="67"/>
      <c r="O72" s="67"/>
      <c r="P72" s="67"/>
    </row>
    <row r="73" spans="1:16" ht="12" customHeight="1">
      <c r="A73" s="1"/>
      <c r="F73" s="7"/>
      <c r="J73" s="67"/>
      <c r="K73" s="67"/>
      <c r="L73" s="67"/>
      <c r="M73" s="67"/>
      <c r="N73" s="67"/>
      <c r="O73" s="67"/>
      <c r="P73" s="67"/>
    </row>
    <row r="74" spans="1:16" ht="12" customHeight="1">
      <c r="A74" s="1"/>
      <c r="F74" s="7"/>
      <c r="J74" s="67"/>
      <c r="K74" s="67"/>
      <c r="L74" s="67"/>
      <c r="M74" s="67"/>
      <c r="N74" s="67"/>
      <c r="O74" s="67"/>
      <c r="P74" s="67"/>
    </row>
    <row r="75" spans="1:16" ht="12" customHeight="1">
      <c r="A75" s="1"/>
      <c r="F75" s="7"/>
      <c r="J75" s="67"/>
      <c r="K75" s="67"/>
      <c r="L75" s="67"/>
      <c r="M75" s="67"/>
      <c r="N75" s="67"/>
      <c r="O75" s="67"/>
      <c r="P75" s="67"/>
    </row>
    <row r="76" spans="1:16" ht="12" customHeight="1">
      <c r="A76" s="1"/>
      <c r="F76" s="9" t="s">
        <v>1</v>
      </c>
    </row>
    <row r="77" spans="1:16" ht="12" customHeight="1">
      <c r="F77" s="7"/>
    </row>
    <row r="78" spans="1:16" ht="12" customHeight="1">
      <c r="F78" s="7"/>
    </row>
    <row r="79" spans="1:16" ht="12" customHeight="1">
      <c r="F79" s="18"/>
    </row>
    <row r="80" spans="1:16" ht="12" customHeight="1">
      <c r="F80" s="9" t="s">
        <v>4</v>
      </c>
    </row>
    <row r="81" spans="6:6" ht="12" customHeight="1">
      <c r="F81" s="7"/>
    </row>
    <row r="82" spans="6:6" ht="12" customHeight="1">
      <c r="F82" s="7"/>
    </row>
    <row r="83" spans="6:6" ht="12" customHeight="1">
      <c r="F83" s="18"/>
    </row>
    <row r="84" spans="6:6" ht="12" customHeight="1">
      <c r="F84" s="9" t="s">
        <v>2</v>
      </c>
    </row>
    <row r="85" spans="6:6" ht="12" customHeight="1">
      <c r="F85" s="7"/>
    </row>
    <row r="86" spans="6:6" ht="12" customHeight="1">
      <c r="F86" s="18"/>
    </row>
    <row r="87" spans="6:6" ht="12" customHeight="1"/>
    <row r="88" spans="6:6" ht="12" customHeight="1">
      <c r="F88" s="1" t="s">
        <v>3</v>
      </c>
    </row>
    <row r="89" spans="6:6" ht="12" customHeight="1"/>
    <row r="90" spans="6:6" ht="12" customHeight="1"/>
    <row r="91" spans="6:6" ht="12" customHeight="1"/>
    <row r="92" spans="6:6" ht="12" customHeight="1"/>
    <row r="93" spans="6:6" ht="12" customHeight="1"/>
    <row r="94" spans="6:6" ht="12" customHeight="1"/>
    <row r="95" spans="6:6" ht="12" customHeight="1"/>
    <row r="96" spans="6:6" ht="12" customHeight="1"/>
    <row r="97" ht="12" customHeight="1"/>
    <row r="98" ht="12" customHeight="1"/>
    <row r="99" ht="12" customHeight="1"/>
    <row r="100" ht="12" customHeight="1"/>
    <row r="101" ht="12" customHeight="1"/>
    <row r="102" ht="12" customHeight="1"/>
    <row r="103" ht="12" customHeight="1"/>
    <row r="104" ht="12" customHeight="1"/>
    <row r="105" ht="12" customHeight="1"/>
  </sheetData>
  <mergeCells count="2">
    <mergeCell ref="J3:K3"/>
    <mergeCell ref="L3:N3"/>
  </mergeCells>
  <phoneticPr fontId="7" type="noConversion"/>
  <hyperlinks>
    <hyperlink ref="B5" location="FH!A1" display="재무현황" xr:uid="{00000000-0004-0000-0600-000000000000}"/>
    <hyperlink ref="B7" location="FS!A1" display="요약재무상태표 (Selected Balance sheet)" xr:uid="{00000000-0004-0000-0600-000001000000}"/>
    <hyperlink ref="C15" location="Stability!A1" display="재무 안정성 (Financial Stability)" xr:uid="{00000000-0004-0000-0600-000002000000}"/>
    <hyperlink ref="C16" location="Productivity!A1" display="생산성 / 경영효율 (Productivity / Operating Efficiency)" xr:uid="{00000000-0004-0000-0600-000003000000}"/>
    <hyperlink ref="C20" location="'Premium Income by P.T.(GA+SA)'!A1" display="상품별 수입보험료 (Premium Income)" xr:uid="{00000000-0004-0000-0600-000004000000}"/>
    <hyperlink ref="C21" location="'Initial P. by P.T.'!A1" display="상품별 초회보험료 (Initial Premium)" xr:uid="{00000000-0004-0000-0600-000005000000}"/>
    <hyperlink ref="C22" location="'First-year P. by P.T.'!A1" display="상품별 초년도보험료 (First Year Premium)" xr:uid="{00000000-0004-0000-0600-000006000000}"/>
    <hyperlink ref="C26" location="'Premium Income by D.C.(GA+SA)'!A1" display="채널별 수입보험료 (Premium Income)" xr:uid="{00000000-0004-0000-0600-000007000000}"/>
    <hyperlink ref="C27" location="'First-year P. by D.C'!A1" display="채널별 초년도보험료 (First Year Premium)" xr:uid="{00000000-0004-0000-0600-000008000000}"/>
    <hyperlink ref="C31" location="'&gt;Loan'!A1" display="대출 (Loan)/ 자산건전성 (Asset Quality of Loan)" xr:uid="{00000000-0004-0000-0600-000009000000}"/>
    <hyperlink ref="C32" location="'&gt;Bond'!A1" display="채권 (Bond)" xr:uid="{00000000-0004-0000-0600-00000A000000}"/>
    <hyperlink ref="C35" location="'BS  K-IFRS'!A1" display="재무상태표 (Balance Sheet - KIFRS)" xr:uid="{00000000-0004-0000-0600-00000B000000}"/>
    <hyperlink ref="C36" location="'IS  K-IFRS'!A1" display="손익계산서 (Income Statement - KIFRS)" xr:uid="{00000000-0004-0000-0600-00000C000000}"/>
    <hyperlink ref="B8" location="FS!A1" display="요약손익계산서 (Selected Income Statement)" xr:uid="{00000000-0004-0000-0600-00000D000000}"/>
    <hyperlink ref="B10" location="CSM!A1" display="RA, CSM, BEL Movement" xr:uid="{00000000-0004-0000-0600-00000E000000}"/>
    <hyperlink ref="B11" location="CSM!A1" display="신계약 CSM (New Business CSM)" xr:uid="{00000000-0004-0000-0600-00000F000000}"/>
    <hyperlink ref="B13" location="'Sources of Margin'!A1" display="이원별손익" xr:uid="{00000000-0004-0000-0600-000010000000}"/>
    <hyperlink ref="B12" location="CSM!A1" display="신계약 CSM 배수 (New Business CSM Margin)" xr:uid="{00000000-0004-0000-0600-000011000000}"/>
    <hyperlink ref="C19" location="'APE by P.T'!A1" display="상품별 APE (Annualized Premium Equivalent (APE))" xr:uid="{00000000-0004-0000-0600-000012000000}"/>
    <hyperlink ref="C25" location="'APE by D.C'!A1" display="채널별 APE (Annualized Premium Equivalent (APE))" xr:uid="{00000000-0004-0000-0600-000013000000}"/>
  </hyperlinks>
  <pageMargins left="0.19685039370078741" right="0.19685039370078741" top="0.74803149606299213" bottom="0.74803149606299213" header="0.31496062992125984" footer="0.31496062992125984"/>
  <pageSetup paperSize="9" orientation="landscape" copies="2"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11</v>
      </c>
      <c r="G1" s="74" t="s">
        <v>145</v>
      </c>
      <c r="H1" s="75"/>
      <c r="I1" s="75"/>
    </row>
    <row r="2" spans="1:18" ht="12" customHeight="1">
      <c r="A2" s="133"/>
      <c r="B2" s="134"/>
      <c r="C2" s="134"/>
      <c r="F2" s="2" t="s">
        <v>12</v>
      </c>
      <c r="G2" s="92" t="s">
        <v>103</v>
      </c>
      <c r="H2" s="93"/>
      <c r="I2" s="93"/>
    </row>
    <row r="3" spans="1:18" ht="12" customHeight="1">
      <c r="A3" s="133" t="s">
        <v>27</v>
      </c>
      <c r="B3" s="134"/>
      <c r="C3" s="134"/>
      <c r="F3" s="55"/>
      <c r="G3" s="94"/>
      <c r="H3" s="94"/>
      <c r="I3" s="95"/>
      <c r="J3" s="814" t="s">
        <v>82</v>
      </c>
      <c r="K3" s="815"/>
      <c r="L3" s="816" t="s">
        <v>83</v>
      </c>
      <c r="M3" s="814"/>
      <c r="N3" s="815"/>
      <c r="O3" s="94"/>
      <c r="P3" s="94"/>
    </row>
    <row r="4" spans="1:18" ht="12" customHeight="1">
      <c r="A4" s="133"/>
      <c r="B4" s="134"/>
      <c r="C4" s="134"/>
      <c r="F4" s="8" t="s">
        <v>13</v>
      </c>
      <c r="G4" s="77" t="s">
        <v>81</v>
      </c>
      <c r="H4" s="96"/>
      <c r="I4" s="97"/>
      <c r="J4" s="771" t="s">
        <v>381</v>
      </c>
      <c r="K4" s="178" t="s">
        <v>382</v>
      </c>
      <c r="L4" s="771" t="s">
        <v>381</v>
      </c>
      <c r="M4" s="248" t="s">
        <v>382</v>
      </c>
      <c r="N4" s="254">
        <v>46112</v>
      </c>
      <c r="O4" s="251" t="s">
        <v>23</v>
      </c>
      <c r="P4" s="103" t="s">
        <v>24</v>
      </c>
    </row>
    <row r="5" spans="1:18" ht="12" customHeight="1">
      <c r="A5" s="143"/>
      <c r="B5" s="133" t="s">
        <v>155</v>
      </c>
      <c r="C5" s="133"/>
      <c r="F5" s="9" t="s">
        <v>14</v>
      </c>
      <c r="G5" s="98" t="s">
        <v>84</v>
      </c>
      <c r="H5" s="98"/>
      <c r="I5" s="98"/>
      <c r="J5" s="148">
        <f>SUM(J6,J10,J14)</f>
        <v>2422.9978843590015</v>
      </c>
      <c r="K5" s="777">
        <f>SUM(K6,K10,K14)</f>
        <v>1852.7689041619997</v>
      </c>
      <c r="L5" s="150">
        <f>SUM(L6,L10,L14)</f>
        <v>1303.2228736160007</v>
      </c>
      <c r="M5" s="151">
        <f>SUM(M6,M10,M14)</f>
        <v>940.32370425000033</v>
      </c>
      <c r="N5" s="151">
        <f>SUM(N6,N10,N14)</f>
        <v>1119.7750107430008</v>
      </c>
      <c r="O5" s="183">
        <f>IF(J5/K5&lt;0,"n.a.",IF(K5&gt;0,ROUND(J5,4)/ROUND(K5,4)-1,IF(K5&lt;0,"n.a.")))</f>
        <v>0.30777124983045634</v>
      </c>
      <c r="P5" s="183">
        <f>IF(L5/N5&lt;0,"n.a.",IF(N5&gt;0,ROUND(L5,4)/ROUND(N5,4)-1,IF(N5&lt;0,"n.a.")))</f>
        <v>0.16382567926592384</v>
      </c>
      <c r="Q5" s="1" ph="1"/>
    </row>
    <row r="6" spans="1:18" ht="12" customHeight="1">
      <c r="A6" s="143"/>
      <c r="B6" s="142"/>
      <c r="C6" s="134"/>
      <c r="F6" s="7"/>
      <c r="G6" s="99" t="s">
        <v>85</v>
      </c>
      <c r="H6" s="99"/>
      <c r="I6" s="99"/>
      <c r="J6" s="152">
        <f>SUM(J7:J9)</f>
        <v>1672.4268942070021</v>
      </c>
      <c r="K6" s="778">
        <f>SUM(K7:K9)</f>
        <v>1601.7945059439999</v>
      </c>
      <c r="L6" s="153">
        <f>SUM(L7:L9)</f>
        <v>840.00158445800093</v>
      </c>
      <c r="M6" s="154">
        <f>SUM(M7:M9)</f>
        <v>809.86168181400035</v>
      </c>
      <c r="N6" s="154">
        <f>SUM(N7:N9)</f>
        <v>832.42530974900103</v>
      </c>
      <c r="O6" s="184">
        <f t="shared" ref="O6:O27" si="0">IF(J6/K6&lt;0,"n.a.",IF(K6&gt;0,ROUND(J6,4)/ROUND(K6,4)-1,IF(K6&lt;0,"n.a.")))</f>
        <v>4.4095793811253614E-2</v>
      </c>
      <c r="P6" s="184">
        <f>IF(L6/N6&lt;0,"n.a.",IF(N6&gt;0,ROUND(L6,4)/ROUND(N6,4)-1,IF(N6&lt;0,"n.a.")))</f>
        <v>9.101477333762098E-3</v>
      </c>
    </row>
    <row r="7" spans="1:18" ht="12" customHeight="1">
      <c r="A7" s="143"/>
      <c r="B7" s="142" t="s">
        <v>212</v>
      </c>
      <c r="C7" s="134"/>
      <c r="F7" s="7"/>
      <c r="G7" s="100"/>
      <c r="H7" s="100" t="s">
        <v>86</v>
      </c>
      <c r="I7" s="100"/>
      <c r="J7" s="155">
        <v>767.80563842799972</v>
      </c>
      <c r="K7" s="779">
        <v>755.7208811319997</v>
      </c>
      <c r="L7" s="147">
        <v>385.43555082399985</v>
      </c>
      <c r="M7" s="157">
        <v>378.76416778600009</v>
      </c>
      <c r="N7" s="157">
        <v>382.37008760399982</v>
      </c>
      <c r="O7" s="185">
        <f t="shared" si="0"/>
        <v>1.5990956449662752E-2</v>
      </c>
      <c r="P7" s="185">
        <f t="shared" ref="P7:P27" si="1">IF(L7/N7&lt;0,"n.a.",IF(N7&gt;0,ROUND(L7,4)/ROUND(N7,4)-1,IF(N7&lt;0,"n.a.")))</f>
        <v>8.0171017556027735E-3</v>
      </c>
    </row>
    <row r="8" spans="1:18" ht="12" customHeight="1">
      <c r="A8" s="143"/>
      <c r="B8" s="142" t="s">
        <v>213</v>
      </c>
      <c r="C8" s="134"/>
      <c r="F8" s="7"/>
      <c r="G8" s="100"/>
      <c r="H8" s="100" t="s">
        <v>87</v>
      </c>
      <c r="I8" s="100"/>
      <c r="J8" s="155">
        <v>37.977042290999997</v>
      </c>
      <c r="K8" s="779">
        <v>41.702470246999994</v>
      </c>
      <c r="L8" s="147">
        <v>18.766877999999995</v>
      </c>
      <c r="M8" s="157">
        <v>20.660828455999997</v>
      </c>
      <c r="N8" s="157">
        <v>19.210164291000002</v>
      </c>
      <c r="O8" s="185">
        <f t="shared" si="0"/>
        <v>-8.9335171752293108E-2</v>
      </c>
      <c r="P8" s="185">
        <f t="shared" si="1"/>
        <v>-2.3076282391646163E-2</v>
      </c>
    </row>
    <row r="9" spans="1:18" ht="12" customHeight="1">
      <c r="A9" s="143"/>
      <c r="B9" s="142"/>
      <c r="C9" s="134"/>
      <c r="F9" s="7"/>
      <c r="G9" s="100"/>
      <c r="H9" s="100" t="s">
        <v>88</v>
      </c>
      <c r="I9" s="100"/>
      <c r="J9" s="155">
        <v>866.64421348800226</v>
      </c>
      <c r="K9" s="779">
        <v>804.37115456500021</v>
      </c>
      <c r="L9" s="147">
        <v>435.79915563400112</v>
      </c>
      <c r="M9" s="157">
        <v>410.43668557200021</v>
      </c>
      <c r="N9" s="157">
        <v>430.8450578540012</v>
      </c>
      <c r="O9" s="185">
        <f t="shared" si="0"/>
        <v>7.7418236754374092E-2</v>
      </c>
      <c r="P9" s="185">
        <f t="shared" si="1"/>
        <v>1.149856410111183E-2</v>
      </c>
    </row>
    <row r="10" spans="1:18" ht="12" customHeight="1">
      <c r="A10" s="133"/>
      <c r="B10" s="142" t="s">
        <v>171</v>
      </c>
      <c r="C10" s="134"/>
      <c r="F10" s="7"/>
      <c r="G10" s="101" t="s">
        <v>89</v>
      </c>
      <c r="H10" s="101"/>
      <c r="I10" s="101"/>
      <c r="J10" s="152">
        <f>SUM(J11:J13)</f>
        <v>635.9393354099999</v>
      </c>
      <c r="K10" s="778">
        <f>SUM(K11:K13)</f>
        <v>114.33652847700002</v>
      </c>
      <c r="L10" s="158">
        <f>SUM(L11:L13)</f>
        <v>404.94940018699987</v>
      </c>
      <c r="M10" s="159">
        <f>SUM(M11:M13)</f>
        <v>65.420962777000028</v>
      </c>
      <c r="N10" s="159">
        <f>SUM(N11:N13)</f>
        <v>230.98993522299997</v>
      </c>
      <c r="O10" s="186">
        <f t="shared" si="0"/>
        <v>4.5619972624664911</v>
      </c>
      <c r="P10" s="186">
        <f>IF(L10/N10&lt;0,"n.a.",IF(N10&gt;0,ROUND(L10,4)/ROUND(N10,4)-1,IF(N10&lt;0,"n.a.")))</f>
        <v>0.75310435651082597</v>
      </c>
    </row>
    <row r="11" spans="1:18" ht="12" customHeight="1">
      <c r="A11" s="133"/>
      <c r="B11" s="142" t="s">
        <v>166</v>
      </c>
      <c r="C11" s="134"/>
      <c r="F11" s="7"/>
      <c r="G11" s="100"/>
      <c r="H11" s="100" t="s">
        <v>90</v>
      </c>
      <c r="I11" s="100"/>
      <c r="J11" s="155">
        <v>0.64890326899999995</v>
      </c>
      <c r="K11" s="780">
        <v>0.69800452199999996</v>
      </c>
      <c r="L11" s="466">
        <v>0.31240078199999999</v>
      </c>
      <c r="M11" s="157">
        <v>0.39482719199999999</v>
      </c>
      <c r="N11" s="157">
        <v>0.33650248699999996</v>
      </c>
      <c r="O11" s="185">
        <f>IF(J11/K11&lt;0,"n.a.",IF(K11&gt;0,ROUND(J11,4)/ROUND(K11,4)-1,IF(K11&lt;0,"n.a.")))</f>
        <v>-7.0343839541547215E-2</v>
      </c>
      <c r="P11" s="185">
        <f t="shared" si="1"/>
        <v>-7.1619613670133808E-2</v>
      </c>
      <c r="R11" s="67"/>
    </row>
    <row r="12" spans="1:18" ht="12" customHeight="1">
      <c r="A12" s="133"/>
      <c r="B12" s="142" t="s">
        <v>219</v>
      </c>
      <c r="C12" s="134"/>
      <c r="F12" s="7"/>
      <c r="G12" s="100"/>
      <c r="H12" s="100" t="s">
        <v>91</v>
      </c>
      <c r="I12" s="100"/>
      <c r="J12" s="155">
        <v>630.61834127399993</v>
      </c>
      <c r="K12" s="779">
        <v>107.43376763700002</v>
      </c>
      <c r="L12" s="147">
        <v>402.3861974809999</v>
      </c>
      <c r="M12" s="157">
        <v>62.039884283000028</v>
      </c>
      <c r="N12" s="157">
        <v>228.23214379299998</v>
      </c>
      <c r="O12" s="185">
        <f>IF(J12/K12&lt;0,"n.a.",IF(K12&gt;0,ROUND(J12,4)/ROUND(K12,4)-1,IF(K12&lt;0,"n.a.")))</f>
        <v>4.8698314683088562</v>
      </c>
      <c r="P12" s="185">
        <f t="shared" si="1"/>
        <v>0.76305699329761234</v>
      </c>
      <c r="R12" s="67"/>
    </row>
    <row r="13" spans="1:18" ht="12" customHeight="1">
      <c r="A13" s="133"/>
      <c r="B13" s="142"/>
      <c r="C13" s="134"/>
      <c r="F13" s="7"/>
      <c r="G13" s="100"/>
      <c r="H13" s="100" t="s">
        <v>92</v>
      </c>
      <c r="I13" s="100"/>
      <c r="J13" s="155">
        <v>4.6720908669999988</v>
      </c>
      <c r="K13" s="779">
        <v>6.2047563180000003</v>
      </c>
      <c r="L13" s="147">
        <v>2.2508019240000001</v>
      </c>
      <c r="M13" s="157">
        <v>2.9862513020000003</v>
      </c>
      <c r="N13" s="157">
        <v>2.4212889429999995</v>
      </c>
      <c r="O13" s="185">
        <f t="shared" si="0"/>
        <v>-0.24701843733883433</v>
      </c>
      <c r="P13" s="185">
        <f t="shared" si="1"/>
        <v>-7.0416718291826719E-2</v>
      </c>
      <c r="R13" s="67"/>
    </row>
    <row r="14" spans="1:18" ht="12" customHeight="1">
      <c r="A14" s="133"/>
      <c r="B14" s="133" t="s">
        <v>173</v>
      </c>
      <c r="C14" s="134"/>
      <c r="F14" s="7"/>
      <c r="G14" s="101" t="s">
        <v>93</v>
      </c>
      <c r="H14" s="101"/>
      <c r="I14" s="101"/>
      <c r="J14" s="152">
        <f>SUM(J15:J17)</f>
        <v>114.63165474199991</v>
      </c>
      <c r="K14" s="778">
        <f>SUM(K15:K17)</f>
        <v>136.63786974099989</v>
      </c>
      <c r="L14" s="158">
        <f>SUM(L15:L17)</f>
        <v>58.27188897099996</v>
      </c>
      <c r="M14" s="159">
        <f>SUM(M15:M17)</f>
        <v>65.041059658999956</v>
      </c>
      <c r="N14" s="159">
        <f>SUM(N15:N17)</f>
        <v>56.35976577099995</v>
      </c>
      <c r="O14" s="186">
        <f t="shared" si="0"/>
        <v>-0.16105487569700649</v>
      </c>
      <c r="P14" s="186">
        <f t="shared" si="1"/>
        <v>3.3926664040681453E-2</v>
      </c>
      <c r="R14" s="67"/>
    </row>
    <row r="15" spans="1:18" ht="12" customHeight="1">
      <c r="A15" s="133"/>
      <c r="B15" s="135"/>
      <c r="C15" s="142" t="s">
        <v>40</v>
      </c>
      <c r="F15" s="7"/>
      <c r="G15" s="100"/>
      <c r="H15" s="100" t="s">
        <v>90</v>
      </c>
      <c r="I15" s="100"/>
      <c r="J15" s="155">
        <v>5.8779319770000003</v>
      </c>
      <c r="K15" s="779">
        <v>6.741545672</v>
      </c>
      <c r="L15" s="147">
        <v>2.8891840470000001</v>
      </c>
      <c r="M15" s="157">
        <v>3.3210674210000004</v>
      </c>
      <c r="N15" s="157">
        <v>2.9887479299999997</v>
      </c>
      <c r="O15" s="185">
        <f t="shared" si="0"/>
        <v>-0.12810205443892309</v>
      </c>
      <c r="P15" s="185">
        <f t="shared" si="1"/>
        <v>-3.3292066784889718E-2</v>
      </c>
      <c r="R15" s="67"/>
    </row>
    <row r="16" spans="1:18" ht="12" customHeight="1">
      <c r="A16" s="133"/>
      <c r="B16" s="133"/>
      <c r="C16" s="142" t="s">
        <v>41</v>
      </c>
      <c r="F16" s="7"/>
      <c r="G16" s="100"/>
      <c r="H16" s="100" t="s">
        <v>91</v>
      </c>
      <c r="I16" s="100"/>
      <c r="J16" s="155">
        <v>95.064418029999914</v>
      </c>
      <c r="K16" s="779">
        <v>124.62336453899988</v>
      </c>
      <c r="L16" s="147">
        <v>45.375017835999962</v>
      </c>
      <c r="M16" s="157">
        <v>59.374271779999951</v>
      </c>
      <c r="N16" s="157">
        <v>49.689400193999951</v>
      </c>
      <c r="O16" s="185">
        <f t="shared" si="0"/>
        <v>-0.23718659577575318</v>
      </c>
      <c r="P16" s="185">
        <f t="shared" si="1"/>
        <v>-8.6827371632581585E-2</v>
      </c>
      <c r="R16" s="67"/>
    </row>
    <row r="17" spans="1:18" ht="12" customHeight="1">
      <c r="A17" s="133"/>
      <c r="B17" s="133"/>
      <c r="C17" s="142"/>
      <c r="F17" s="7"/>
      <c r="G17" s="100"/>
      <c r="H17" s="100" t="s">
        <v>94</v>
      </c>
      <c r="I17" s="100"/>
      <c r="J17" s="155">
        <v>13.689304734999997</v>
      </c>
      <c r="K17" s="779">
        <v>5.2729595300000014</v>
      </c>
      <c r="L17" s="147">
        <v>10.007687087999997</v>
      </c>
      <c r="M17" s="157">
        <v>2.3457204580000006</v>
      </c>
      <c r="N17" s="157">
        <v>3.681617646999999</v>
      </c>
      <c r="O17" s="185">
        <f t="shared" si="0"/>
        <v>1.5961122700549972</v>
      </c>
      <c r="P17" s="185">
        <f t="shared" si="1"/>
        <v>1.7183018252933508</v>
      </c>
      <c r="R17" s="67"/>
    </row>
    <row r="18" spans="1:18" ht="12" customHeight="1">
      <c r="A18" s="133"/>
      <c r="B18" s="133" t="s">
        <v>176</v>
      </c>
      <c r="C18" s="142"/>
      <c r="F18" s="9" t="s">
        <v>15</v>
      </c>
      <c r="G18" s="98" t="s">
        <v>95</v>
      </c>
      <c r="H18" s="98"/>
      <c r="I18" s="98"/>
      <c r="J18" s="148">
        <f>SUM(J19:J20)</f>
        <v>0.121185706</v>
      </c>
      <c r="K18" s="777">
        <f>SUM(K19:K20)</f>
        <v>0.17078142499999996</v>
      </c>
      <c r="L18" s="150">
        <f>SUM(L19:L20)</f>
        <v>5.9519668000000005E-2</v>
      </c>
      <c r="M18" s="151">
        <f>SUM(M19:M20)</f>
        <v>8.1796295999999991E-2</v>
      </c>
      <c r="N18" s="151">
        <f>SUM(N19:N20)</f>
        <v>6.1666038000000006E-2</v>
      </c>
      <c r="O18" s="183">
        <f>IF(J18/K18&lt;0,"n.a.",IF(K18&gt;0,ROUND(J18,4)/ROUND(K18,4)-1,IF(K18&lt;0,"n.a.")))</f>
        <v>-0.29039812646370022</v>
      </c>
      <c r="P18" s="183">
        <f t="shared" si="1"/>
        <v>-3.5656401944894611E-2</v>
      </c>
    </row>
    <row r="19" spans="1:18" ht="12" customHeight="1">
      <c r="A19" s="133"/>
      <c r="B19" s="133"/>
      <c r="C19" s="142" t="s">
        <v>33</v>
      </c>
      <c r="F19" s="7"/>
      <c r="G19" s="100" t="s">
        <v>96</v>
      </c>
      <c r="H19" s="100"/>
      <c r="I19" s="100"/>
      <c r="J19" s="155">
        <v>0.11203590400000001</v>
      </c>
      <c r="K19" s="779">
        <v>0.16056862699999996</v>
      </c>
      <c r="L19" s="147">
        <v>5.4980407000000002E-2</v>
      </c>
      <c r="M19" s="157">
        <v>7.6853592999999984E-2</v>
      </c>
      <c r="N19" s="157">
        <v>5.7055497000000004E-2</v>
      </c>
      <c r="O19" s="185">
        <f t="shared" si="0"/>
        <v>-0.30261519302615192</v>
      </c>
      <c r="P19" s="185">
        <f t="shared" si="1"/>
        <v>-3.677758318739055E-2</v>
      </c>
    </row>
    <row r="20" spans="1:18" ht="12" customHeight="1">
      <c r="A20" s="133"/>
      <c r="B20" s="133"/>
      <c r="C20" s="142" t="s">
        <v>29</v>
      </c>
      <c r="F20" s="7"/>
      <c r="G20" s="102" t="s">
        <v>97</v>
      </c>
      <c r="H20" s="102"/>
      <c r="I20" s="102"/>
      <c r="J20" s="160">
        <v>9.1498020000000003E-3</v>
      </c>
      <c r="K20" s="781">
        <v>1.0212797999999999E-2</v>
      </c>
      <c r="L20" s="161">
        <v>4.5392610000000002E-3</v>
      </c>
      <c r="M20" s="162">
        <v>4.9427029999999997E-3</v>
      </c>
      <c r="N20" s="162">
        <v>4.6105410000000001E-3</v>
      </c>
      <c r="O20" s="187">
        <f t="shared" si="0"/>
        <v>-0.10784313725490202</v>
      </c>
      <c r="P20" s="187">
        <f t="shared" si="1"/>
        <v>-2.1739130434782705E-2</v>
      </c>
    </row>
    <row r="21" spans="1:18" ht="12" customHeight="1">
      <c r="A21" s="133"/>
      <c r="B21" s="133"/>
      <c r="C21" s="142" t="s">
        <v>30</v>
      </c>
      <c r="F21" s="18"/>
      <c r="G21" s="98" t="s">
        <v>98</v>
      </c>
      <c r="H21" s="98"/>
      <c r="I21" s="98"/>
      <c r="J21" s="148">
        <f>SUM(J22:J24)</f>
        <v>2423.1190700650018</v>
      </c>
      <c r="K21" s="149">
        <f>SUM(K22:K24)</f>
        <v>1852.9396855869998</v>
      </c>
      <c r="L21" s="150">
        <f>SUM(L22:L24)</f>
        <v>1303.2823932840008</v>
      </c>
      <c r="M21" s="151">
        <f>SUM(M22:M24)</f>
        <v>940.40550054600033</v>
      </c>
      <c r="N21" s="151">
        <f>SUM(N22:N24)</f>
        <v>1119.8366767810007</v>
      </c>
      <c r="O21" s="183">
        <f>IF(J21/K21&lt;0,"n.a.",IF(K21&gt;0,ROUND(J21,4)/ROUND(K21,4)-1,IF(K21&lt;0,"n.a.")))</f>
        <v>0.30771611186267966</v>
      </c>
      <c r="P21" s="183">
        <f t="shared" si="1"/>
        <v>0.16381468833804069</v>
      </c>
    </row>
    <row r="22" spans="1:18" ht="12" customHeight="1">
      <c r="A22" s="133"/>
      <c r="B22" s="133"/>
      <c r="C22" s="142" t="s">
        <v>31</v>
      </c>
      <c r="F22" s="9" t="s">
        <v>16</v>
      </c>
      <c r="G22" s="179" t="s">
        <v>85</v>
      </c>
      <c r="H22" s="100"/>
      <c r="I22" s="100"/>
      <c r="J22" s="155">
        <f>SUM(J6,J19)</f>
        <v>1672.5389301110022</v>
      </c>
      <c r="K22" s="782">
        <f>SUM(K6,K19)</f>
        <v>1601.9550745709998</v>
      </c>
      <c r="L22" s="147">
        <f>SUM(L6,L19)</f>
        <v>840.05656486500095</v>
      </c>
      <c r="M22" s="157">
        <f>SUM(M6,M19)</f>
        <v>809.93853540700036</v>
      </c>
      <c r="N22" s="157">
        <f>SUM(N6,N19)</f>
        <v>832.482365246001</v>
      </c>
      <c r="O22" s="185">
        <f t="shared" si="0"/>
        <v>4.4061035168838414E-2</v>
      </c>
      <c r="P22" s="185">
        <f t="shared" si="1"/>
        <v>9.0983304872271908E-3</v>
      </c>
    </row>
    <row r="23" spans="1:18" ht="12" customHeight="1">
      <c r="A23" s="133"/>
      <c r="B23" s="133"/>
      <c r="C23" s="142"/>
      <c r="F23" s="7"/>
      <c r="G23" s="100" t="s">
        <v>99</v>
      </c>
      <c r="H23" s="100"/>
      <c r="I23" s="100"/>
      <c r="J23" s="155">
        <f>J10</f>
        <v>635.9393354099999</v>
      </c>
      <c r="K23" s="156">
        <f>K10</f>
        <v>114.33652847700002</v>
      </c>
      <c r="L23" s="147">
        <f>L10</f>
        <v>404.94940018699987</v>
      </c>
      <c r="M23" s="157">
        <f>M10</f>
        <v>65.420962777000028</v>
      </c>
      <c r="N23" s="157">
        <f>N10</f>
        <v>230.98993522299997</v>
      </c>
      <c r="O23" s="185">
        <f t="shared" si="0"/>
        <v>4.5619972624664911</v>
      </c>
      <c r="P23" s="185">
        <f>IF(L23/N23&lt;0,"n.a.",IF(N23&gt;0,ROUND(L23,4)/ROUND(N23,4)-1,IF(N23&lt;0,"n.a.")))</f>
        <v>0.75310435651082597</v>
      </c>
    </row>
    <row r="24" spans="1:18" ht="12" customHeight="1">
      <c r="A24" s="133"/>
      <c r="B24" s="133" t="s">
        <v>181</v>
      </c>
      <c r="C24" s="142"/>
      <c r="F24" s="7"/>
      <c r="G24" s="102" t="s">
        <v>93</v>
      </c>
      <c r="H24" s="102"/>
      <c r="I24" s="102"/>
      <c r="J24" s="160">
        <f>SUM(J14,J20)</f>
        <v>114.64080454399991</v>
      </c>
      <c r="K24" s="783">
        <f>SUM(K14,K20)</f>
        <v>136.64808253899989</v>
      </c>
      <c r="L24" s="161">
        <f>SUM(L14,L20)</f>
        <v>58.276428231999958</v>
      </c>
      <c r="M24" s="162">
        <f>SUM(M14,M20)</f>
        <v>65.046002361999953</v>
      </c>
      <c r="N24" s="162">
        <f>SUM(N14,N20)</f>
        <v>56.364376311999948</v>
      </c>
      <c r="O24" s="187">
        <f t="shared" si="0"/>
        <v>-0.1610509037447283</v>
      </c>
      <c r="P24" s="187">
        <f t="shared" si="1"/>
        <v>3.3922121055134147E-2</v>
      </c>
    </row>
    <row r="25" spans="1:18" ht="12" customHeight="1">
      <c r="A25" s="133"/>
      <c r="B25" s="133"/>
      <c r="C25" s="142" t="s">
        <v>32</v>
      </c>
      <c r="F25" s="18"/>
      <c r="G25" s="98" t="s">
        <v>100</v>
      </c>
      <c r="H25" s="98"/>
      <c r="I25" s="98"/>
      <c r="J25" s="148">
        <f>SUM(J26:J27)</f>
        <v>1175.1366514150002</v>
      </c>
      <c r="K25" s="777">
        <f>SUM(K26:K27)</f>
        <v>207.36649203000002</v>
      </c>
      <c r="L25" s="163">
        <f>SUM(L26:L27)</f>
        <v>1057.9308359200002</v>
      </c>
      <c r="M25" s="151">
        <f>SUM(M26:M27)</f>
        <v>125.90165004399999</v>
      </c>
      <c r="N25" s="151">
        <f>SUM(N26:N27)</f>
        <v>117.205815495</v>
      </c>
      <c r="O25" s="467">
        <f t="shared" si="0"/>
        <v>4.6669553664646894</v>
      </c>
      <c r="P25" s="183">
        <f t="shared" si="1"/>
        <v>8.0262666182049021</v>
      </c>
    </row>
    <row r="26" spans="1:18" ht="12" customHeight="1">
      <c r="A26" s="133"/>
      <c r="B26" s="133"/>
      <c r="C26" s="142" t="s">
        <v>34</v>
      </c>
      <c r="F26" s="9" t="s">
        <v>17</v>
      </c>
      <c r="G26" s="100" t="s">
        <v>101</v>
      </c>
      <c r="H26" s="100"/>
      <c r="I26" s="100"/>
      <c r="J26" s="155">
        <v>0</v>
      </c>
      <c r="K26" s="779">
        <v>0</v>
      </c>
      <c r="L26" s="147">
        <v>0</v>
      </c>
      <c r="M26" s="157">
        <v>0</v>
      </c>
      <c r="N26" s="157">
        <v>0</v>
      </c>
      <c r="O26" s="185"/>
      <c r="P26" s="185"/>
    </row>
    <row r="27" spans="1:18" ht="12" customHeight="1">
      <c r="A27" s="133"/>
      <c r="B27" s="133"/>
      <c r="C27" s="142" t="s">
        <v>35</v>
      </c>
      <c r="F27" s="7"/>
      <c r="G27" s="102" t="s">
        <v>102</v>
      </c>
      <c r="H27" s="102"/>
      <c r="I27" s="102"/>
      <c r="J27" s="160">
        <v>1175.1366514150002</v>
      </c>
      <c r="K27" s="781">
        <v>207.36649203000002</v>
      </c>
      <c r="L27" s="161">
        <v>1057.9308359200002</v>
      </c>
      <c r="M27" s="162">
        <v>125.90165004399999</v>
      </c>
      <c r="N27" s="162">
        <v>117.205815495</v>
      </c>
      <c r="O27" s="187">
        <f t="shared" si="0"/>
        <v>4.6669553664646894</v>
      </c>
      <c r="P27" s="187">
        <f t="shared" si="1"/>
        <v>8.0262666182049021</v>
      </c>
    </row>
    <row r="28" spans="1:18" ht="12" customHeight="1">
      <c r="A28" s="133"/>
      <c r="B28" s="133"/>
      <c r="C28" s="142"/>
      <c r="F28" s="18"/>
      <c r="J28" s="67"/>
      <c r="K28" s="67"/>
      <c r="L28" s="67"/>
      <c r="M28" s="67"/>
      <c r="N28" s="67"/>
      <c r="O28" s="67"/>
      <c r="P28" s="67"/>
    </row>
    <row r="29" spans="1:18" ht="12" customHeight="1">
      <c r="A29" s="133"/>
      <c r="B29" s="133"/>
      <c r="C29" s="142"/>
      <c r="F29" s="7"/>
      <c r="J29" s="67"/>
      <c r="K29" s="67"/>
      <c r="L29" s="67"/>
      <c r="N29" s="67"/>
    </row>
    <row r="30" spans="1:18" s="3" customFormat="1" ht="12" customHeight="1">
      <c r="A30" s="133"/>
      <c r="B30" s="133" t="s">
        <v>185</v>
      </c>
      <c r="C30" s="142"/>
      <c r="D30" s="1"/>
      <c r="E30" s="1"/>
      <c r="F30" s="7"/>
      <c r="G30" s="1"/>
      <c r="H30" s="1"/>
      <c r="I30" s="222"/>
      <c r="J30" s="67"/>
      <c r="K30" s="67"/>
      <c r="L30" s="182"/>
      <c r="M30" s="67"/>
      <c r="N30" s="67"/>
      <c r="O30" s="67"/>
      <c r="P30" s="67"/>
    </row>
    <row r="31" spans="1:18" ht="12" customHeight="1">
      <c r="A31" s="133"/>
      <c r="B31" s="133"/>
      <c r="C31" s="142" t="s">
        <v>147</v>
      </c>
      <c r="F31" s="4" t="s">
        <v>18</v>
      </c>
      <c r="I31" s="222"/>
      <c r="J31" s="67"/>
      <c r="K31" s="67"/>
      <c r="L31" s="182"/>
    </row>
    <row r="32" spans="1:18" ht="12" customHeight="1">
      <c r="A32" s="133"/>
      <c r="B32" s="133"/>
      <c r="C32" s="142" t="s">
        <v>36</v>
      </c>
      <c r="F32" s="2" t="s">
        <v>19</v>
      </c>
      <c r="I32" s="222"/>
      <c r="J32" s="67"/>
      <c r="K32" s="67"/>
      <c r="L32" s="182"/>
      <c r="M32" s="67"/>
      <c r="N32" s="67"/>
      <c r="O32" s="67"/>
      <c r="P32" s="67"/>
    </row>
    <row r="33" spans="1:15" ht="12" customHeight="1">
      <c r="A33" s="133"/>
      <c r="B33" s="133"/>
      <c r="C33" s="142"/>
      <c r="F33" s="55"/>
      <c r="L33" s="182"/>
    </row>
    <row r="34" spans="1:15" ht="12" customHeight="1">
      <c r="A34" s="133"/>
      <c r="B34" s="133" t="s">
        <v>188</v>
      </c>
      <c r="C34" s="142"/>
      <c r="F34" s="8" t="s">
        <v>13</v>
      </c>
      <c r="L34" s="182"/>
    </row>
    <row r="35" spans="1:15" ht="12" customHeight="1">
      <c r="A35" s="133"/>
      <c r="B35" s="133"/>
      <c r="C35" s="142" t="s">
        <v>37</v>
      </c>
      <c r="F35" s="9" t="s">
        <v>14</v>
      </c>
      <c r="J35" s="67"/>
      <c r="K35" s="67"/>
      <c r="L35" s="182"/>
      <c r="N35" s="67"/>
      <c r="O35" s="182"/>
    </row>
    <row r="36" spans="1:15" ht="12" customHeight="1">
      <c r="A36" s="133"/>
      <c r="B36" s="133"/>
      <c r="C36" s="142" t="s">
        <v>38</v>
      </c>
      <c r="F36" s="7"/>
      <c r="J36" s="67"/>
      <c r="K36" s="67"/>
    </row>
    <row r="37" spans="1:15" ht="12" customHeight="1">
      <c r="A37" s="25"/>
      <c r="F37" s="7"/>
    </row>
    <row r="38" spans="1:15" ht="12" customHeight="1">
      <c r="A38" s="25"/>
      <c r="F38" s="7"/>
    </row>
    <row r="39" spans="1:15" ht="12" customHeight="1">
      <c r="A39" s="25"/>
      <c r="F39" s="7"/>
    </row>
    <row r="40" spans="1:15" ht="12" customHeight="1">
      <c r="A40" s="25"/>
      <c r="F40" s="7"/>
    </row>
    <row r="41" spans="1:15" ht="12" customHeight="1">
      <c r="A41" s="25"/>
      <c r="F41" s="7"/>
    </row>
    <row r="42" spans="1:15" ht="12" customHeight="1">
      <c r="A42" s="25"/>
      <c r="F42" s="7"/>
    </row>
    <row r="43" spans="1:15" ht="12" customHeight="1">
      <c r="A43" s="25"/>
      <c r="F43" s="7"/>
    </row>
    <row r="44" spans="1:15" ht="12" customHeight="1">
      <c r="A44" s="25"/>
      <c r="F44" s="7"/>
    </row>
    <row r="45" spans="1:15" ht="12" customHeight="1">
      <c r="A45" s="25"/>
      <c r="F45" s="7"/>
    </row>
    <row r="46" spans="1:15" ht="12" customHeight="1">
      <c r="A46" s="25"/>
      <c r="F46" s="7"/>
    </row>
    <row r="47" spans="1:15" ht="12" customHeight="1">
      <c r="A47" s="25"/>
      <c r="F47" s="7"/>
    </row>
    <row r="48" spans="1:15" ht="12" customHeight="1">
      <c r="A48" s="25"/>
      <c r="F48" s="9" t="s">
        <v>15</v>
      </c>
    </row>
    <row r="49" spans="1:16" ht="12" customHeight="1">
      <c r="F49" s="7"/>
    </row>
    <row r="50" spans="1:16" ht="12" customHeight="1">
      <c r="F50" s="7"/>
    </row>
    <row r="51" spans="1:16" ht="12" customHeight="1">
      <c r="F51" s="18"/>
    </row>
    <row r="52" spans="1:16" ht="12" customHeight="1">
      <c r="F52" s="9" t="s">
        <v>16</v>
      </c>
    </row>
    <row r="53" spans="1:16" ht="12" customHeight="1">
      <c r="F53" s="7"/>
      <c r="J53" s="63"/>
      <c r="K53" s="63"/>
      <c r="L53" s="63"/>
      <c r="M53" s="63"/>
      <c r="N53" s="63"/>
      <c r="O53" s="63"/>
      <c r="P53" s="63"/>
    </row>
    <row r="54" spans="1:16" ht="12" customHeight="1">
      <c r="F54" s="7"/>
      <c r="J54" s="63"/>
      <c r="K54" s="63"/>
      <c r="L54" s="63"/>
      <c r="M54" s="63"/>
      <c r="N54" s="63"/>
      <c r="O54" s="63"/>
      <c r="P54" s="63"/>
    </row>
    <row r="55" spans="1:16" ht="12" customHeight="1">
      <c r="F55" s="18"/>
      <c r="J55" s="63"/>
      <c r="K55" s="63"/>
      <c r="L55" s="63"/>
      <c r="M55" s="63"/>
      <c r="N55" s="63"/>
      <c r="O55" s="63"/>
      <c r="P55" s="63"/>
    </row>
    <row r="56" spans="1:16" ht="12" customHeight="1">
      <c r="F56" s="9" t="s">
        <v>17</v>
      </c>
      <c r="J56" s="63"/>
      <c r="K56" s="63"/>
      <c r="L56" s="63"/>
      <c r="M56" s="63"/>
      <c r="N56" s="63"/>
      <c r="O56" s="63"/>
      <c r="P56" s="63"/>
    </row>
    <row r="57" spans="1:16" ht="12" customHeight="1">
      <c r="F57" s="7"/>
      <c r="J57" s="63"/>
      <c r="K57" s="63"/>
      <c r="L57" s="63"/>
      <c r="M57" s="63"/>
      <c r="N57" s="63"/>
      <c r="O57" s="63"/>
      <c r="P57" s="63"/>
    </row>
    <row r="58" spans="1:16" ht="12" customHeight="1">
      <c r="F58" s="18"/>
      <c r="J58" s="63"/>
      <c r="K58" s="63"/>
      <c r="L58" s="63"/>
      <c r="M58" s="63"/>
      <c r="N58" s="63"/>
      <c r="O58" s="63"/>
      <c r="P58" s="63"/>
    </row>
    <row r="59" spans="1:16" ht="12" customHeight="1">
      <c r="J59" s="63"/>
      <c r="K59" s="63"/>
      <c r="L59" s="63"/>
      <c r="M59" s="63"/>
      <c r="N59" s="63"/>
      <c r="O59" s="63"/>
      <c r="P59" s="63"/>
    </row>
    <row r="60" spans="1:16" ht="12" customHeight="1">
      <c r="F60" s="2" t="s">
        <v>20</v>
      </c>
      <c r="J60" s="63"/>
      <c r="K60" s="63"/>
      <c r="L60" s="63"/>
      <c r="M60" s="63"/>
      <c r="N60" s="63"/>
      <c r="O60" s="63"/>
      <c r="P60" s="63"/>
    </row>
    <row r="61" spans="1:16" ht="12" customHeight="1">
      <c r="F61" s="55"/>
      <c r="J61" s="63"/>
      <c r="K61" s="63"/>
      <c r="L61" s="63"/>
      <c r="M61" s="63"/>
      <c r="N61" s="63"/>
      <c r="O61" s="63"/>
      <c r="P61" s="63"/>
    </row>
    <row r="62" spans="1:16" ht="12" customHeight="1">
      <c r="F62" s="8" t="s">
        <v>13</v>
      </c>
      <c r="J62" s="63"/>
      <c r="K62" s="63"/>
      <c r="L62" s="63"/>
      <c r="M62" s="63"/>
      <c r="N62" s="63"/>
      <c r="O62" s="63"/>
      <c r="P62" s="63"/>
    </row>
    <row r="63" spans="1:16" ht="12" customHeight="1">
      <c r="F63" s="9" t="s">
        <v>14</v>
      </c>
      <c r="J63" s="63"/>
      <c r="K63" s="63"/>
      <c r="L63" s="63"/>
      <c r="M63" s="63"/>
      <c r="N63" s="63"/>
      <c r="O63" s="63"/>
      <c r="P63" s="63"/>
    </row>
    <row r="64" spans="1:16" ht="12" customHeight="1">
      <c r="A64" s="1"/>
      <c r="F64" s="7"/>
      <c r="J64" s="63"/>
      <c r="K64" s="63"/>
      <c r="L64" s="63"/>
      <c r="M64" s="63"/>
      <c r="N64" s="63"/>
      <c r="O64" s="63"/>
      <c r="P64" s="63"/>
    </row>
    <row r="65" spans="1:16" ht="12" customHeight="1">
      <c r="A65" s="1"/>
      <c r="F65" s="7"/>
      <c r="J65" s="63"/>
      <c r="K65" s="63"/>
      <c r="L65" s="63"/>
      <c r="M65" s="63"/>
      <c r="N65" s="63"/>
      <c r="O65" s="63"/>
      <c r="P65" s="63"/>
    </row>
    <row r="66" spans="1:16" ht="12" customHeight="1">
      <c r="A66" s="1"/>
      <c r="F66" s="7"/>
      <c r="J66" s="63"/>
      <c r="K66" s="63"/>
      <c r="L66" s="63"/>
      <c r="M66" s="63"/>
      <c r="N66" s="63"/>
      <c r="O66" s="63"/>
      <c r="P66" s="63"/>
    </row>
    <row r="67" spans="1:16" ht="12" customHeight="1">
      <c r="A67" s="1"/>
      <c r="F67" s="7"/>
      <c r="J67" s="63"/>
      <c r="K67" s="63"/>
      <c r="L67" s="63"/>
      <c r="M67" s="63"/>
      <c r="N67" s="63"/>
      <c r="O67" s="63"/>
      <c r="P67" s="63"/>
    </row>
    <row r="68" spans="1:16" ht="12" customHeight="1">
      <c r="A68" s="1"/>
      <c r="F68" s="7"/>
      <c r="J68" s="63"/>
      <c r="K68" s="63"/>
      <c r="L68" s="63"/>
      <c r="M68" s="63"/>
      <c r="N68" s="63"/>
      <c r="O68" s="63"/>
      <c r="P68" s="63"/>
    </row>
    <row r="69" spans="1:16" ht="12" customHeight="1">
      <c r="A69" s="1"/>
      <c r="F69" s="7"/>
      <c r="J69" s="63"/>
      <c r="K69" s="63"/>
      <c r="L69" s="63"/>
      <c r="M69" s="63"/>
      <c r="N69" s="63"/>
      <c r="O69" s="63"/>
      <c r="P69" s="63"/>
    </row>
    <row r="70" spans="1:16" ht="12" customHeight="1">
      <c r="A70" s="1"/>
      <c r="F70" s="7"/>
      <c r="J70" s="63"/>
      <c r="K70" s="63"/>
      <c r="L70" s="63"/>
      <c r="M70" s="63"/>
      <c r="N70" s="63"/>
      <c r="O70" s="63"/>
      <c r="P70" s="63"/>
    </row>
    <row r="71" spans="1:16" ht="12" customHeight="1">
      <c r="A71" s="1"/>
      <c r="F71" s="7"/>
      <c r="J71" s="63"/>
      <c r="K71" s="63"/>
      <c r="L71" s="63"/>
      <c r="M71" s="63"/>
      <c r="N71" s="63"/>
      <c r="O71" s="63"/>
      <c r="P71" s="63"/>
    </row>
    <row r="72" spans="1:16" ht="12" customHeight="1">
      <c r="A72" s="1"/>
      <c r="F72" s="7"/>
      <c r="J72" s="63"/>
      <c r="K72" s="63"/>
      <c r="L72" s="63"/>
      <c r="M72" s="63"/>
      <c r="N72" s="63"/>
      <c r="O72" s="63"/>
      <c r="P72" s="63"/>
    </row>
    <row r="73" spans="1:16" ht="12" customHeight="1">
      <c r="A73" s="1"/>
      <c r="F73" s="7"/>
      <c r="J73" s="63"/>
      <c r="K73" s="63"/>
      <c r="L73" s="63"/>
      <c r="M73" s="63"/>
      <c r="N73" s="63"/>
      <c r="O73" s="63"/>
      <c r="P73" s="63"/>
    </row>
    <row r="74" spans="1:16" ht="12" customHeight="1">
      <c r="A74" s="1"/>
      <c r="F74" s="7"/>
      <c r="J74" s="63"/>
      <c r="K74" s="63"/>
      <c r="L74" s="63"/>
      <c r="M74" s="63"/>
      <c r="N74" s="63"/>
      <c r="O74" s="63"/>
      <c r="P74" s="63"/>
    </row>
    <row r="75" spans="1:16" ht="12" customHeight="1">
      <c r="A75" s="1"/>
      <c r="F75" s="7"/>
      <c r="J75" s="63"/>
      <c r="K75" s="63"/>
      <c r="L75" s="63"/>
      <c r="M75" s="63"/>
      <c r="N75" s="63"/>
      <c r="O75" s="63"/>
      <c r="P75" s="63"/>
    </row>
    <row r="76" spans="1:16" ht="12" customHeight="1">
      <c r="A76" s="1"/>
      <c r="F76" s="9" t="s">
        <v>15</v>
      </c>
      <c r="J76" s="63"/>
      <c r="K76" s="63"/>
      <c r="L76" s="63"/>
      <c r="M76" s="63"/>
      <c r="N76" s="63"/>
      <c r="O76" s="63"/>
      <c r="P76" s="63"/>
    </row>
    <row r="77" spans="1:16" ht="12" customHeight="1">
      <c r="F77" s="7"/>
      <c r="J77" s="63"/>
      <c r="K77" s="63"/>
      <c r="L77" s="63"/>
      <c r="M77" s="63"/>
      <c r="N77" s="63"/>
      <c r="O77" s="63"/>
      <c r="P77" s="63"/>
    </row>
    <row r="78" spans="1:16" ht="12" customHeight="1">
      <c r="F78" s="7"/>
      <c r="J78" s="63"/>
      <c r="K78" s="63"/>
      <c r="L78" s="63"/>
      <c r="M78" s="63"/>
      <c r="N78" s="63"/>
      <c r="O78" s="63"/>
      <c r="P78" s="63"/>
    </row>
    <row r="79" spans="1:16" ht="12" customHeight="1">
      <c r="F79" s="18"/>
      <c r="J79" s="63"/>
      <c r="K79" s="63"/>
      <c r="L79" s="63"/>
      <c r="M79" s="63"/>
      <c r="N79" s="63"/>
      <c r="O79" s="63"/>
      <c r="P79" s="63"/>
    </row>
    <row r="80" spans="1:16" ht="12" customHeight="1">
      <c r="F80" s="9" t="s">
        <v>16</v>
      </c>
    </row>
    <row r="81" spans="6:6">
      <c r="F81" s="7"/>
    </row>
    <row r="82" spans="6:6">
      <c r="F82" s="7"/>
    </row>
    <row r="83" spans="6:6">
      <c r="F83" s="18"/>
    </row>
    <row r="84" spans="6:6">
      <c r="F84" s="9" t="s">
        <v>17</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00000000-0004-0000-0700-000000000000}"/>
    <hyperlink ref="B7" location="FS!A1" display="요약재무상태표 (Selected Balance sheet)" xr:uid="{00000000-0004-0000-0700-000001000000}"/>
    <hyperlink ref="C15" location="Stability!A1" display="재무 안정성 (Financial Stability)" xr:uid="{00000000-0004-0000-0700-000002000000}"/>
    <hyperlink ref="C16" location="Productivity!A1" display="생산성 / 경영효율 (Productivity / Operating Efficiency)" xr:uid="{00000000-0004-0000-0700-000003000000}"/>
    <hyperlink ref="C20" location="'Premium Income by P.T.(GA+SA)'!A1" display="상품별 수입보험료 (Premium Income)" xr:uid="{00000000-0004-0000-0700-000004000000}"/>
    <hyperlink ref="C21" location="'Initial P. by P.T.'!A1" display="상품별 초회보험료 (Initial Premium)" xr:uid="{00000000-0004-0000-0700-000005000000}"/>
    <hyperlink ref="C22" location="'First-year P. by P.T.'!A1" display="상품별 초년도보험료 (First Year Premium)" xr:uid="{00000000-0004-0000-0700-000006000000}"/>
    <hyperlink ref="C26" location="'Premium Income by D.C.(GA+SA)'!A1" display="채널별 수입보험료 (Premium Income)" xr:uid="{00000000-0004-0000-0700-000007000000}"/>
    <hyperlink ref="C27" location="'First-year P. by D.C'!A1" display="채널별 초년도보험료 (First Year Premium)" xr:uid="{00000000-0004-0000-0700-000008000000}"/>
    <hyperlink ref="C31" location="'&gt;Loan'!A1" display="대출 (Loan)/ 자산건전성 (Asset Quality of Loan)" xr:uid="{00000000-0004-0000-0700-000009000000}"/>
    <hyperlink ref="C32" location="'&gt;Bond'!A1" display="채권 (Bond)" xr:uid="{00000000-0004-0000-0700-00000A000000}"/>
    <hyperlink ref="C35" location="'BS  K-IFRS'!A1" display="재무상태표 (Balance Sheet - KIFRS)" xr:uid="{00000000-0004-0000-0700-00000B000000}"/>
    <hyperlink ref="C36" location="'IS  K-IFRS'!A1" display="손익계산서 (Income Statement - KIFRS)" xr:uid="{00000000-0004-0000-0700-00000C000000}"/>
    <hyperlink ref="B8" location="FS!A1" display="요약손익계산서 (Selected Income Statement)" xr:uid="{00000000-0004-0000-0700-00000D000000}"/>
    <hyperlink ref="B10" location="CSM!A1" display="RA, CSM, BEL Movement" xr:uid="{00000000-0004-0000-0700-00000E000000}"/>
    <hyperlink ref="B11" location="CSM!A1" display="신계약 CSM (New Business CSM)" xr:uid="{00000000-0004-0000-0700-00000F000000}"/>
    <hyperlink ref="B13" location="'Sources of Margin'!A1" display="이원별손익" xr:uid="{00000000-0004-0000-0700-000010000000}"/>
    <hyperlink ref="B12" location="CSM!A1" display="신계약 CSM 배수 (New Business CSM Margin)" xr:uid="{00000000-0004-0000-0700-000011000000}"/>
    <hyperlink ref="C19" location="'APE by P.T'!A1" display="상품별 APE (Annualized Premium Equivalent (APE))" xr:uid="{00000000-0004-0000-0700-000012000000}"/>
    <hyperlink ref="C25" location="'APE by D.C'!A1" display="채널별 APE (Annualized Premium Equivalent (APE))" xr:uid="{00000000-0004-0000-0700-000013000000}"/>
  </hyperlinks>
  <pageMargins left="0.19685039370078741" right="0.19685039370078741" top="0.74803149606299213" bottom="0.74803149606299213"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103"/>
  <sheetViews>
    <sheetView showGridLines="0" zoomScale="85" zoomScaleNormal="85" zoomScaleSheetLayoutView="85" workbookViewId="0"/>
  </sheetViews>
  <sheetFormatPr defaultColWidth="9.140625" defaultRowHeight="12" customHeight="1"/>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6" s="3" customFormat="1" ht="22.5">
      <c r="A1" s="6"/>
      <c r="F1" s="4" t="s">
        <v>10</v>
      </c>
      <c r="G1" s="74" t="s">
        <v>104</v>
      </c>
      <c r="H1" s="75"/>
      <c r="I1" s="75"/>
    </row>
    <row r="2" spans="1:16" ht="12" customHeight="1">
      <c r="A2" s="133"/>
      <c r="B2" s="134"/>
      <c r="C2" s="134"/>
      <c r="F2" s="2" t="s">
        <v>5</v>
      </c>
      <c r="G2" s="92" t="s">
        <v>48</v>
      </c>
      <c r="H2" s="93"/>
      <c r="I2" s="93"/>
    </row>
    <row r="3" spans="1:16" ht="12" customHeight="1">
      <c r="A3" s="133" t="s">
        <v>27</v>
      </c>
      <c r="B3" s="134"/>
      <c r="C3" s="134"/>
      <c r="F3" s="55"/>
      <c r="G3" s="94"/>
      <c r="H3" s="94"/>
      <c r="I3" s="95"/>
      <c r="J3" s="814" t="s">
        <v>82</v>
      </c>
      <c r="K3" s="815"/>
      <c r="L3" s="816" t="s">
        <v>83</v>
      </c>
      <c r="M3" s="814"/>
      <c r="N3" s="815"/>
      <c r="O3" s="94"/>
      <c r="P3" s="94"/>
    </row>
    <row r="4" spans="1:16" ht="12" customHeight="1">
      <c r="A4" s="133"/>
      <c r="B4" s="134"/>
      <c r="C4" s="134"/>
      <c r="F4" s="8" t="s">
        <v>8</v>
      </c>
      <c r="G4" s="77" t="s">
        <v>81</v>
      </c>
      <c r="H4" s="96"/>
      <c r="I4" s="97"/>
      <c r="J4" s="771" t="s">
        <v>381</v>
      </c>
      <c r="K4" s="178" t="s">
        <v>382</v>
      </c>
      <c r="L4" s="771" t="s">
        <v>381</v>
      </c>
      <c r="M4" s="248" t="s">
        <v>382</v>
      </c>
      <c r="N4" s="254">
        <v>46112</v>
      </c>
      <c r="O4" s="251" t="s">
        <v>23</v>
      </c>
      <c r="P4" s="103" t="s">
        <v>24</v>
      </c>
    </row>
    <row r="5" spans="1:16" ht="12" customHeight="1">
      <c r="A5" s="143"/>
      <c r="B5" s="133" t="s">
        <v>155</v>
      </c>
      <c r="C5" s="133"/>
      <c r="F5" s="9" t="s">
        <v>0</v>
      </c>
      <c r="G5" s="98" t="s">
        <v>84</v>
      </c>
      <c r="H5" s="98"/>
      <c r="I5" s="98"/>
      <c r="J5" s="148">
        <f>SUM(J6,J10,J14)</f>
        <v>2393.5736339600021</v>
      </c>
      <c r="K5" s="777">
        <f>SUM(K6,K10,K14)</f>
        <v>1828.614801017</v>
      </c>
      <c r="L5" s="150">
        <f>SUM(L6,L10,L14)</f>
        <v>1285.5930202550007</v>
      </c>
      <c r="M5" s="151">
        <f>SUM(M6,M10,M14)</f>
        <v>928.6887449970003</v>
      </c>
      <c r="N5" s="151">
        <f>SUM(N6,N10,N14)</f>
        <v>1107.9806137050007</v>
      </c>
      <c r="O5" s="10">
        <f>IF(J5/K5&lt;0,"n.a.",IF(K5&gt;0,ROUND(J5,4)/ROUND(K5,4)-1,IF(K5&lt;0,"n.a.")))</f>
        <v>0.30895451573507993</v>
      </c>
      <c r="P5" s="10">
        <f>IF(L5/N5&lt;0,"n.a.",IF(N5&gt;0,ROUND(L5,4)/ROUND(N5,4)-1,IF(N5&lt;0,"n.a.")))</f>
        <v>0.16030280674589426</v>
      </c>
    </row>
    <row r="6" spans="1:16" ht="12" customHeight="1">
      <c r="A6" s="143"/>
      <c r="B6" s="142"/>
      <c r="C6" s="134"/>
      <c r="F6" s="7"/>
      <c r="G6" s="99" t="s">
        <v>85</v>
      </c>
      <c r="H6" s="99"/>
      <c r="I6" s="99"/>
      <c r="J6" s="152">
        <f>SUM(J7:J9)</f>
        <v>1660.4036600500021</v>
      </c>
      <c r="K6" s="778">
        <f>SUM(K7:K9)</f>
        <v>1588.185098421</v>
      </c>
      <c r="L6" s="153">
        <f>SUM(L7:L9)</f>
        <v>834.08408841000096</v>
      </c>
      <c r="M6" s="154">
        <f>SUM(M7:M9)</f>
        <v>803.11801144400033</v>
      </c>
      <c r="N6" s="154">
        <f>SUM(N7:N9)</f>
        <v>826.31957164000096</v>
      </c>
      <c r="O6" s="12">
        <f t="shared" ref="O6:O24" si="0">IF(J6/K6&lt;0,"n.a.",IF(K6&gt;0,ROUND(J6,4)/ROUND(K6,4)-1,IF(K6&lt;0,"n.a.")))</f>
        <v>4.5472407466862652E-2</v>
      </c>
      <c r="P6" s="13">
        <f>IF(L6/N6&lt;0,"n.a.",IF(N6&gt;0,ROUND(L6,4)/ROUND(N6,4)-1,IF(N6&lt;0,"n.a.")))</f>
        <v>9.3964853308574625E-3</v>
      </c>
    </row>
    <row r="7" spans="1:16" ht="12" customHeight="1">
      <c r="A7" s="143"/>
      <c r="B7" s="142" t="s">
        <v>212</v>
      </c>
      <c r="C7" s="134"/>
      <c r="F7" s="7"/>
      <c r="G7" s="100"/>
      <c r="H7" s="100" t="s">
        <v>86</v>
      </c>
      <c r="I7" s="100"/>
      <c r="J7" s="155">
        <v>767.80563842799972</v>
      </c>
      <c r="K7" s="779">
        <v>755.7208811319997</v>
      </c>
      <c r="L7" s="147">
        <v>385.43555082399985</v>
      </c>
      <c r="M7" s="157">
        <v>378.76416778600009</v>
      </c>
      <c r="N7" s="157">
        <v>382.37008760399982</v>
      </c>
      <c r="O7" s="14">
        <f t="shared" si="0"/>
        <v>1.5990956449662752E-2</v>
      </c>
      <c r="P7" s="15">
        <f t="shared" ref="P7:P24" si="1">IF(L7/N7&lt;0,"n.a.",IF(N7&gt;0,ROUND(L7,4)/ROUND(N7,4)-1,IF(N7&lt;0,"n.a.")))</f>
        <v>8.0171017556027735E-3</v>
      </c>
    </row>
    <row r="8" spans="1:16" ht="12" customHeight="1">
      <c r="A8" s="143"/>
      <c r="B8" s="142" t="s">
        <v>213</v>
      </c>
      <c r="C8" s="134"/>
      <c r="F8" s="7"/>
      <c r="G8" s="100"/>
      <c r="H8" s="100" t="s">
        <v>87</v>
      </c>
      <c r="I8" s="100"/>
      <c r="J8" s="155">
        <v>25.953808133999999</v>
      </c>
      <c r="K8" s="779">
        <v>28.093062723999996</v>
      </c>
      <c r="L8" s="147">
        <v>12.849381951999995</v>
      </c>
      <c r="M8" s="157">
        <v>13.917158085999995</v>
      </c>
      <c r="N8" s="157">
        <v>13.104426182000003</v>
      </c>
      <c r="O8" s="14">
        <f t="shared" si="0"/>
        <v>-7.6150371443521658E-2</v>
      </c>
      <c r="P8" s="15">
        <f t="shared" si="1"/>
        <v>-1.9459112969689607E-2</v>
      </c>
    </row>
    <row r="9" spans="1:16" ht="12" customHeight="1">
      <c r="A9" s="143"/>
      <c r="B9" s="142"/>
      <c r="C9" s="134"/>
      <c r="F9" s="7"/>
      <c r="G9" s="100"/>
      <c r="H9" s="100" t="s">
        <v>88</v>
      </c>
      <c r="I9" s="100"/>
      <c r="J9" s="155">
        <v>866.64421348800226</v>
      </c>
      <c r="K9" s="779">
        <v>804.37115456500021</v>
      </c>
      <c r="L9" s="147">
        <v>435.79915563400112</v>
      </c>
      <c r="M9" s="157">
        <v>410.43668557200021</v>
      </c>
      <c r="N9" s="157">
        <v>430.8450578540012</v>
      </c>
      <c r="O9" s="14">
        <f t="shared" si="0"/>
        <v>7.7418236754374092E-2</v>
      </c>
      <c r="P9" s="15">
        <f t="shared" si="1"/>
        <v>1.149856410111183E-2</v>
      </c>
    </row>
    <row r="10" spans="1:16" ht="12" customHeight="1">
      <c r="A10" s="133"/>
      <c r="B10" s="142" t="s">
        <v>171</v>
      </c>
      <c r="C10" s="134"/>
      <c r="F10" s="7"/>
      <c r="G10" s="101" t="s">
        <v>89</v>
      </c>
      <c r="H10" s="101"/>
      <c r="I10" s="101"/>
      <c r="J10" s="152">
        <f>SUM(J11:J13)</f>
        <v>631.52308812199999</v>
      </c>
      <c r="K10" s="778">
        <f>SUM(K11:K13)</f>
        <v>108.53362314100002</v>
      </c>
      <c r="L10" s="158">
        <f>SUM(L11:L13)</f>
        <v>402.81635891699989</v>
      </c>
      <c r="M10" s="159">
        <f>SUM(M11:M13)</f>
        <v>62.619710436000027</v>
      </c>
      <c r="N10" s="159">
        <f>SUM(N11:N13)</f>
        <v>228.70672920499996</v>
      </c>
      <c r="O10" s="16">
        <f t="shared" si="0"/>
        <v>4.8186874847973344</v>
      </c>
      <c r="P10" s="17">
        <f t="shared" si="1"/>
        <v>0.76127940283341045</v>
      </c>
    </row>
    <row r="11" spans="1:16" ht="12" customHeight="1">
      <c r="A11" s="133"/>
      <c r="B11" s="142" t="s">
        <v>166</v>
      </c>
      <c r="C11" s="134"/>
      <c r="F11" s="7"/>
      <c r="G11" s="100"/>
      <c r="H11" s="100" t="s">
        <v>90</v>
      </c>
      <c r="I11" s="100"/>
      <c r="J11" s="155">
        <v>0.64890326899999995</v>
      </c>
      <c r="K11" s="780">
        <v>0.69800452199999996</v>
      </c>
      <c r="L11" s="466">
        <v>0.31240078199999999</v>
      </c>
      <c r="M11" s="157">
        <v>0.39482719199999999</v>
      </c>
      <c r="N11" s="157">
        <v>0.33650248699999996</v>
      </c>
      <c r="O11" s="14">
        <f t="shared" si="0"/>
        <v>-7.0343839541547215E-2</v>
      </c>
      <c r="P11" s="15">
        <f t="shared" si="1"/>
        <v>-7.1619613670133808E-2</v>
      </c>
    </row>
    <row r="12" spans="1:16" ht="12" customHeight="1">
      <c r="A12" s="133"/>
      <c r="B12" s="142" t="s">
        <v>219</v>
      </c>
      <c r="C12" s="134"/>
      <c r="F12" s="7"/>
      <c r="G12" s="100"/>
      <c r="H12" s="100" t="s">
        <v>91</v>
      </c>
      <c r="I12" s="100"/>
      <c r="J12" s="155">
        <v>630.61834127399993</v>
      </c>
      <c r="K12" s="779">
        <v>107.43376763700002</v>
      </c>
      <c r="L12" s="147">
        <v>402.3861974809999</v>
      </c>
      <c r="M12" s="157">
        <v>62.039884283000028</v>
      </c>
      <c r="N12" s="157">
        <v>228.23214379299998</v>
      </c>
      <c r="O12" s="14">
        <f t="shared" si="0"/>
        <v>4.8698314683088562</v>
      </c>
      <c r="P12" s="15">
        <f t="shared" si="1"/>
        <v>0.76305699329761234</v>
      </c>
    </row>
    <row r="13" spans="1:16" ht="12" customHeight="1">
      <c r="A13" s="133"/>
      <c r="B13" s="142"/>
      <c r="C13" s="134"/>
      <c r="F13" s="7"/>
      <c r="G13" s="100"/>
      <c r="H13" s="100" t="s">
        <v>92</v>
      </c>
      <c r="I13" s="100"/>
      <c r="J13" s="155">
        <v>0.25584357900000032</v>
      </c>
      <c r="K13" s="779">
        <v>0.4018509819999998</v>
      </c>
      <c r="L13" s="147">
        <v>0.11776065400000027</v>
      </c>
      <c r="M13" s="157">
        <v>0.18499896099999971</v>
      </c>
      <c r="N13" s="157">
        <v>0.13808292500000005</v>
      </c>
      <c r="O13" s="14">
        <f t="shared" si="0"/>
        <v>-0.36352326449365502</v>
      </c>
      <c r="P13" s="15">
        <f t="shared" si="1"/>
        <v>-0.14699493120926865</v>
      </c>
    </row>
    <row r="14" spans="1:16" ht="12" customHeight="1">
      <c r="A14" s="133"/>
      <c r="B14" s="133" t="s">
        <v>173</v>
      </c>
      <c r="C14" s="134"/>
      <c r="F14" s="7"/>
      <c r="G14" s="101" t="s">
        <v>93</v>
      </c>
      <c r="H14" s="101"/>
      <c r="I14" s="101"/>
      <c r="J14" s="152">
        <f>SUM(J15:J17)</f>
        <v>101.64688578799992</v>
      </c>
      <c r="K14" s="778">
        <f>SUM(K15:K17)</f>
        <v>131.89607945499989</v>
      </c>
      <c r="L14" s="158">
        <f>SUM(L15:L17)</f>
        <v>48.692572927999962</v>
      </c>
      <c r="M14" s="159">
        <f>SUM(M15:M17)</f>
        <v>62.951023116999956</v>
      </c>
      <c r="N14" s="159">
        <f>SUM(N15:N17)</f>
        <v>52.954312859999952</v>
      </c>
      <c r="O14" s="16">
        <f t="shared" si="0"/>
        <v>-0.22934112532516115</v>
      </c>
      <c r="P14" s="17">
        <f t="shared" si="1"/>
        <v>-8.0478827970533184E-2</v>
      </c>
    </row>
    <row r="15" spans="1:16" ht="12" customHeight="1">
      <c r="A15" s="133"/>
      <c r="B15" s="135"/>
      <c r="C15" s="142" t="s">
        <v>40</v>
      </c>
      <c r="F15" s="7"/>
      <c r="G15" s="100"/>
      <c r="H15" s="100" t="s">
        <v>90</v>
      </c>
      <c r="I15" s="100"/>
      <c r="J15" s="155">
        <v>5.8779319770000003</v>
      </c>
      <c r="K15" s="779">
        <v>6.741545672</v>
      </c>
      <c r="L15" s="147">
        <v>2.8891840470000001</v>
      </c>
      <c r="M15" s="157">
        <v>3.3210674210000004</v>
      </c>
      <c r="N15" s="157">
        <v>2.9887479299999997</v>
      </c>
      <c r="O15" s="185">
        <f t="shared" si="0"/>
        <v>-0.12810205443892309</v>
      </c>
      <c r="P15" s="189">
        <f t="shared" si="1"/>
        <v>-3.3292066784889718E-2</v>
      </c>
    </row>
    <row r="16" spans="1:16" ht="12" customHeight="1">
      <c r="A16" s="133"/>
      <c r="B16" s="133"/>
      <c r="C16" s="142" t="s">
        <v>41</v>
      </c>
      <c r="F16" s="7"/>
      <c r="G16" s="100"/>
      <c r="H16" s="100" t="s">
        <v>91</v>
      </c>
      <c r="I16" s="100"/>
      <c r="J16" s="155">
        <v>95.064418029999914</v>
      </c>
      <c r="K16" s="779">
        <v>124.62336453899988</v>
      </c>
      <c r="L16" s="147">
        <v>45.375017835999962</v>
      </c>
      <c r="M16" s="157">
        <v>59.374271779999951</v>
      </c>
      <c r="N16" s="157">
        <v>49.689400193999951</v>
      </c>
      <c r="O16" s="14">
        <f t="shared" si="0"/>
        <v>-0.23718659577575318</v>
      </c>
      <c r="P16" s="15">
        <f t="shared" si="1"/>
        <v>-8.6827371632581585E-2</v>
      </c>
    </row>
    <row r="17" spans="1:18" ht="12" customHeight="1">
      <c r="A17" s="133"/>
      <c r="B17" s="133"/>
      <c r="C17" s="142"/>
      <c r="F17" s="7"/>
      <c r="G17" s="100"/>
      <c r="H17" s="100" t="s">
        <v>94</v>
      </c>
      <c r="I17" s="100"/>
      <c r="J17" s="155">
        <v>0.70453578099999914</v>
      </c>
      <c r="K17" s="779">
        <v>0.53116924400000065</v>
      </c>
      <c r="L17" s="147">
        <v>0.42837104499999989</v>
      </c>
      <c r="M17" s="157">
        <v>0.2556839160000004</v>
      </c>
      <c r="N17" s="157">
        <v>0.27616473599999924</v>
      </c>
      <c r="O17" s="14">
        <f t="shared" si="0"/>
        <v>0.3262424698795181</v>
      </c>
      <c r="P17" s="15">
        <f t="shared" si="1"/>
        <v>0.551049963794352</v>
      </c>
    </row>
    <row r="18" spans="1:18" ht="12" customHeight="1">
      <c r="A18" s="133"/>
      <c r="B18" s="133" t="s">
        <v>176</v>
      </c>
      <c r="C18" s="142"/>
      <c r="F18" s="9" t="s">
        <v>1</v>
      </c>
      <c r="G18" s="98" t="s">
        <v>95</v>
      </c>
      <c r="H18" s="98"/>
      <c r="I18" s="98"/>
      <c r="J18" s="148">
        <f>SUM(J19:J20)</f>
        <v>0.121185706</v>
      </c>
      <c r="K18" s="777">
        <f>SUM(K19:K20)</f>
        <v>0.17078142499999996</v>
      </c>
      <c r="L18" s="150">
        <f>SUM(L19:L20)</f>
        <v>5.9519668000000005E-2</v>
      </c>
      <c r="M18" s="151">
        <f>SUM(M19:M20)</f>
        <v>8.1796295999999991E-2</v>
      </c>
      <c r="N18" s="151">
        <f>SUM(N19:N20)</f>
        <v>6.1666038000000006E-2</v>
      </c>
      <c r="O18" s="10">
        <f t="shared" si="0"/>
        <v>-0.29039812646370022</v>
      </c>
      <c r="P18" s="11">
        <f t="shared" si="1"/>
        <v>-3.5656401944894611E-2</v>
      </c>
    </row>
    <row r="19" spans="1:18" ht="12" customHeight="1">
      <c r="A19" s="133"/>
      <c r="B19" s="133"/>
      <c r="C19" s="142" t="s">
        <v>33</v>
      </c>
      <c r="F19" s="7"/>
      <c r="G19" s="100" t="s">
        <v>96</v>
      </c>
      <c r="H19" s="100"/>
      <c r="I19" s="100"/>
      <c r="J19" s="155">
        <v>0.11203590400000001</v>
      </c>
      <c r="K19" s="779">
        <v>0.16056862699999996</v>
      </c>
      <c r="L19" s="147">
        <v>5.4980407000000002E-2</v>
      </c>
      <c r="M19" s="157">
        <v>7.6853592999999984E-2</v>
      </c>
      <c r="N19" s="157">
        <v>5.7055497000000004E-2</v>
      </c>
      <c r="O19" s="14">
        <f t="shared" si="0"/>
        <v>-0.30261519302615192</v>
      </c>
      <c r="P19" s="15">
        <f t="shared" si="1"/>
        <v>-3.677758318739055E-2</v>
      </c>
    </row>
    <row r="20" spans="1:18" ht="12" customHeight="1">
      <c r="A20" s="133"/>
      <c r="B20" s="133"/>
      <c r="C20" s="142" t="s">
        <v>29</v>
      </c>
      <c r="F20" s="7"/>
      <c r="G20" s="102" t="s">
        <v>97</v>
      </c>
      <c r="H20" s="102"/>
      <c r="I20" s="102"/>
      <c r="J20" s="160">
        <v>9.1498020000000003E-3</v>
      </c>
      <c r="K20" s="781">
        <v>1.0212797999999999E-2</v>
      </c>
      <c r="L20" s="161">
        <v>4.5392610000000002E-3</v>
      </c>
      <c r="M20" s="162">
        <v>4.9427029999999997E-3</v>
      </c>
      <c r="N20" s="162">
        <v>4.6105410000000001E-3</v>
      </c>
      <c r="O20" s="19">
        <f t="shared" si="0"/>
        <v>-0.10784313725490202</v>
      </c>
      <c r="P20" s="20">
        <f t="shared" si="1"/>
        <v>-2.1739130434782705E-2</v>
      </c>
    </row>
    <row r="21" spans="1:18" ht="12" customHeight="1">
      <c r="A21" s="133"/>
      <c r="B21" s="133"/>
      <c r="C21" s="142" t="s">
        <v>30</v>
      </c>
      <c r="F21" s="18"/>
      <c r="G21" s="98" t="s">
        <v>98</v>
      </c>
      <c r="H21" s="98"/>
      <c r="I21" s="98"/>
      <c r="J21" s="148">
        <f>SUM(J22:J24)</f>
        <v>2393.6948196660023</v>
      </c>
      <c r="K21" s="149">
        <f>SUM(K22:K24)</f>
        <v>1828.7855824420001</v>
      </c>
      <c r="L21" s="150">
        <f>SUM(L22:L24)</f>
        <v>1285.6525399230006</v>
      </c>
      <c r="M21" s="151">
        <f>SUM(M22:M24)</f>
        <v>928.77054129300029</v>
      </c>
      <c r="N21" s="151">
        <f>SUM(N22:N24)</f>
        <v>1108.0422797430008</v>
      </c>
      <c r="O21" s="10">
        <f t="shared" si="0"/>
        <v>0.30889853900861874</v>
      </c>
      <c r="P21" s="11">
        <f t="shared" si="1"/>
        <v>0.16029189499353946</v>
      </c>
    </row>
    <row r="22" spans="1:18" ht="12" customHeight="1">
      <c r="A22" s="133"/>
      <c r="B22" s="133"/>
      <c r="C22" s="142" t="s">
        <v>31</v>
      </c>
      <c r="F22" s="9" t="s">
        <v>4</v>
      </c>
      <c r="G22" s="179" t="s">
        <v>85</v>
      </c>
      <c r="H22" s="100"/>
      <c r="I22" s="100"/>
      <c r="J22" s="155">
        <f>SUM(J6,J19)</f>
        <v>1660.5156959540022</v>
      </c>
      <c r="K22" s="782">
        <f>SUM(K6,K19)</f>
        <v>1588.345667048</v>
      </c>
      <c r="L22" s="147">
        <f>SUM(L6,L19)</f>
        <v>834.13906881700098</v>
      </c>
      <c r="M22" s="157">
        <f>SUM(M6,M19)</f>
        <v>803.19486503700034</v>
      </c>
      <c r="N22" s="157">
        <f>SUM(N6,N19)</f>
        <v>826.37662713700092</v>
      </c>
      <c r="O22" s="14">
        <f t="shared" si="0"/>
        <v>4.5437211811005573E-2</v>
      </c>
      <c r="P22" s="15">
        <f t="shared" si="1"/>
        <v>9.3934169965605996E-3</v>
      </c>
    </row>
    <row r="23" spans="1:18" ht="12" customHeight="1">
      <c r="A23" s="133"/>
      <c r="B23" s="133"/>
      <c r="C23" s="142"/>
      <c r="F23" s="7"/>
      <c r="G23" s="100" t="s">
        <v>99</v>
      </c>
      <c r="H23" s="100"/>
      <c r="I23" s="100"/>
      <c r="J23" s="155">
        <f>J10</f>
        <v>631.52308812199999</v>
      </c>
      <c r="K23" s="156">
        <f>K10</f>
        <v>108.53362314100002</v>
      </c>
      <c r="L23" s="147">
        <f>L10</f>
        <v>402.81635891699989</v>
      </c>
      <c r="M23" s="157">
        <f>M10</f>
        <v>62.619710436000027</v>
      </c>
      <c r="N23" s="157">
        <f>N10</f>
        <v>228.70672920499996</v>
      </c>
      <c r="O23" s="14">
        <f t="shared" si="0"/>
        <v>4.8186874847973344</v>
      </c>
      <c r="P23" s="15">
        <f t="shared" si="1"/>
        <v>0.76127940283341045</v>
      </c>
    </row>
    <row r="24" spans="1:18" ht="12" customHeight="1">
      <c r="A24" s="133"/>
      <c r="B24" s="133" t="s">
        <v>181</v>
      </c>
      <c r="C24" s="142"/>
      <c r="F24" s="7"/>
      <c r="G24" s="102" t="s">
        <v>93</v>
      </c>
      <c r="H24" s="102"/>
      <c r="I24" s="102"/>
      <c r="J24" s="160">
        <f>SUM(J14,J20)</f>
        <v>101.65603558999992</v>
      </c>
      <c r="K24" s="783">
        <f>SUM(K14,K20)</f>
        <v>131.90629225299989</v>
      </c>
      <c r="L24" s="161">
        <f>SUM(L14,L20)</f>
        <v>48.697112188999959</v>
      </c>
      <c r="M24" s="162">
        <f>SUM(M14,M20)</f>
        <v>62.955965819999953</v>
      </c>
      <c r="N24" s="162">
        <f>SUM(N14,N20)</f>
        <v>52.95892340099995</v>
      </c>
      <c r="O24" s="19">
        <f t="shared" si="0"/>
        <v>-0.22933173017513175</v>
      </c>
      <c r="P24" s="20">
        <f t="shared" si="1"/>
        <v>-8.0473725851556654E-2</v>
      </c>
    </row>
    <row r="25" spans="1:18" ht="12" customHeight="1">
      <c r="A25" s="133"/>
      <c r="B25" s="133"/>
      <c r="C25" s="142" t="s">
        <v>32</v>
      </c>
      <c r="F25" s="18"/>
      <c r="G25" s="98" t="s">
        <v>100</v>
      </c>
      <c r="H25" s="98"/>
      <c r="I25" s="98"/>
      <c r="J25" s="148">
        <f>SUM(J26:J27)</f>
        <v>0.11291413900000001</v>
      </c>
      <c r="K25" s="777">
        <f>SUM(K26:K27)</f>
        <v>0.12519448800000002</v>
      </c>
      <c r="L25" s="163">
        <f>SUM(L26:L27)</f>
        <v>6.8637887000000009E-2</v>
      </c>
      <c r="M25" s="151">
        <f>SUM(M26:M27)</f>
        <v>6.5380212000000007E-2</v>
      </c>
      <c r="N25" s="151">
        <f>SUM(N26:N27)</f>
        <v>4.4276252000000002E-2</v>
      </c>
      <c r="O25" s="11">
        <f>IF(K25/J25&lt;0,"n.a.",IF(J25&gt;0,ROUND(K25,4)/ROUND(J25,4)-1,IF(J25&lt;0,"n.a.")))</f>
        <v>0.10894596988485383</v>
      </c>
      <c r="P25" s="11">
        <f>IF(L25/N25&lt;0,"n.a.",IF(N25&gt;0,ROUND(L25,4)/ROUND(N25,4)-1,IF(N25&lt;0,"n.a.")))</f>
        <v>0.548532731376975</v>
      </c>
    </row>
    <row r="26" spans="1:18" ht="12" customHeight="1">
      <c r="A26" s="133"/>
      <c r="B26" s="133"/>
      <c r="C26" s="142" t="s">
        <v>34</v>
      </c>
      <c r="F26" s="9" t="s">
        <v>2</v>
      </c>
      <c r="G26" s="100" t="s">
        <v>101</v>
      </c>
      <c r="H26" s="100"/>
      <c r="I26" s="100"/>
      <c r="J26" s="155">
        <v>0</v>
      </c>
      <c r="K26" s="779">
        <v>0</v>
      </c>
      <c r="L26" s="147">
        <v>0</v>
      </c>
      <c r="M26" s="157">
        <v>0</v>
      </c>
      <c r="N26" s="157">
        <v>0</v>
      </c>
      <c r="O26" s="14"/>
      <c r="P26" s="15"/>
    </row>
    <row r="27" spans="1:18" ht="12" customHeight="1">
      <c r="A27" s="133"/>
      <c r="B27" s="133"/>
      <c r="C27" s="142" t="s">
        <v>35</v>
      </c>
      <c r="F27" s="7"/>
      <c r="G27" s="102" t="s">
        <v>102</v>
      </c>
      <c r="H27" s="102"/>
      <c r="I27" s="102"/>
      <c r="J27" s="160">
        <v>0.11291413900000001</v>
      </c>
      <c r="K27" s="781">
        <v>0.12519448800000002</v>
      </c>
      <c r="L27" s="161">
        <v>6.8637887000000009E-2</v>
      </c>
      <c r="M27" s="162">
        <v>6.5380212000000007E-2</v>
      </c>
      <c r="N27" s="162">
        <v>4.4276252000000002E-2</v>
      </c>
      <c r="O27" s="19">
        <f>IF(J27/K27&lt;0,"n.a.",IF(K27&gt;0,ROUND(J27,4)/ROUND(K27,4)-1,IF(K27&lt;0,"n.a.")))</f>
        <v>-9.8242811501597527E-2</v>
      </c>
      <c r="P27" s="20">
        <f>IF(L27/N27&lt;0,"n.a.",IF(N27&gt;0,ROUND(L27,4)/ROUND(N27,4)-1,IF(N27&lt;0,"n.a.")))</f>
        <v>0.548532731376975</v>
      </c>
    </row>
    <row r="28" spans="1:18" ht="12" customHeight="1">
      <c r="A28" s="133"/>
      <c r="B28" s="133"/>
      <c r="C28" s="142"/>
      <c r="F28" s="18"/>
      <c r="G28" s="93"/>
      <c r="H28" s="93"/>
      <c r="I28" s="93"/>
      <c r="J28" s="67"/>
      <c r="K28" s="67"/>
      <c r="L28" s="769"/>
      <c r="M28" s="67"/>
      <c r="N28" s="67"/>
      <c r="Q28" s="67"/>
      <c r="R28" s="67"/>
    </row>
    <row r="29" spans="1:18" ht="12" customHeight="1">
      <c r="A29" s="133"/>
      <c r="B29" s="133"/>
      <c r="C29" s="142"/>
      <c r="F29" s="7"/>
      <c r="G29" s="92" t="s">
        <v>74</v>
      </c>
      <c r="H29" s="93"/>
      <c r="I29" s="93"/>
      <c r="Q29" s="67"/>
      <c r="R29" s="67"/>
    </row>
    <row r="30" spans="1:18" s="3" customFormat="1" ht="12" customHeight="1">
      <c r="A30" s="133"/>
      <c r="B30" s="133" t="s">
        <v>185</v>
      </c>
      <c r="C30" s="142"/>
      <c r="D30" s="1"/>
      <c r="E30" s="1"/>
      <c r="F30" s="7"/>
      <c r="G30" s="94"/>
      <c r="H30" s="94"/>
      <c r="I30" s="95"/>
      <c r="J30" s="814" t="s">
        <v>82</v>
      </c>
      <c r="K30" s="815"/>
      <c r="L30" s="816" t="s">
        <v>83</v>
      </c>
      <c r="M30" s="814"/>
      <c r="N30" s="815"/>
      <c r="O30" s="94"/>
      <c r="P30" s="94"/>
    </row>
    <row r="31" spans="1:18" ht="12" customHeight="1">
      <c r="A31" s="133"/>
      <c r="B31" s="133"/>
      <c r="C31" s="142" t="s">
        <v>147</v>
      </c>
      <c r="F31" s="4" t="s">
        <v>7</v>
      </c>
      <c r="G31" s="77" t="s">
        <v>81</v>
      </c>
      <c r="H31" s="96"/>
      <c r="I31" s="97"/>
      <c r="J31" s="771" t="s">
        <v>381</v>
      </c>
      <c r="K31" s="178" t="s">
        <v>382</v>
      </c>
      <c r="L31" s="771" t="s">
        <v>381</v>
      </c>
      <c r="M31" s="248" t="s">
        <v>382</v>
      </c>
      <c r="N31" s="254">
        <v>46112</v>
      </c>
      <c r="O31" s="251" t="s">
        <v>23</v>
      </c>
      <c r="P31" s="103" t="s">
        <v>24</v>
      </c>
    </row>
    <row r="32" spans="1:18" ht="12" customHeight="1">
      <c r="A32" s="133"/>
      <c r="B32" s="133"/>
      <c r="C32" s="142" t="s">
        <v>36</v>
      </c>
      <c r="F32" s="2" t="s">
        <v>6</v>
      </c>
      <c r="G32" s="98" t="s">
        <v>84</v>
      </c>
      <c r="H32" s="98"/>
      <c r="I32" s="98"/>
      <c r="J32" s="148">
        <f>SUM(J33,J37,J41)</f>
        <v>29.424250398999995</v>
      </c>
      <c r="K32" s="777">
        <f>SUM(K33,K37,K41)</f>
        <v>24.154103145000004</v>
      </c>
      <c r="L32" s="150">
        <f>SUM(L33,L37,L41)</f>
        <v>17.629853360999995</v>
      </c>
      <c r="M32" s="151">
        <f>SUM(M33,M37,M41)</f>
        <v>11.634959253000002</v>
      </c>
      <c r="N32" s="151">
        <f>SUM(N33,N37,N41)</f>
        <v>11.794397037999998</v>
      </c>
      <c r="O32" s="10">
        <f>IF(J32/K32&lt;0,"n.a.",IF(K32&gt;0,ROUND(J32,4)/ROUND(K32,4)-1,IF(K32&lt;0,"n.a.")))</f>
        <v>0.21819070054359302</v>
      </c>
      <c r="P32" s="10">
        <f>IF(L32/N32&lt;0,"n.a.",IF(N32&gt;0,ROUND(L32,4)/ROUND(N32,4)-1,IF(N32&lt;0,"n.a.")))</f>
        <v>0.49476870379162996</v>
      </c>
    </row>
    <row r="33" spans="1:16" ht="12" customHeight="1">
      <c r="A33" s="133"/>
      <c r="B33" s="133"/>
      <c r="C33" s="142"/>
      <c r="F33" s="55"/>
      <c r="G33" s="99" t="s">
        <v>85</v>
      </c>
      <c r="H33" s="99"/>
      <c r="I33" s="99"/>
      <c r="J33" s="152">
        <f>SUM(J34:J36)</f>
        <v>12.023234156999999</v>
      </c>
      <c r="K33" s="778">
        <f>SUM(K34:K36)</f>
        <v>13.609407523000002</v>
      </c>
      <c r="L33" s="153">
        <f>SUM(L34:L36)</f>
        <v>5.9174960480000003</v>
      </c>
      <c r="M33" s="154">
        <f>SUM(M34:M36)</f>
        <v>6.743670370000002</v>
      </c>
      <c r="N33" s="154">
        <f>SUM(N34:N36)</f>
        <v>6.1057381089999998</v>
      </c>
      <c r="O33" s="12">
        <f t="shared" ref="O33:O54" si="2">IF(J33/K33&lt;0,"n.a.",IF(K33&gt;0,ROUND(J33,4)/ROUND(K33,4)-1,IF(K33&lt;0,"n.a.")))</f>
        <v>-0.11655179508281055</v>
      </c>
      <c r="P33" s="13">
        <f t="shared" ref="P33:P52" si="3">IF(L33/N33&lt;0,"n.a.",IF(N33&gt;0,ROUND(L33,4)/ROUND(N33,4)-1,IF(N33&lt;0,"n.a.")))</f>
        <v>-3.0823656583192638E-2</v>
      </c>
    </row>
    <row r="34" spans="1:16" ht="12" customHeight="1">
      <c r="A34" s="133"/>
      <c r="B34" s="133" t="s">
        <v>188</v>
      </c>
      <c r="C34" s="142"/>
      <c r="F34" s="8" t="s">
        <v>8</v>
      </c>
      <c r="G34" s="100"/>
      <c r="H34" s="100" t="s">
        <v>86</v>
      </c>
      <c r="I34" s="100"/>
      <c r="J34" s="155">
        <v>0</v>
      </c>
      <c r="K34" s="779">
        <v>0</v>
      </c>
      <c r="L34" s="147">
        <v>0</v>
      </c>
      <c r="M34" s="157">
        <v>0</v>
      </c>
      <c r="N34" s="157">
        <v>0</v>
      </c>
      <c r="O34" s="14"/>
      <c r="P34" s="15"/>
    </row>
    <row r="35" spans="1:16" ht="12" customHeight="1">
      <c r="A35" s="133"/>
      <c r="B35" s="133"/>
      <c r="C35" s="142" t="s">
        <v>37</v>
      </c>
      <c r="F35" s="9" t="s">
        <v>0</v>
      </c>
      <c r="G35" s="100"/>
      <c r="H35" s="100" t="s">
        <v>87</v>
      </c>
      <c r="I35" s="100"/>
      <c r="J35" s="155">
        <v>12.023234156999999</v>
      </c>
      <c r="K35" s="779">
        <v>13.609407523000002</v>
      </c>
      <c r="L35" s="147">
        <v>5.9174960480000003</v>
      </c>
      <c r="M35" s="157">
        <v>6.743670370000002</v>
      </c>
      <c r="N35" s="157">
        <v>6.1057381089999998</v>
      </c>
      <c r="O35" s="14">
        <f t="shared" si="2"/>
        <v>-0.11655179508281055</v>
      </c>
      <c r="P35" s="15">
        <f t="shared" si="3"/>
        <v>-3.0823656583192638E-2</v>
      </c>
    </row>
    <row r="36" spans="1:16" ht="12" customHeight="1">
      <c r="A36" s="133"/>
      <c r="B36" s="133"/>
      <c r="C36" s="142" t="s">
        <v>38</v>
      </c>
      <c r="F36" s="7"/>
      <c r="G36" s="100"/>
      <c r="H36" s="100" t="s">
        <v>88</v>
      </c>
      <c r="I36" s="100"/>
      <c r="J36" s="155">
        <v>0</v>
      </c>
      <c r="K36" s="779">
        <v>0</v>
      </c>
      <c r="L36" s="147">
        <v>0</v>
      </c>
      <c r="M36" s="157">
        <v>0</v>
      </c>
      <c r="N36" s="157">
        <v>0</v>
      </c>
      <c r="O36" s="14"/>
      <c r="P36" s="15"/>
    </row>
    <row r="37" spans="1:16" ht="12" customHeight="1">
      <c r="A37" s="25"/>
      <c r="F37" s="7"/>
      <c r="G37" s="101" t="s">
        <v>89</v>
      </c>
      <c r="H37" s="101"/>
      <c r="I37" s="101"/>
      <c r="J37" s="152">
        <f>SUM(J38:J40)</f>
        <v>4.4162472879999983</v>
      </c>
      <c r="K37" s="778">
        <f>SUM(K38:K40)</f>
        <v>5.8029053360000002</v>
      </c>
      <c r="L37" s="158">
        <f>SUM(L38:L40)</f>
        <v>2.1330412699999997</v>
      </c>
      <c r="M37" s="159">
        <f>SUM(M38:M40)</f>
        <v>2.8012523410000005</v>
      </c>
      <c r="N37" s="159">
        <f>SUM(N38:N40)</f>
        <v>2.2832060179999996</v>
      </c>
      <c r="O37" s="16">
        <f t="shared" si="2"/>
        <v>-0.23896672353478432</v>
      </c>
      <c r="P37" s="17">
        <f t="shared" si="3"/>
        <v>-6.5784863349684586E-2</v>
      </c>
    </row>
    <row r="38" spans="1:16" ht="12" customHeight="1">
      <c r="A38" s="25"/>
      <c r="F38" s="7"/>
      <c r="G38" s="100"/>
      <c r="H38" s="100" t="s">
        <v>90</v>
      </c>
      <c r="I38" s="100"/>
      <c r="J38" s="155">
        <v>0</v>
      </c>
      <c r="K38" s="780">
        <v>0</v>
      </c>
      <c r="L38" s="466">
        <v>0</v>
      </c>
      <c r="M38" s="157">
        <v>0</v>
      </c>
      <c r="N38" s="157">
        <v>0</v>
      </c>
      <c r="O38" s="14"/>
      <c r="P38" s="15"/>
    </row>
    <row r="39" spans="1:16" ht="12" customHeight="1">
      <c r="A39" s="25"/>
      <c r="F39" s="7"/>
      <c r="G39" s="100"/>
      <c r="H39" s="100" t="s">
        <v>91</v>
      </c>
      <c r="I39" s="100"/>
      <c r="J39" s="155">
        <v>0</v>
      </c>
      <c r="K39" s="779">
        <v>0</v>
      </c>
      <c r="L39" s="147">
        <v>0</v>
      </c>
      <c r="M39" s="157">
        <v>0</v>
      </c>
      <c r="N39" s="157">
        <v>0</v>
      </c>
      <c r="O39" s="14"/>
      <c r="P39" s="15"/>
    </row>
    <row r="40" spans="1:16" ht="12" customHeight="1">
      <c r="A40" s="25"/>
      <c r="F40" s="7"/>
      <c r="G40" s="100"/>
      <c r="H40" s="100" t="s">
        <v>92</v>
      </c>
      <c r="I40" s="100"/>
      <c r="J40" s="155">
        <v>4.4162472879999983</v>
      </c>
      <c r="K40" s="779">
        <v>5.8029053360000002</v>
      </c>
      <c r="L40" s="147">
        <v>2.1330412699999997</v>
      </c>
      <c r="M40" s="157">
        <v>2.8012523410000005</v>
      </c>
      <c r="N40" s="157">
        <v>2.2832060179999996</v>
      </c>
      <c r="O40" s="14">
        <f t="shared" si="2"/>
        <v>-0.23896672353478432</v>
      </c>
      <c r="P40" s="15">
        <f t="shared" si="3"/>
        <v>-6.5784863349684586E-2</v>
      </c>
    </row>
    <row r="41" spans="1:16" ht="12" customHeight="1">
      <c r="A41" s="25"/>
      <c r="F41" s="7"/>
      <c r="G41" s="101" t="s">
        <v>93</v>
      </c>
      <c r="H41" s="101"/>
      <c r="I41" s="101"/>
      <c r="J41" s="152">
        <f>SUM(J42:J44)</f>
        <v>12.984768953999998</v>
      </c>
      <c r="K41" s="778">
        <f>SUM(K42:K44)</f>
        <v>4.7417902860000005</v>
      </c>
      <c r="L41" s="158">
        <f>SUM(L42:L44)</f>
        <v>9.5793160429999968</v>
      </c>
      <c r="M41" s="159">
        <f>SUM(M42:M44)</f>
        <v>2.0900365420000004</v>
      </c>
      <c r="N41" s="159">
        <f>SUM(N42:N44)</f>
        <v>3.4054529109999998</v>
      </c>
      <c r="O41" s="16">
        <f t="shared" si="2"/>
        <v>1.7383693955881734</v>
      </c>
      <c r="P41" s="17">
        <f t="shared" si="3"/>
        <v>1.8128909117603875</v>
      </c>
    </row>
    <row r="42" spans="1:16" ht="12" customHeight="1">
      <c r="A42" s="25"/>
      <c r="F42" s="7"/>
      <c r="G42" s="100"/>
      <c r="H42" s="100" t="s">
        <v>90</v>
      </c>
      <c r="I42" s="100"/>
      <c r="J42" s="155">
        <v>0</v>
      </c>
      <c r="K42" s="779">
        <v>0</v>
      </c>
      <c r="L42" s="147">
        <v>0</v>
      </c>
      <c r="M42" s="157">
        <v>0</v>
      </c>
      <c r="N42" s="157">
        <v>0</v>
      </c>
      <c r="O42" s="14"/>
      <c r="P42" s="15"/>
    </row>
    <row r="43" spans="1:16" ht="12" customHeight="1">
      <c r="A43" s="25"/>
      <c r="F43" s="7"/>
      <c r="G43" s="100"/>
      <c r="H43" s="100" t="s">
        <v>91</v>
      </c>
      <c r="I43" s="100"/>
      <c r="J43" s="155">
        <v>0</v>
      </c>
      <c r="K43" s="779">
        <v>0</v>
      </c>
      <c r="L43" s="147">
        <v>0</v>
      </c>
      <c r="M43" s="157">
        <v>0</v>
      </c>
      <c r="N43" s="157">
        <v>0</v>
      </c>
      <c r="O43" s="14"/>
      <c r="P43" s="15"/>
    </row>
    <row r="44" spans="1:16" ht="12" customHeight="1">
      <c r="A44" s="25"/>
      <c r="F44" s="7"/>
      <c r="G44" s="100"/>
      <c r="H44" s="100" t="s">
        <v>94</v>
      </c>
      <c r="I44" s="100"/>
      <c r="J44" s="155">
        <v>12.984768953999998</v>
      </c>
      <c r="K44" s="779">
        <v>4.7417902860000005</v>
      </c>
      <c r="L44" s="147">
        <v>9.5793160429999968</v>
      </c>
      <c r="M44" s="157">
        <v>2.0900365420000004</v>
      </c>
      <c r="N44" s="157">
        <v>3.4054529109999998</v>
      </c>
      <c r="O44" s="14">
        <f t="shared" si="2"/>
        <v>1.7383693955881734</v>
      </c>
      <c r="P44" s="15">
        <f t="shared" si="3"/>
        <v>1.8128909117603875</v>
      </c>
    </row>
    <row r="45" spans="1:16" ht="12" customHeight="1">
      <c r="A45" s="25"/>
      <c r="F45" s="7"/>
      <c r="G45" s="98" t="s">
        <v>95</v>
      </c>
      <c r="H45" s="98"/>
      <c r="I45" s="98"/>
      <c r="J45" s="148">
        <f>SUM(J46:J47)</f>
        <v>0</v>
      </c>
      <c r="K45" s="777">
        <f>SUM(K46:K47)</f>
        <v>0</v>
      </c>
      <c r="L45" s="150">
        <f>SUM(L46:L47)</f>
        <v>0</v>
      </c>
      <c r="M45" s="151">
        <f>SUM(M46:M47)</f>
        <v>0</v>
      </c>
      <c r="N45" s="151">
        <f>SUM(N46:N47)</f>
        <v>0</v>
      </c>
      <c r="O45" s="10"/>
      <c r="P45" s="11"/>
    </row>
    <row r="46" spans="1:16" ht="12" customHeight="1">
      <c r="A46" s="25"/>
      <c r="F46" s="7"/>
      <c r="G46" s="100" t="s">
        <v>96</v>
      </c>
      <c r="H46" s="100"/>
      <c r="I46" s="100"/>
      <c r="J46" s="155">
        <v>0</v>
      </c>
      <c r="K46" s="779">
        <v>0</v>
      </c>
      <c r="L46" s="147">
        <v>0</v>
      </c>
      <c r="M46" s="157">
        <v>0</v>
      </c>
      <c r="N46" s="157">
        <v>0</v>
      </c>
      <c r="O46" s="14"/>
      <c r="P46" s="15"/>
    </row>
    <row r="47" spans="1:16" ht="12" customHeight="1">
      <c r="A47" s="25"/>
      <c r="F47" s="7"/>
      <c r="G47" s="102" t="s">
        <v>97</v>
      </c>
      <c r="H47" s="102"/>
      <c r="I47" s="102"/>
      <c r="J47" s="160">
        <v>0</v>
      </c>
      <c r="K47" s="781">
        <v>0</v>
      </c>
      <c r="L47" s="161">
        <v>0</v>
      </c>
      <c r="M47" s="162">
        <v>0</v>
      </c>
      <c r="N47" s="162">
        <v>0</v>
      </c>
      <c r="O47" s="19"/>
      <c r="P47" s="20"/>
    </row>
    <row r="48" spans="1:16" ht="12" customHeight="1">
      <c r="A48" s="25"/>
      <c r="F48" s="9" t="s">
        <v>1</v>
      </c>
      <c r="G48" s="98" t="s">
        <v>98</v>
      </c>
      <c r="H48" s="98"/>
      <c r="I48" s="98"/>
      <c r="J48" s="148">
        <f>SUM(J49:J51)</f>
        <v>29.424250398999995</v>
      </c>
      <c r="K48" s="149">
        <f>SUM(K49:K51)</f>
        <v>24.154103145000004</v>
      </c>
      <c r="L48" s="150">
        <f>SUM(L49:L51)</f>
        <v>17.629853360999995</v>
      </c>
      <c r="M48" s="151">
        <f>SUM(M49:M51)</f>
        <v>11.634959253000002</v>
      </c>
      <c r="N48" s="151">
        <f>SUM(N49:N51)</f>
        <v>11.794397037999998</v>
      </c>
      <c r="O48" s="10">
        <f t="shared" si="2"/>
        <v>0.21819070054359302</v>
      </c>
      <c r="P48" s="11">
        <f t="shared" si="3"/>
        <v>0.49476870379162996</v>
      </c>
    </row>
    <row r="49" spans="1:17" ht="12" customHeight="1">
      <c r="F49" s="7"/>
      <c r="G49" s="179" t="s">
        <v>85</v>
      </c>
      <c r="H49" s="100"/>
      <c r="I49" s="100"/>
      <c r="J49" s="155">
        <f>SUM(J33,J46)</f>
        <v>12.023234156999999</v>
      </c>
      <c r="K49" s="782">
        <f>SUM(K33,K46)</f>
        <v>13.609407523000002</v>
      </c>
      <c r="L49" s="147">
        <f>SUM(L33,L46)</f>
        <v>5.9174960480000003</v>
      </c>
      <c r="M49" s="157">
        <f>SUM(M33,M46)</f>
        <v>6.743670370000002</v>
      </c>
      <c r="N49" s="157">
        <f>SUM(N33,N46)</f>
        <v>6.1057381089999998</v>
      </c>
      <c r="O49" s="14">
        <f t="shared" si="2"/>
        <v>-0.11655179508281055</v>
      </c>
      <c r="P49" s="15">
        <f t="shared" si="3"/>
        <v>-3.0823656583192638E-2</v>
      </c>
    </row>
    <row r="50" spans="1:17" ht="12" customHeight="1">
      <c r="F50" s="7"/>
      <c r="G50" s="100" t="s">
        <v>99</v>
      </c>
      <c r="H50" s="100"/>
      <c r="I50" s="100"/>
      <c r="J50" s="155">
        <f>J37</f>
        <v>4.4162472879999983</v>
      </c>
      <c r="K50" s="156">
        <f>K37</f>
        <v>5.8029053360000002</v>
      </c>
      <c r="L50" s="147">
        <f>L37</f>
        <v>2.1330412699999997</v>
      </c>
      <c r="M50" s="157">
        <f>M37</f>
        <v>2.8012523410000005</v>
      </c>
      <c r="N50" s="157">
        <f>N37</f>
        <v>2.2832060179999996</v>
      </c>
      <c r="O50" s="14">
        <f t="shared" si="2"/>
        <v>-0.23896672353478432</v>
      </c>
      <c r="P50" s="15">
        <f t="shared" si="3"/>
        <v>-6.5784863349684586E-2</v>
      </c>
    </row>
    <row r="51" spans="1:17" ht="12" customHeight="1">
      <c r="F51" s="18"/>
      <c r="G51" s="102" t="s">
        <v>93</v>
      </c>
      <c r="H51" s="102"/>
      <c r="I51" s="102"/>
      <c r="J51" s="160">
        <f>SUM(J41,J47)</f>
        <v>12.984768953999998</v>
      </c>
      <c r="K51" s="783">
        <f>SUM(K41,K47)</f>
        <v>4.7417902860000005</v>
      </c>
      <c r="L51" s="161">
        <f>SUM(L41,L47)</f>
        <v>9.5793160429999968</v>
      </c>
      <c r="M51" s="162">
        <f>SUM(M41,M47)</f>
        <v>2.0900365420000004</v>
      </c>
      <c r="N51" s="162">
        <f>SUM(N41,N47)</f>
        <v>3.4054529109999998</v>
      </c>
      <c r="O51" s="19">
        <f t="shared" si="2"/>
        <v>1.7383693955881734</v>
      </c>
      <c r="P51" s="20">
        <f t="shared" si="3"/>
        <v>1.8128909117603875</v>
      </c>
    </row>
    <row r="52" spans="1:17" ht="12" customHeight="1">
      <c r="F52" s="9" t="s">
        <v>4</v>
      </c>
      <c r="G52" s="98" t="s">
        <v>141</v>
      </c>
      <c r="H52" s="98"/>
      <c r="I52" s="98"/>
      <c r="J52" s="148">
        <f>SUM(J53:J54)</f>
        <v>1175.0237372760002</v>
      </c>
      <c r="K52" s="777">
        <f>SUM(K53:K54)</f>
        <v>207.24129754200001</v>
      </c>
      <c r="L52" s="163">
        <f>SUM(L53:L54)</f>
        <v>1057.8621980330001</v>
      </c>
      <c r="M52" s="151">
        <f>SUM(M53:M54)</f>
        <v>125.836269832</v>
      </c>
      <c r="N52" s="151">
        <f>SUM(N53:N54)</f>
        <v>117.16153924299999</v>
      </c>
      <c r="O52" s="11">
        <f>IF(K52/J52&lt;0,"n.a.",IF(J52&gt;0,ROUND(K52,4)/ROUND(J52,4)-1,IF(J52&lt;0,"n.a.")))</f>
        <v>-0.82362798299302387</v>
      </c>
      <c r="P52" s="11">
        <f t="shared" si="3"/>
        <v>8.0290940283284176</v>
      </c>
    </row>
    <row r="53" spans="1:17" ht="12" customHeight="1">
      <c r="F53" s="7"/>
      <c r="G53" s="100" t="s">
        <v>101</v>
      </c>
      <c r="H53" s="100"/>
      <c r="I53" s="100"/>
      <c r="J53" s="155">
        <v>0</v>
      </c>
      <c r="K53" s="779">
        <v>0</v>
      </c>
      <c r="L53" s="147">
        <v>0</v>
      </c>
      <c r="M53" s="157">
        <v>0</v>
      </c>
      <c r="N53" s="157">
        <v>0</v>
      </c>
      <c r="O53" s="14"/>
      <c r="P53" s="15"/>
    </row>
    <row r="54" spans="1:17" ht="12" customHeight="1">
      <c r="F54" s="7"/>
      <c r="G54" s="102" t="s">
        <v>102</v>
      </c>
      <c r="H54" s="102"/>
      <c r="I54" s="102"/>
      <c r="J54" s="160">
        <v>1175.0237372760002</v>
      </c>
      <c r="K54" s="781">
        <v>207.24129754200001</v>
      </c>
      <c r="L54" s="161">
        <v>1057.8621980330001</v>
      </c>
      <c r="M54" s="162">
        <v>125.836269832</v>
      </c>
      <c r="N54" s="162">
        <v>117.16153924299999</v>
      </c>
      <c r="O54" s="19">
        <f t="shared" si="2"/>
        <v>4.6698336673240322</v>
      </c>
      <c r="P54" s="20">
        <f>IF(L54/N54&lt;0,"n.a.",IF(N54&gt;0,ROUND(L54,4)/ROUND(N54,4)-1,IF(N54&lt;0,"n.a.")))</f>
        <v>8.0290940283284176</v>
      </c>
    </row>
    <row r="55" spans="1:17" ht="12" customHeight="1">
      <c r="F55" s="18"/>
      <c r="J55" s="67"/>
      <c r="K55" s="67"/>
      <c r="L55" s="769"/>
      <c r="M55" s="67"/>
      <c r="N55" s="67"/>
    </row>
    <row r="56" spans="1:17" ht="12" customHeight="1">
      <c r="F56" s="9" t="s">
        <v>2</v>
      </c>
      <c r="J56" s="67"/>
      <c r="K56" s="67"/>
      <c r="L56" s="67"/>
      <c r="M56" s="67"/>
      <c r="N56" s="67"/>
      <c r="Q56" s="1" ph="1"/>
    </row>
    <row r="57" spans="1:17" ht="12" customHeight="1">
      <c r="J57" s="67"/>
      <c r="K57" s="67"/>
      <c r="L57" s="67"/>
      <c r="M57" s="53"/>
      <c r="N57" s="53"/>
    </row>
    <row r="58" spans="1:17" ht="12" customHeight="1">
      <c r="I58" s="535"/>
      <c r="J58" s="67"/>
      <c r="K58" s="67"/>
      <c r="L58" s="67"/>
      <c r="M58" s="67"/>
      <c r="N58" s="67"/>
    </row>
    <row r="59" spans="1:17" ht="12" customHeight="1">
      <c r="J59" s="67"/>
      <c r="K59" s="67"/>
      <c r="L59" s="67"/>
      <c r="M59" s="67"/>
      <c r="N59" s="67"/>
    </row>
    <row r="60" spans="1:17" ht="12" customHeight="1">
      <c r="J60" s="67"/>
      <c r="K60" s="67"/>
      <c r="L60" s="67"/>
      <c r="M60" s="67"/>
      <c r="N60" s="67"/>
    </row>
    <row r="61" spans="1:17" ht="12" customHeight="1">
      <c r="I61" s="535"/>
      <c r="J61" s="67"/>
      <c r="K61" s="67"/>
      <c r="L61" s="67"/>
      <c r="M61" s="67"/>
      <c r="N61" s="67"/>
    </row>
    <row r="62" spans="1:17" ht="12" customHeight="1">
      <c r="J62" s="67"/>
      <c r="K62" s="67"/>
      <c r="L62" s="67"/>
      <c r="M62" s="67"/>
      <c r="N62" s="67"/>
    </row>
    <row r="63" spans="1:17" ht="12" customHeight="1">
      <c r="J63" s="67"/>
      <c r="K63" s="67"/>
      <c r="L63" s="67"/>
      <c r="M63" s="67"/>
      <c r="N63" s="67"/>
    </row>
    <row r="64" spans="1:17" ht="12" customHeight="1">
      <c r="A64" s="1"/>
      <c r="J64" s="67"/>
      <c r="K64" s="67"/>
      <c r="L64" s="67"/>
      <c r="M64" s="67"/>
      <c r="N64" s="67"/>
    </row>
    <row r="65" spans="1:14" ht="12" customHeight="1">
      <c r="A65" s="1"/>
      <c r="I65" s="535"/>
      <c r="J65" s="67"/>
      <c r="K65" s="67"/>
      <c r="L65" s="67"/>
      <c r="M65" s="67"/>
      <c r="N65" s="67"/>
    </row>
    <row r="66" spans="1:14" ht="12" customHeight="1">
      <c r="A66" s="1"/>
      <c r="J66" s="67"/>
      <c r="K66" s="67"/>
      <c r="L66" s="67"/>
      <c r="M66" s="67"/>
      <c r="N66" s="67"/>
    </row>
    <row r="67" spans="1:14" ht="12" customHeight="1">
      <c r="A67" s="1"/>
      <c r="J67" s="67"/>
      <c r="K67" s="67"/>
      <c r="L67" s="67"/>
      <c r="M67" s="67"/>
      <c r="N67" s="67"/>
    </row>
    <row r="68" spans="1:14" ht="12" customHeight="1">
      <c r="A68" s="1"/>
      <c r="J68" s="67"/>
      <c r="K68" s="67"/>
      <c r="L68" s="67"/>
      <c r="M68" s="67"/>
      <c r="N68" s="67"/>
    </row>
    <row r="69" spans="1:14" ht="12" customHeight="1">
      <c r="A69" s="1"/>
      <c r="J69" s="67"/>
      <c r="K69" s="67"/>
      <c r="L69" s="67"/>
      <c r="M69" s="67"/>
      <c r="N69" s="67"/>
    </row>
    <row r="70" spans="1:14" ht="12" customHeight="1">
      <c r="A70" s="1"/>
      <c r="J70" s="67"/>
      <c r="K70" s="67"/>
      <c r="L70" s="67"/>
      <c r="M70" s="67"/>
      <c r="N70" s="67"/>
    </row>
    <row r="71" spans="1:14" ht="12" customHeight="1">
      <c r="A71" s="1"/>
      <c r="J71" s="67"/>
      <c r="K71" s="67"/>
      <c r="L71" s="67"/>
      <c r="M71" s="67"/>
      <c r="N71" s="67"/>
    </row>
    <row r="72" spans="1:14" ht="12" customHeight="1">
      <c r="A72" s="1"/>
      <c r="J72" s="67"/>
      <c r="K72" s="67"/>
      <c r="L72" s="67"/>
      <c r="M72" s="67"/>
      <c r="N72" s="67"/>
    </row>
    <row r="73" spans="1:14" ht="12" customHeight="1">
      <c r="A73" s="1"/>
      <c r="J73" s="67"/>
      <c r="K73" s="67"/>
      <c r="L73" s="67"/>
      <c r="M73" s="67"/>
      <c r="N73" s="67"/>
    </row>
    <row r="74" spans="1:14" ht="12" customHeight="1">
      <c r="A74" s="1"/>
      <c r="J74" s="67"/>
      <c r="K74" s="67"/>
      <c r="L74" s="67"/>
      <c r="M74" s="67"/>
      <c r="N74" s="67"/>
    </row>
    <row r="75" spans="1:14" ht="12" customHeight="1">
      <c r="A75" s="1"/>
      <c r="J75" s="67"/>
      <c r="K75" s="67"/>
    </row>
    <row r="76" spans="1:14" ht="12" customHeight="1">
      <c r="A76" s="1"/>
      <c r="J76" s="67"/>
      <c r="K76" s="67"/>
    </row>
    <row r="77" spans="1:14" ht="12" customHeight="1">
      <c r="J77" s="67"/>
      <c r="K77" s="67"/>
    </row>
    <row r="78" spans="1:14" ht="12" customHeight="1">
      <c r="J78" s="67"/>
      <c r="K78" s="67"/>
    </row>
    <row r="81" spans="10:14" ht="12" customHeight="1">
      <c r="J81" s="1" ph="1"/>
      <c r="K81" s="1" ph="1"/>
      <c r="L81" s="1" ph="1"/>
      <c r="M81" s="1" ph="1"/>
      <c r="N81" s="1" ph="1"/>
    </row>
    <row r="82" spans="10:14" ht="12" customHeight="1">
      <c r="J82" s="1" ph="1"/>
      <c r="K82" s="1" ph="1"/>
      <c r="L82" s="1" ph="1"/>
      <c r="M82" s="1" ph="1"/>
      <c r="N82" s="1" ph="1"/>
    </row>
    <row r="83" spans="10:14" ht="12" customHeight="1">
      <c r="J83" s="1" ph="1"/>
      <c r="K83" s="1" ph="1"/>
      <c r="L83" s="1" ph="1"/>
      <c r="M83" s="1" ph="1"/>
      <c r="N83" s="1" ph="1"/>
    </row>
    <row r="84" spans="10:14" ht="12" customHeight="1">
      <c r="J84" s="1" ph="1"/>
      <c r="K84" s="1" ph="1"/>
      <c r="L84" s="1" ph="1"/>
      <c r="M84" s="1" ph="1"/>
      <c r="N84" s="1" ph="1"/>
    </row>
    <row r="85" spans="10:14" ht="12" customHeight="1">
      <c r="J85" s="1" ph="1"/>
      <c r="K85" s="1" ph="1"/>
      <c r="L85" s="1" ph="1"/>
      <c r="M85" s="1" ph="1"/>
      <c r="N85" s="1" ph="1"/>
    </row>
    <row r="86" spans="10:14" ht="12" customHeight="1">
      <c r="J86" s="1" ph="1"/>
      <c r="K86" s="1" ph="1"/>
      <c r="L86" s="1" ph="1"/>
      <c r="M86" s="1" ph="1"/>
      <c r="N86" s="1" ph="1"/>
    </row>
    <row r="87" spans="10:14" ht="12" customHeight="1">
      <c r="J87" s="1" ph="1"/>
      <c r="K87" s="1" ph="1"/>
      <c r="L87" s="1" ph="1"/>
      <c r="M87" s="1" ph="1"/>
      <c r="N87" s="1" ph="1"/>
    </row>
    <row r="88" spans="10:14" ht="12" customHeight="1">
      <c r="J88" s="1" ph="1"/>
      <c r="K88" s="1" ph="1"/>
      <c r="L88" s="1" ph="1"/>
      <c r="M88" s="1" ph="1"/>
      <c r="N88" s="1" ph="1"/>
    </row>
    <row r="89" spans="10:14" ht="12" customHeight="1">
      <c r="J89" s="1" ph="1"/>
      <c r="K89" s="1" ph="1"/>
      <c r="L89" s="1" ph="1"/>
      <c r="M89" s="1" ph="1"/>
      <c r="N89" s="1" ph="1"/>
    </row>
    <row r="90" spans="10:14" ht="12" customHeight="1">
      <c r="J90" s="1" ph="1"/>
      <c r="K90" s="1" ph="1"/>
      <c r="L90" s="1" ph="1"/>
      <c r="M90" s="1" ph="1"/>
      <c r="N90" s="1" ph="1"/>
    </row>
    <row r="91" spans="10:14" ht="12" customHeight="1">
      <c r="J91" s="1" ph="1"/>
      <c r="K91" s="1" ph="1"/>
      <c r="L91" s="1" ph="1"/>
      <c r="M91" s="1" ph="1"/>
      <c r="N91" s="1" ph="1"/>
    </row>
    <row r="92" spans="10:14" ht="12" customHeight="1">
      <c r="J92" s="1" ph="1"/>
      <c r="K92" s="1" ph="1"/>
      <c r="L92" s="1" ph="1"/>
      <c r="M92" s="1" ph="1"/>
      <c r="N92" s="1" ph="1"/>
    </row>
    <row r="93" spans="10:14" ht="12" customHeight="1">
      <c r="J93" s="1" ph="1"/>
      <c r="K93" s="1" ph="1"/>
      <c r="L93" s="1" ph="1"/>
      <c r="M93" s="1" ph="1"/>
      <c r="N93" s="1" ph="1"/>
    </row>
    <row r="94" spans="10:14" ht="12" customHeight="1">
      <c r="J94" s="1" ph="1"/>
      <c r="K94" s="1" ph="1"/>
      <c r="L94" s="1" ph="1"/>
      <c r="M94" s="1" ph="1"/>
      <c r="N94" s="1" ph="1"/>
    </row>
    <row r="95" spans="10:14" ht="12" customHeight="1">
      <c r="J95" s="1" ph="1"/>
      <c r="K95" s="1" ph="1"/>
      <c r="L95" s="1" ph="1"/>
      <c r="M95" s="1" ph="1"/>
      <c r="N95" s="1" ph="1"/>
    </row>
    <row r="96" spans="10:14" ht="12" customHeight="1">
      <c r="J96" s="1" ph="1"/>
      <c r="K96" s="1" ph="1"/>
      <c r="L96" s="1" ph="1"/>
      <c r="M96" s="1" ph="1"/>
      <c r="N96" s="1" ph="1"/>
    </row>
    <row r="97" spans="10:14" ht="12" customHeight="1">
      <c r="J97" s="1" ph="1"/>
      <c r="K97" s="1" ph="1"/>
      <c r="L97" s="1" ph="1"/>
      <c r="M97" s="1" ph="1"/>
      <c r="N97" s="1" ph="1"/>
    </row>
    <row r="98" spans="10:14" ht="12" customHeight="1">
      <c r="J98" s="1" ph="1"/>
      <c r="K98" s="1" ph="1"/>
      <c r="L98" s="1" ph="1"/>
      <c r="M98" s="1" ph="1"/>
      <c r="N98" s="1" ph="1"/>
    </row>
    <row r="99" spans="10:14" ht="12" customHeight="1">
      <c r="J99" s="1" ph="1"/>
      <c r="K99" s="1" ph="1"/>
      <c r="L99" s="1" ph="1"/>
      <c r="M99" s="1" ph="1"/>
      <c r="N99" s="1" ph="1"/>
    </row>
    <row r="100" spans="10:14" ht="12" customHeight="1">
      <c r="J100" s="1" ph="1"/>
      <c r="K100" s="1" ph="1"/>
      <c r="L100" s="1" ph="1"/>
      <c r="M100" s="1" ph="1"/>
      <c r="N100" s="1" ph="1"/>
    </row>
    <row r="101" spans="10:14" ht="12" customHeight="1">
      <c r="J101" s="1" ph="1"/>
      <c r="K101" s="1" ph="1"/>
      <c r="L101" s="1" ph="1"/>
      <c r="M101" s="1" ph="1"/>
      <c r="N101" s="1" ph="1"/>
    </row>
    <row r="102" spans="10:14" ht="12" customHeight="1">
      <c r="J102" s="1" ph="1"/>
      <c r="K102" s="1" ph="1"/>
      <c r="L102" s="1" ph="1"/>
      <c r="M102" s="1" ph="1"/>
      <c r="N102" s="1" ph="1"/>
    </row>
    <row r="103" spans="10:14" ht="12" customHeight="1">
      <c r="J103" s="1" ph="1"/>
      <c r="K103" s="1" ph="1"/>
      <c r="L103" s="1" ph="1"/>
      <c r="M103" s="1" ph="1"/>
      <c r="N103" s="1" ph="1"/>
    </row>
  </sheetData>
  <mergeCells count="4">
    <mergeCell ref="J3:K3"/>
    <mergeCell ref="L3:N3"/>
    <mergeCell ref="J30:K30"/>
    <mergeCell ref="L30:N30"/>
  </mergeCells>
  <phoneticPr fontId="7" type="noConversion"/>
  <hyperlinks>
    <hyperlink ref="B5" location="FH!A1" display="재무현황" xr:uid="{00000000-0004-0000-0800-000000000000}"/>
    <hyperlink ref="B7" location="FS!A1" display="요약재무상태표 (Selected Balance sheet)" xr:uid="{00000000-0004-0000-0800-000001000000}"/>
    <hyperlink ref="C15" location="Stability!A1" display="재무 안정성 (Financial Stability)" xr:uid="{00000000-0004-0000-0800-000002000000}"/>
    <hyperlink ref="C16" location="Productivity!A1" display="생산성 / 경영효율 (Productivity / Operating Efficiency)" xr:uid="{00000000-0004-0000-0800-000003000000}"/>
    <hyperlink ref="C20" location="'Premium Income by P.T.(GA+SA)'!A1" display="상품별 수입보험료 (Premium Income)" xr:uid="{00000000-0004-0000-0800-000004000000}"/>
    <hyperlink ref="C21" location="'Initial P. by P.T.'!A1" display="상품별 초회보험료 (Initial Premium)" xr:uid="{00000000-0004-0000-0800-000005000000}"/>
    <hyperlink ref="C22" location="'First-year P. by P.T.'!A1" display="상품별 초년도보험료 (First Year Premium)" xr:uid="{00000000-0004-0000-0800-000006000000}"/>
    <hyperlink ref="C26" location="'Premium Income by D.C.(GA+SA)'!A1" display="채널별 수입보험료 (Premium Income)" xr:uid="{00000000-0004-0000-0800-000007000000}"/>
    <hyperlink ref="C27" location="'First-year P. by D.C'!A1" display="채널별 초년도보험료 (First Year Premium)" xr:uid="{00000000-0004-0000-0800-000008000000}"/>
    <hyperlink ref="C31" location="'&gt;Loan'!A1" display="대출 (Loan)/ 자산건전성 (Asset Quality of Loan)" xr:uid="{00000000-0004-0000-0800-000009000000}"/>
    <hyperlink ref="C32" location="'&gt;Bond'!A1" display="채권 (Bond)" xr:uid="{00000000-0004-0000-0800-00000A000000}"/>
    <hyperlink ref="C35" location="'BS  K-IFRS'!A1" display="재무상태표 (Balance Sheet - KIFRS)" xr:uid="{00000000-0004-0000-0800-00000B000000}"/>
    <hyperlink ref="C36" location="'IS  K-IFRS'!A1" display="손익계산서 (Income Statement - KIFRS)" xr:uid="{00000000-0004-0000-0800-00000C000000}"/>
    <hyperlink ref="B8" location="FS!A1" display="요약손익계산서 (Selected Income Statement)" xr:uid="{00000000-0004-0000-0800-00000D000000}"/>
    <hyperlink ref="B10" location="CSM!A1" display="RA, CSM, BEL Movement" xr:uid="{00000000-0004-0000-0800-00000E000000}"/>
    <hyperlink ref="B11" location="CSM!A1" display="신계약 CSM (New Business CSM)" xr:uid="{00000000-0004-0000-0800-00000F000000}"/>
    <hyperlink ref="B13" location="'Sources of Margin'!A1" display="이원별손익" xr:uid="{00000000-0004-0000-0800-000010000000}"/>
    <hyperlink ref="B12" location="CSM!A1" display="신계약 CSM 배수 (New Business CSM Margin)" xr:uid="{00000000-0004-0000-0800-000011000000}"/>
    <hyperlink ref="C19" location="'APE by P.T'!A1" display="상품별 APE (Annualized Premium Equivalent (APE))" xr:uid="{00000000-0004-0000-0800-000012000000}"/>
    <hyperlink ref="C25" location="'APE by D.C'!A1" display="채널별 APE (Annualized Premium Equivalent (APE))" xr:uid="{00000000-0004-0000-0800-000013000000}"/>
  </hyperlinks>
  <pageMargins left="0.19685039370078741" right="0.19685039370078741" top="0.74803149606299213" bottom="0.74803149606299213" header="0.31496062992125984" footer="0.31496062992125984"/>
  <pageSetup paperSize="9" scale="6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10</v>
      </c>
      <c r="G1" s="74" t="s">
        <v>105</v>
      </c>
      <c r="H1" s="75"/>
      <c r="I1" s="75"/>
    </row>
    <row r="2" spans="1:18" ht="12" customHeight="1">
      <c r="A2" s="133"/>
      <c r="B2" s="134"/>
      <c r="C2" s="134"/>
      <c r="F2" s="2" t="s">
        <v>5</v>
      </c>
      <c r="G2" s="92" t="s">
        <v>106</v>
      </c>
      <c r="H2" s="93"/>
      <c r="I2" s="93"/>
    </row>
    <row r="3" spans="1:18" ht="12" customHeight="1">
      <c r="A3" s="133" t="s">
        <v>27</v>
      </c>
      <c r="B3" s="134"/>
      <c r="C3" s="134"/>
      <c r="F3" s="55"/>
      <c r="G3" s="94"/>
      <c r="H3" s="94"/>
      <c r="I3" s="95"/>
      <c r="J3" s="814" t="s">
        <v>82</v>
      </c>
      <c r="K3" s="815"/>
      <c r="L3" s="816" t="s">
        <v>83</v>
      </c>
      <c r="M3" s="814"/>
      <c r="N3" s="815"/>
      <c r="O3" s="94"/>
      <c r="P3" s="94"/>
    </row>
    <row r="4" spans="1:18" ht="12" customHeight="1">
      <c r="A4" s="133"/>
      <c r="B4" s="134"/>
      <c r="C4" s="134"/>
      <c r="F4" s="8" t="s">
        <v>8</v>
      </c>
      <c r="G4" s="77" t="s">
        <v>81</v>
      </c>
      <c r="H4" s="96"/>
      <c r="I4" s="97"/>
      <c r="J4" s="771" t="s">
        <v>381</v>
      </c>
      <c r="K4" s="178" t="s">
        <v>382</v>
      </c>
      <c r="L4" s="771" t="s">
        <v>381</v>
      </c>
      <c r="M4" s="248" t="s">
        <v>382</v>
      </c>
      <c r="N4" s="254">
        <v>46112</v>
      </c>
      <c r="O4" s="251" t="s">
        <v>23</v>
      </c>
      <c r="P4" s="103" t="s">
        <v>24</v>
      </c>
    </row>
    <row r="5" spans="1:18" ht="12" customHeight="1">
      <c r="A5" s="143"/>
      <c r="B5" s="133" t="s">
        <v>155</v>
      </c>
      <c r="C5" s="133"/>
      <c r="F5" s="9" t="s">
        <v>0</v>
      </c>
      <c r="G5" s="98" t="s">
        <v>84</v>
      </c>
      <c r="H5" s="98"/>
      <c r="I5" s="98"/>
      <c r="J5" s="148">
        <f>SUM(J6,J10,J14)</f>
        <v>598.0197300939999</v>
      </c>
      <c r="K5" s="777">
        <f>SUM(K6,K10,K14)</f>
        <v>68.842924893999978</v>
      </c>
      <c r="L5" s="150">
        <f>SUM(L6,L10,L14)</f>
        <v>389.70304255499991</v>
      </c>
      <c r="M5" s="151">
        <f>SUM(M6,M10,M14)</f>
        <v>46.213885307999988</v>
      </c>
      <c r="N5" s="151">
        <f>SUM(N6,N10,N14)</f>
        <v>208.31668753899999</v>
      </c>
      <c r="O5" s="183">
        <f>IF(J5/K5&lt;0,"n.a.",IF(K5&gt;0,ROUND(J5,4)/ROUND(K5,4)-1,IF(K5&lt;0,"n.a.")))</f>
        <v>7.6867302219982001</v>
      </c>
      <c r="P5" s="183">
        <f>IF(L5/N5&lt;0,"n.a.",IF(N5&gt;0,ROUND(L5,4)/ROUND(N5,4)-1,IF(N5&lt;0,"n.a.")))</f>
        <v>0.87072375858488527</v>
      </c>
      <c r="Q5" s="198"/>
      <c r="R5" s="194"/>
    </row>
    <row r="6" spans="1:18" ht="12" customHeight="1">
      <c r="A6" s="143"/>
      <c r="B6" s="142"/>
      <c r="C6" s="134"/>
      <c r="F6" s="7"/>
      <c r="G6" s="99" t="s">
        <v>85</v>
      </c>
      <c r="H6" s="99"/>
      <c r="I6" s="99"/>
      <c r="J6" s="152">
        <f>SUM(J7:J9)</f>
        <v>25.061861204000007</v>
      </c>
      <c r="K6" s="778">
        <f>SUM(K7:K9)</f>
        <v>39.079857967999985</v>
      </c>
      <c r="L6" s="153">
        <f>SUM(L7:L9)</f>
        <v>15.140790927000005</v>
      </c>
      <c r="M6" s="154">
        <f>SUM(M7:M9)</f>
        <v>20.080886363999994</v>
      </c>
      <c r="N6" s="154">
        <f>SUM(N7:N9)</f>
        <v>9.9210702770000019</v>
      </c>
      <c r="O6" s="184">
        <f t="shared" ref="O6:O27" si="0">IF(J6/K6&lt;0,"n.a.",IF(K6&gt;0,ROUND(J6,4)/ROUND(K6,4)-1,IF(K6&lt;0,"n.a.")))</f>
        <v>-0.35870102021755434</v>
      </c>
      <c r="P6" s="188">
        <f t="shared" ref="P6:P27" si="1">IF(L6/N6&lt;0,"n.a.",IF(N6&gt;0,ROUND(L6,4)/ROUND(N6,4)-1,IF(N6&lt;0,"n.a.")))</f>
        <v>0.52612109544304575</v>
      </c>
      <c r="Q6" s="198"/>
      <c r="R6" s="200"/>
    </row>
    <row r="7" spans="1:18" ht="12" customHeight="1">
      <c r="A7" s="143"/>
      <c r="B7" s="142" t="s">
        <v>212</v>
      </c>
      <c r="C7" s="134"/>
      <c r="F7" s="7"/>
      <c r="G7" s="100"/>
      <c r="H7" s="100" t="s">
        <v>86</v>
      </c>
      <c r="I7" s="100"/>
      <c r="J7" s="155">
        <v>13.189413802000002</v>
      </c>
      <c r="K7" s="779">
        <v>9.3183567749999998</v>
      </c>
      <c r="L7" s="147">
        <v>8.9232263660000015</v>
      </c>
      <c r="M7" s="157">
        <v>4.0229114969999999</v>
      </c>
      <c r="N7" s="157">
        <v>4.2661874360000009</v>
      </c>
      <c r="O7" s="185">
        <f>IF(J7/K7&lt;0,"n.a.",IF(K7&gt;0,ROUND(J7,4)/ROUND(K7,4)-1,IF(K7&lt;0,"n.a.")))</f>
        <v>0.41541466346153832</v>
      </c>
      <c r="P7" s="189">
        <f>IF(L7/N7&lt;0,"n.a.",IF(N7&gt;0,ROUND(L7,4)/ROUND(N7,4)-1,IF(N7&lt;0,"n.a.")))</f>
        <v>1.0916037691622518</v>
      </c>
      <c r="Q7" s="198"/>
      <c r="R7" s="201"/>
    </row>
    <row r="8" spans="1:18" ht="12" customHeight="1">
      <c r="A8" s="143"/>
      <c r="B8" s="142" t="s">
        <v>213</v>
      </c>
      <c r="C8" s="134"/>
      <c r="F8" s="7"/>
      <c r="G8" s="100"/>
      <c r="H8" s="100" t="s">
        <v>87</v>
      </c>
      <c r="I8" s="100"/>
      <c r="J8" s="155">
        <v>-5.1106999999999997E-5</v>
      </c>
      <c r="K8" s="779">
        <v>-9.1696699999999998E-4</v>
      </c>
      <c r="L8" s="147">
        <v>-5.1106999999999997E-5</v>
      </c>
      <c r="M8" s="157">
        <v>-2.6448300000000004E-4</v>
      </c>
      <c r="N8" s="157">
        <v>0</v>
      </c>
      <c r="O8" s="185"/>
      <c r="P8" s="189"/>
      <c r="Q8" s="198"/>
      <c r="R8" s="201"/>
    </row>
    <row r="9" spans="1:18" ht="12" customHeight="1">
      <c r="A9" s="143"/>
      <c r="B9" s="142"/>
      <c r="C9" s="134"/>
      <c r="F9" s="7"/>
      <c r="G9" s="100"/>
      <c r="H9" s="100" t="s">
        <v>88</v>
      </c>
      <c r="I9" s="100"/>
      <c r="J9" s="155">
        <v>11.872498509000005</v>
      </c>
      <c r="K9" s="779">
        <v>29.762418159999985</v>
      </c>
      <c r="L9" s="147">
        <v>6.2176156680000041</v>
      </c>
      <c r="M9" s="157">
        <v>16.058239349999994</v>
      </c>
      <c r="N9" s="157">
        <v>5.654882841</v>
      </c>
      <c r="O9" s="185">
        <f t="shared" si="0"/>
        <v>-0.60109063785178618</v>
      </c>
      <c r="P9" s="189">
        <f t="shared" si="1"/>
        <v>9.9506622575112003E-2</v>
      </c>
      <c r="Q9" s="198"/>
      <c r="R9" s="201"/>
    </row>
    <row r="10" spans="1:18" ht="12" customHeight="1">
      <c r="A10" s="133"/>
      <c r="B10" s="142" t="s">
        <v>171</v>
      </c>
      <c r="C10" s="134"/>
      <c r="F10" s="7"/>
      <c r="G10" s="101" t="s">
        <v>89</v>
      </c>
      <c r="H10" s="101"/>
      <c r="I10" s="101"/>
      <c r="J10" s="152">
        <f>SUM(J11:J13)</f>
        <v>572.72155476099988</v>
      </c>
      <c r="K10" s="778">
        <f>SUM(K11:K13)</f>
        <v>29.532070714999996</v>
      </c>
      <c r="L10" s="158">
        <f>SUM(L11:L13)</f>
        <v>374.51014718599993</v>
      </c>
      <c r="M10" s="159">
        <f>SUM(M11:M13)</f>
        <v>26.003610088999995</v>
      </c>
      <c r="N10" s="159">
        <f>SUM(N11:N13)</f>
        <v>198.21140757499998</v>
      </c>
      <c r="O10" s="186">
        <f t="shared" si="0"/>
        <v>18.393189106091338</v>
      </c>
      <c r="P10" s="190">
        <f t="shared" si="1"/>
        <v>0.88944783196122934</v>
      </c>
      <c r="Q10" s="198"/>
      <c r="R10" s="200"/>
    </row>
    <row r="11" spans="1:18" ht="12" customHeight="1">
      <c r="A11" s="133"/>
      <c r="B11" s="142" t="s">
        <v>166</v>
      </c>
      <c r="C11" s="134"/>
      <c r="F11" s="7"/>
      <c r="G11" s="100"/>
      <c r="H11" s="100" t="s">
        <v>90</v>
      </c>
      <c r="I11" s="100"/>
      <c r="J11" s="155">
        <v>0.424395254</v>
      </c>
      <c r="K11" s="780">
        <v>0.45906350500000009</v>
      </c>
      <c r="L11" s="466">
        <v>0.20211098999999999</v>
      </c>
      <c r="M11" s="157">
        <v>0.27818386300000003</v>
      </c>
      <c r="N11" s="157">
        <v>0.22228426400000001</v>
      </c>
      <c r="O11" s="185">
        <f t="shared" si="0"/>
        <v>-7.5582661729470701E-2</v>
      </c>
      <c r="P11" s="189">
        <f t="shared" si="1"/>
        <v>-9.0868196131353995E-2</v>
      </c>
      <c r="Q11" s="198"/>
      <c r="R11" s="201"/>
    </row>
    <row r="12" spans="1:18" ht="12" customHeight="1">
      <c r="A12" s="133"/>
      <c r="B12" s="142" t="s">
        <v>219</v>
      </c>
      <c r="C12" s="134"/>
      <c r="F12" s="7"/>
      <c r="G12" s="100"/>
      <c r="H12" s="100" t="s">
        <v>91</v>
      </c>
      <c r="I12" s="100"/>
      <c r="J12" s="155">
        <v>572.29715950699983</v>
      </c>
      <c r="K12" s="779">
        <v>29.073007209999997</v>
      </c>
      <c r="L12" s="147">
        <v>374.30803619599993</v>
      </c>
      <c r="M12" s="157">
        <v>25.725426225999996</v>
      </c>
      <c r="N12" s="157">
        <v>197.98912331099999</v>
      </c>
      <c r="O12" s="185">
        <f t="shared" si="0"/>
        <v>18.684834726378426</v>
      </c>
      <c r="P12" s="189">
        <f t="shared" si="1"/>
        <v>0.89054852009529806</v>
      </c>
      <c r="Q12" s="198"/>
      <c r="R12" s="201"/>
    </row>
    <row r="13" spans="1:18" ht="12" customHeight="1">
      <c r="A13" s="133"/>
      <c r="B13" s="142"/>
      <c r="C13" s="134"/>
      <c r="F13" s="7"/>
      <c r="G13" s="100"/>
      <c r="H13" s="100" t="s">
        <v>92</v>
      </c>
      <c r="I13" s="100"/>
      <c r="J13" s="155">
        <v>0</v>
      </c>
      <c r="K13" s="779">
        <v>0</v>
      </c>
      <c r="L13" s="147">
        <v>0</v>
      </c>
      <c r="M13" s="157">
        <v>0</v>
      </c>
      <c r="N13" s="157">
        <v>0</v>
      </c>
      <c r="O13" s="185"/>
      <c r="P13" s="189"/>
      <c r="Q13" s="198"/>
      <c r="R13" s="201"/>
    </row>
    <row r="14" spans="1:18" ht="12" customHeight="1">
      <c r="A14" s="133"/>
      <c r="B14" s="133" t="s">
        <v>173</v>
      </c>
      <c r="C14" s="134"/>
      <c r="F14" s="7"/>
      <c r="G14" s="101" t="s">
        <v>93</v>
      </c>
      <c r="H14" s="101"/>
      <c r="I14" s="101"/>
      <c r="J14" s="152">
        <f>SUM(J15:J17)</f>
        <v>0.23631412899999998</v>
      </c>
      <c r="K14" s="778">
        <f>SUM(K15:K17)</f>
        <v>0.23099621100000001</v>
      </c>
      <c r="L14" s="158">
        <f>SUM(L15:L17)</f>
        <v>5.2104442000000001E-2</v>
      </c>
      <c r="M14" s="159">
        <f>SUM(M15:M17)</f>
        <v>0.129388855</v>
      </c>
      <c r="N14" s="159">
        <f>SUM(N15:N17)</f>
        <v>0.18420968699999998</v>
      </c>
      <c r="O14" s="186">
        <f t="shared" si="0"/>
        <v>2.2943722943723044E-2</v>
      </c>
      <c r="P14" s="190">
        <f t="shared" si="1"/>
        <v>-0.71715526601520085</v>
      </c>
      <c r="Q14" s="198"/>
      <c r="R14" s="200"/>
    </row>
    <row r="15" spans="1:18" ht="12" customHeight="1">
      <c r="A15" s="133"/>
      <c r="B15" s="135"/>
      <c r="C15" s="142" t="s">
        <v>40</v>
      </c>
      <c r="F15" s="7"/>
      <c r="G15" s="100"/>
      <c r="H15" s="100" t="s">
        <v>90</v>
      </c>
      <c r="I15" s="100"/>
      <c r="J15" s="155">
        <v>0</v>
      </c>
      <c r="K15" s="779">
        <v>0</v>
      </c>
      <c r="L15" s="147">
        <v>0</v>
      </c>
      <c r="M15" s="157">
        <v>0</v>
      </c>
      <c r="N15" s="157">
        <v>0</v>
      </c>
      <c r="O15" s="185"/>
      <c r="P15" s="189"/>
      <c r="Q15" s="198"/>
      <c r="R15" s="201"/>
    </row>
    <row r="16" spans="1:18" ht="12" customHeight="1">
      <c r="A16" s="133"/>
      <c r="B16" s="133"/>
      <c r="C16" s="142" t="s">
        <v>41</v>
      </c>
      <c r="F16" s="7"/>
      <c r="G16" s="100"/>
      <c r="H16" s="100" t="s">
        <v>91</v>
      </c>
      <c r="I16" s="100"/>
      <c r="J16" s="155">
        <v>0.23631412899999998</v>
      </c>
      <c r="K16" s="779">
        <v>0.23099621100000001</v>
      </c>
      <c r="L16" s="147">
        <v>5.2104442000000001E-2</v>
      </c>
      <c r="M16" s="157">
        <v>0.129388855</v>
      </c>
      <c r="N16" s="157">
        <v>0.18420968699999998</v>
      </c>
      <c r="O16" s="185">
        <f>IF(J16/K16&lt;0,"n.a.",IF(K16&gt;0,ROUND(J16,4)/ROUND(K16,4)-1,IF(K16&lt;0,"n.a.")))</f>
        <v>2.2943722943723044E-2</v>
      </c>
      <c r="P16" s="189">
        <f>IF(L16/N16&lt;0,"n.a.",IF(N16&gt;0,ROUND(L16,4)/ROUND(N16,4)-1,IF(N16&lt;0,"n.a.")))</f>
        <v>-0.71715526601520085</v>
      </c>
      <c r="Q16" s="198"/>
      <c r="R16" s="201"/>
    </row>
    <row r="17" spans="1:18" ht="12" customHeight="1">
      <c r="A17" s="133"/>
      <c r="B17" s="133"/>
      <c r="C17" s="142"/>
      <c r="F17" s="7"/>
      <c r="G17" s="100"/>
      <c r="H17" s="100" t="s">
        <v>94</v>
      </c>
      <c r="I17" s="100"/>
      <c r="J17" s="155">
        <v>0</v>
      </c>
      <c r="K17" s="779">
        <v>0</v>
      </c>
      <c r="L17" s="147">
        <v>0</v>
      </c>
      <c r="M17" s="157">
        <v>0</v>
      </c>
      <c r="N17" s="157">
        <v>0</v>
      </c>
      <c r="O17" s="185"/>
      <c r="P17" s="189"/>
      <c r="Q17" s="198"/>
      <c r="R17" s="201"/>
    </row>
    <row r="18" spans="1:18" ht="12" customHeight="1">
      <c r="A18" s="133"/>
      <c r="B18" s="133" t="s">
        <v>176</v>
      </c>
      <c r="C18" s="142"/>
      <c r="F18" s="9" t="s">
        <v>1</v>
      </c>
      <c r="G18" s="98" t="s">
        <v>95</v>
      </c>
      <c r="H18" s="98"/>
      <c r="I18" s="98"/>
      <c r="J18" s="148">
        <f>SUM(J19:J20)</f>
        <v>0</v>
      </c>
      <c r="K18" s="777">
        <f>SUM(K19:K20)</f>
        <v>0</v>
      </c>
      <c r="L18" s="150">
        <f>SUM(L19:L20)</f>
        <v>0</v>
      </c>
      <c r="M18" s="151">
        <f>SUM(M19:M20)</f>
        <v>0</v>
      </c>
      <c r="N18" s="151">
        <f>SUM(N19:N20)</f>
        <v>0</v>
      </c>
      <c r="O18" s="183"/>
      <c r="P18" s="191"/>
      <c r="Q18" s="198"/>
      <c r="R18" s="202"/>
    </row>
    <row r="19" spans="1:18" ht="12" customHeight="1">
      <c r="A19" s="133"/>
      <c r="B19" s="133"/>
      <c r="C19" s="142" t="s">
        <v>33</v>
      </c>
      <c r="F19" s="7"/>
      <c r="G19" s="100" t="s">
        <v>96</v>
      </c>
      <c r="H19" s="100"/>
      <c r="I19" s="100"/>
      <c r="J19" s="155">
        <v>0</v>
      </c>
      <c r="K19" s="779">
        <v>0</v>
      </c>
      <c r="L19" s="147">
        <v>0</v>
      </c>
      <c r="M19" s="157">
        <v>0</v>
      </c>
      <c r="N19" s="157">
        <v>0</v>
      </c>
      <c r="O19" s="185"/>
      <c r="P19" s="189"/>
      <c r="Q19" s="198"/>
      <c r="R19" s="201"/>
    </row>
    <row r="20" spans="1:18" ht="12" customHeight="1">
      <c r="A20" s="133"/>
      <c r="B20" s="133"/>
      <c r="C20" s="142" t="s">
        <v>29</v>
      </c>
      <c r="F20" s="7"/>
      <c r="G20" s="102" t="s">
        <v>97</v>
      </c>
      <c r="H20" s="102"/>
      <c r="I20" s="102"/>
      <c r="J20" s="160">
        <v>0</v>
      </c>
      <c r="K20" s="781">
        <v>0</v>
      </c>
      <c r="L20" s="161">
        <v>0</v>
      </c>
      <c r="M20" s="162">
        <v>0</v>
      </c>
      <c r="N20" s="162">
        <v>0</v>
      </c>
      <c r="O20" s="187"/>
      <c r="P20" s="192"/>
      <c r="Q20" s="198"/>
      <c r="R20" s="201"/>
    </row>
    <row r="21" spans="1:18" ht="12" customHeight="1">
      <c r="A21" s="133"/>
      <c r="B21" s="133"/>
      <c r="C21" s="142" t="s">
        <v>30</v>
      </c>
      <c r="F21" s="18"/>
      <c r="G21" s="98" t="s">
        <v>98</v>
      </c>
      <c r="H21" s="98"/>
      <c r="I21" s="98"/>
      <c r="J21" s="148">
        <f>SUM(J22:J24)</f>
        <v>598.0197300939999</v>
      </c>
      <c r="K21" s="149">
        <f>SUM(K22:K24)</f>
        <v>68.842924893999978</v>
      </c>
      <c r="L21" s="150">
        <f>SUM(L22:L24)</f>
        <v>389.70304255499991</v>
      </c>
      <c r="M21" s="151">
        <f>SUM(M22:M24)</f>
        <v>46.213885307999988</v>
      </c>
      <c r="N21" s="151">
        <f>SUM(N22:N24)</f>
        <v>208.31668753899999</v>
      </c>
      <c r="O21" s="183">
        <f t="shared" si="0"/>
        <v>7.6867302219982001</v>
      </c>
      <c r="P21" s="191">
        <f t="shared" si="1"/>
        <v>0.87072375858488527</v>
      </c>
      <c r="Q21" s="198"/>
      <c r="R21" s="202"/>
    </row>
    <row r="22" spans="1:18" ht="12" customHeight="1">
      <c r="A22" s="133"/>
      <c r="B22" s="133"/>
      <c r="C22" s="142" t="s">
        <v>31</v>
      </c>
      <c r="F22" s="9" t="s">
        <v>4</v>
      </c>
      <c r="G22" s="179" t="s">
        <v>85</v>
      </c>
      <c r="H22" s="100"/>
      <c r="I22" s="100"/>
      <c r="J22" s="155">
        <f>SUM(J6,J19)</f>
        <v>25.061861204000007</v>
      </c>
      <c r="K22" s="782">
        <f>SUM(K6,K19)</f>
        <v>39.079857967999985</v>
      </c>
      <c r="L22" s="147">
        <f>SUM(L6,L19)</f>
        <v>15.140790927000005</v>
      </c>
      <c r="M22" s="157">
        <f>SUM(M6,M19)</f>
        <v>20.080886363999994</v>
      </c>
      <c r="N22" s="157">
        <f>SUM(N6,N19)</f>
        <v>9.9210702770000019</v>
      </c>
      <c r="O22" s="185">
        <f t="shared" si="0"/>
        <v>-0.35870102021755434</v>
      </c>
      <c r="P22" s="189">
        <f t="shared" si="1"/>
        <v>0.52612109544304575</v>
      </c>
      <c r="Q22" s="198"/>
      <c r="R22" s="201"/>
    </row>
    <row r="23" spans="1:18" ht="12" customHeight="1">
      <c r="A23" s="133"/>
      <c r="B23" s="133"/>
      <c r="C23" s="142"/>
      <c r="F23" s="7"/>
      <c r="G23" s="100" t="s">
        <v>99</v>
      </c>
      <c r="H23" s="100"/>
      <c r="I23" s="100"/>
      <c r="J23" s="155">
        <f>J10</f>
        <v>572.72155476099988</v>
      </c>
      <c r="K23" s="156">
        <f>K10</f>
        <v>29.532070714999996</v>
      </c>
      <c r="L23" s="147">
        <f>L10</f>
        <v>374.51014718599993</v>
      </c>
      <c r="M23" s="157">
        <f>M10</f>
        <v>26.003610088999995</v>
      </c>
      <c r="N23" s="157">
        <f>N10</f>
        <v>198.21140757499998</v>
      </c>
      <c r="O23" s="185">
        <f t="shared" si="0"/>
        <v>18.393189106091338</v>
      </c>
      <c r="P23" s="189">
        <f t="shared" si="1"/>
        <v>0.88944783196122934</v>
      </c>
      <c r="Q23" s="198"/>
      <c r="R23" s="201"/>
    </row>
    <row r="24" spans="1:18" ht="12" customHeight="1">
      <c r="A24" s="133"/>
      <c r="B24" s="133" t="s">
        <v>181</v>
      </c>
      <c r="C24" s="142"/>
      <c r="F24" s="7"/>
      <c r="G24" s="102" t="s">
        <v>93</v>
      </c>
      <c r="H24" s="102"/>
      <c r="I24" s="102"/>
      <c r="J24" s="160">
        <f>SUM(J14,J20)</f>
        <v>0.23631412899999998</v>
      </c>
      <c r="K24" s="783">
        <f>SUM(K14,K20)</f>
        <v>0.23099621100000001</v>
      </c>
      <c r="L24" s="161">
        <f>SUM(L14,L20)</f>
        <v>5.2104442000000001E-2</v>
      </c>
      <c r="M24" s="162">
        <f>SUM(M14,M20)</f>
        <v>0.129388855</v>
      </c>
      <c r="N24" s="162">
        <f>SUM(N14,N20)</f>
        <v>0.18420968699999998</v>
      </c>
      <c r="O24" s="187">
        <f t="shared" si="0"/>
        <v>2.2943722943723044E-2</v>
      </c>
      <c r="P24" s="192">
        <f t="shared" si="1"/>
        <v>-0.71715526601520085</v>
      </c>
      <c r="Q24" s="198"/>
      <c r="R24" s="201"/>
    </row>
    <row r="25" spans="1:18" ht="12" customHeight="1">
      <c r="A25" s="133"/>
      <c r="B25" s="133"/>
      <c r="C25" s="142" t="s">
        <v>32</v>
      </c>
      <c r="F25" s="18"/>
      <c r="G25" s="98" t="s">
        <v>100</v>
      </c>
      <c r="H25" s="98"/>
      <c r="I25" s="98"/>
      <c r="J25" s="148">
        <f>SUM(J26:J27)</f>
        <v>13.134637984000001</v>
      </c>
      <c r="K25" s="777">
        <f>SUM(K26:K27)</f>
        <v>0.92698438500000002</v>
      </c>
      <c r="L25" s="163">
        <f>SUM(L26:L27)</f>
        <v>12.274404875</v>
      </c>
      <c r="M25" s="151">
        <f>SUM(M26:M27)</f>
        <v>0.30803075000000002</v>
      </c>
      <c r="N25" s="151">
        <f>SUM(N26:N27)</f>
        <v>0.86023310900000005</v>
      </c>
      <c r="O25" s="467">
        <f t="shared" si="0"/>
        <v>13.168932038834951</v>
      </c>
      <c r="P25" s="191">
        <f t="shared" si="1"/>
        <v>13.269239711694956</v>
      </c>
      <c r="Q25" s="198"/>
      <c r="R25" s="202"/>
    </row>
    <row r="26" spans="1:18" ht="12" customHeight="1">
      <c r="A26" s="133"/>
      <c r="B26" s="133"/>
      <c r="C26" s="142" t="s">
        <v>34</v>
      </c>
      <c r="F26" s="9" t="s">
        <v>2</v>
      </c>
      <c r="G26" s="100" t="s">
        <v>101</v>
      </c>
      <c r="H26" s="100"/>
      <c r="I26" s="100"/>
      <c r="J26" s="155">
        <v>0</v>
      </c>
      <c r="K26" s="779">
        <v>0</v>
      </c>
      <c r="L26" s="147">
        <v>0</v>
      </c>
      <c r="M26" s="157">
        <v>0</v>
      </c>
      <c r="N26" s="157">
        <v>0</v>
      </c>
      <c r="O26" s="185"/>
      <c r="P26" s="189"/>
      <c r="Q26" s="198"/>
      <c r="R26" s="201"/>
    </row>
    <row r="27" spans="1:18" ht="12" customHeight="1">
      <c r="A27" s="133"/>
      <c r="B27" s="133"/>
      <c r="C27" s="142" t="s">
        <v>35</v>
      </c>
      <c r="F27" s="7"/>
      <c r="G27" s="102" t="s">
        <v>102</v>
      </c>
      <c r="H27" s="102"/>
      <c r="I27" s="102"/>
      <c r="J27" s="160">
        <v>13.134637984000001</v>
      </c>
      <c r="K27" s="781">
        <v>0.92698438500000002</v>
      </c>
      <c r="L27" s="161">
        <v>12.274404875</v>
      </c>
      <c r="M27" s="162">
        <v>0.30803075000000002</v>
      </c>
      <c r="N27" s="162">
        <v>0.86023310900000005</v>
      </c>
      <c r="O27" s="187">
        <f t="shared" si="0"/>
        <v>13.168932038834951</v>
      </c>
      <c r="P27" s="192">
        <f t="shared" si="1"/>
        <v>13.269239711694956</v>
      </c>
      <c r="Q27" s="198"/>
      <c r="R27" s="201"/>
    </row>
    <row r="28" spans="1:18" ht="12" customHeight="1">
      <c r="A28" s="133"/>
      <c r="B28" s="133"/>
      <c r="C28" s="142"/>
      <c r="F28" s="18"/>
      <c r="G28" s="7"/>
      <c r="H28" s="7"/>
      <c r="I28" s="7"/>
      <c r="J28" s="21"/>
      <c r="K28" s="21"/>
      <c r="L28" s="21"/>
      <c r="M28" s="21"/>
      <c r="N28" s="21"/>
      <c r="O28" s="22"/>
      <c r="P28" s="23"/>
    </row>
    <row r="29" spans="1:18" ht="12" customHeight="1">
      <c r="A29" s="133"/>
      <c r="B29" s="133"/>
      <c r="C29" s="142"/>
      <c r="F29" s="7"/>
      <c r="G29" s="7"/>
      <c r="H29" s="7"/>
      <c r="I29" s="7"/>
      <c r="J29" s="21"/>
      <c r="K29" s="21"/>
      <c r="L29" s="21"/>
      <c r="M29" s="21"/>
      <c r="N29" s="21"/>
      <c r="O29" s="22"/>
      <c r="P29" s="23"/>
    </row>
    <row r="30" spans="1:18" s="3" customFormat="1" ht="12" customHeight="1">
      <c r="A30" s="133"/>
      <c r="B30" s="133" t="s">
        <v>185</v>
      </c>
      <c r="C30" s="142"/>
      <c r="D30" s="1"/>
      <c r="E30" s="1"/>
      <c r="F30" s="7"/>
      <c r="G30" s="1"/>
      <c r="H30" s="1"/>
      <c r="I30" s="1"/>
      <c r="J30" s="67"/>
      <c r="K30" s="67"/>
      <c r="L30" s="67"/>
      <c r="M30" s="67"/>
      <c r="N30" s="67"/>
      <c r="O30" s="1"/>
      <c r="P30" s="1"/>
    </row>
    <row r="31" spans="1:18" ht="12" customHeight="1">
      <c r="A31" s="133"/>
      <c r="B31" s="133"/>
      <c r="C31" s="142" t="s">
        <v>147</v>
      </c>
      <c r="F31" s="4" t="s">
        <v>7</v>
      </c>
      <c r="J31" s="63"/>
      <c r="K31" s="63"/>
      <c r="L31" s="63"/>
      <c r="M31" s="63"/>
      <c r="N31" s="63"/>
    </row>
    <row r="32" spans="1:18" ht="12" customHeight="1">
      <c r="A32" s="133"/>
      <c r="B32" s="133"/>
      <c r="C32" s="142" t="s">
        <v>36</v>
      </c>
      <c r="F32" s="2" t="s">
        <v>6</v>
      </c>
    </row>
    <row r="33" spans="1:6" ht="12" customHeight="1">
      <c r="A33" s="133"/>
      <c r="B33" s="133"/>
      <c r="C33" s="142"/>
      <c r="F33" s="55"/>
    </row>
    <row r="34" spans="1:6" ht="12" customHeight="1">
      <c r="A34" s="133"/>
      <c r="B34" s="133" t="s">
        <v>188</v>
      </c>
      <c r="C34" s="142"/>
      <c r="F34" s="8" t="s">
        <v>8</v>
      </c>
    </row>
    <row r="35" spans="1:6" ht="12" customHeight="1">
      <c r="A35" s="133"/>
      <c r="B35" s="133"/>
      <c r="C35" s="142" t="s">
        <v>37</v>
      </c>
      <c r="F35" s="9" t="s">
        <v>0</v>
      </c>
    </row>
    <row r="36" spans="1:6" ht="12" customHeight="1">
      <c r="A36" s="133"/>
      <c r="B36" s="133"/>
      <c r="C36" s="142" t="s">
        <v>38</v>
      </c>
      <c r="F36" s="7"/>
    </row>
    <row r="37" spans="1:6" ht="12" customHeight="1">
      <c r="A37" s="25"/>
      <c r="F37" s="7"/>
    </row>
    <row r="38" spans="1:6" ht="12" customHeight="1">
      <c r="A38" s="25"/>
      <c r="F38" s="7"/>
    </row>
    <row r="39" spans="1:6" ht="14.25">
      <c r="A39" s="25"/>
      <c r="F39" s="7"/>
    </row>
    <row r="40" spans="1:6" ht="14.25">
      <c r="A40" s="25"/>
      <c r="F40" s="7"/>
    </row>
    <row r="41" spans="1:6" ht="14.25">
      <c r="A41" s="25"/>
      <c r="F41" s="7"/>
    </row>
    <row r="42" spans="1:6" ht="14.25">
      <c r="A42" s="25"/>
      <c r="F42" s="7"/>
    </row>
    <row r="43" spans="1:6" ht="14.25">
      <c r="A43" s="25"/>
      <c r="F43" s="7"/>
    </row>
    <row r="44" spans="1:6" ht="14.25">
      <c r="A44" s="25"/>
      <c r="F44" s="7"/>
    </row>
    <row r="45" spans="1:6" ht="14.25">
      <c r="A45" s="25"/>
      <c r="F45" s="7"/>
    </row>
    <row r="46" spans="1:6" ht="14.25">
      <c r="A46" s="25"/>
      <c r="F46" s="7"/>
    </row>
    <row r="47" spans="1:6" ht="14.25">
      <c r="A47" s="25"/>
      <c r="F47" s="7"/>
    </row>
    <row r="48" spans="1:6" ht="14.25">
      <c r="A48" s="25"/>
      <c r="F48" s="9" t="s">
        <v>1</v>
      </c>
    </row>
    <row r="49" spans="1:16">
      <c r="F49" s="7"/>
    </row>
    <row r="50" spans="1:16">
      <c r="F50" s="7"/>
    </row>
    <row r="51" spans="1:16">
      <c r="F51" s="18"/>
    </row>
    <row r="52" spans="1:16">
      <c r="F52" s="9" t="s">
        <v>4</v>
      </c>
    </row>
    <row r="53" spans="1:16">
      <c r="F53" s="7"/>
      <c r="J53" s="67"/>
      <c r="K53" s="67"/>
      <c r="L53" s="67"/>
      <c r="M53" s="67"/>
      <c r="N53" s="67"/>
      <c r="O53" s="67"/>
      <c r="P53" s="67"/>
    </row>
    <row r="54" spans="1:16">
      <c r="F54" s="7"/>
      <c r="J54" s="67"/>
      <c r="K54" s="67"/>
      <c r="L54" s="67"/>
      <c r="M54" s="67"/>
      <c r="N54" s="67"/>
      <c r="O54" s="67"/>
      <c r="P54" s="67"/>
    </row>
    <row r="55" spans="1:16">
      <c r="F55" s="18"/>
      <c r="J55" s="67"/>
      <c r="K55" s="67"/>
      <c r="L55" s="67"/>
      <c r="M55" s="67"/>
      <c r="N55" s="67"/>
      <c r="O55" s="67"/>
      <c r="P55" s="67"/>
    </row>
    <row r="56" spans="1:16">
      <c r="F56" s="9" t="s">
        <v>2</v>
      </c>
      <c r="J56" s="67"/>
      <c r="K56" s="67"/>
      <c r="L56" s="67"/>
      <c r="M56" s="67"/>
      <c r="N56" s="67"/>
      <c r="O56" s="67"/>
      <c r="P56" s="67"/>
    </row>
    <row r="57" spans="1:16">
      <c r="F57" s="7"/>
      <c r="J57" s="67"/>
      <c r="K57" s="67"/>
      <c r="L57" s="67"/>
      <c r="M57" s="67"/>
      <c r="N57" s="67"/>
      <c r="O57" s="67"/>
      <c r="P57" s="67"/>
    </row>
    <row r="58" spans="1:16">
      <c r="F58" s="18"/>
      <c r="J58" s="67"/>
      <c r="K58" s="67"/>
      <c r="L58" s="67"/>
      <c r="M58" s="67"/>
      <c r="N58" s="67"/>
      <c r="O58" s="67"/>
      <c r="P58" s="67"/>
    </row>
    <row r="59" spans="1:16">
      <c r="J59" s="67"/>
      <c r="K59" s="67"/>
      <c r="L59" s="67"/>
      <c r="M59" s="67"/>
      <c r="N59" s="67"/>
      <c r="O59" s="67"/>
      <c r="P59" s="67"/>
    </row>
    <row r="60" spans="1:16">
      <c r="F60" s="2" t="s">
        <v>9</v>
      </c>
      <c r="J60" s="67"/>
      <c r="K60" s="67"/>
      <c r="L60" s="67"/>
      <c r="M60" s="67"/>
      <c r="N60" s="67"/>
      <c r="O60" s="67"/>
      <c r="P60" s="67"/>
    </row>
    <row r="61" spans="1:16">
      <c r="F61" s="55"/>
      <c r="J61" s="67"/>
      <c r="K61" s="67"/>
      <c r="L61" s="67"/>
      <c r="M61" s="67"/>
      <c r="N61" s="67"/>
      <c r="O61" s="67"/>
      <c r="P61" s="67"/>
    </row>
    <row r="62" spans="1:16">
      <c r="F62" s="8" t="s">
        <v>8</v>
      </c>
      <c r="J62" s="67"/>
      <c r="K62" s="67"/>
      <c r="L62" s="67"/>
      <c r="M62" s="67"/>
      <c r="N62" s="67"/>
      <c r="O62" s="67"/>
      <c r="P62" s="67"/>
    </row>
    <row r="63" spans="1:16">
      <c r="F63" s="9" t="s">
        <v>0</v>
      </c>
      <c r="J63" s="67"/>
      <c r="K63" s="67"/>
      <c r="L63" s="67"/>
      <c r="M63" s="67"/>
      <c r="N63" s="67"/>
      <c r="O63" s="67"/>
      <c r="P63" s="67"/>
    </row>
    <row r="64" spans="1:16" ht="12">
      <c r="A64" s="1"/>
      <c r="F64" s="7"/>
      <c r="J64" s="67"/>
      <c r="K64" s="67"/>
      <c r="L64" s="67"/>
      <c r="M64" s="67"/>
      <c r="N64" s="67"/>
      <c r="O64" s="67"/>
      <c r="P64" s="67"/>
    </row>
    <row r="65" spans="1:16" ht="12">
      <c r="A65" s="1"/>
      <c r="F65" s="7"/>
      <c r="J65" s="67"/>
      <c r="K65" s="67"/>
      <c r="L65" s="67"/>
      <c r="M65" s="67"/>
      <c r="N65" s="67"/>
      <c r="O65" s="67"/>
      <c r="P65" s="67"/>
    </row>
    <row r="66" spans="1:16" ht="12">
      <c r="A66" s="1"/>
      <c r="F66" s="7"/>
      <c r="J66" s="67"/>
      <c r="K66" s="67"/>
      <c r="L66" s="67"/>
      <c r="M66" s="67"/>
      <c r="N66" s="67"/>
      <c r="O66" s="67"/>
      <c r="P66" s="67"/>
    </row>
    <row r="67" spans="1:16" ht="12">
      <c r="A67" s="1"/>
      <c r="F67" s="7"/>
      <c r="J67" s="67"/>
      <c r="K67" s="67"/>
      <c r="L67" s="67"/>
      <c r="M67" s="67"/>
      <c r="N67" s="67"/>
      <c r="O67" s="67"/>
      <c r="P67" s="67"/>
    </row>
    <row r="68" spans="1:16" ht="12">
      <c r="A68" s="1"/>
      <c r="F68" s="7"/>
      <c r="J68" s="67"/>
      <c r="K68" s="67"/>
      <c r="L68" s="67"/>
      <c r="M68" s="67"/>
      <c r="N68" s="67"/>
      <c r="O68" s="67"/>
      <c r="P68" s="67"/>
    </row>
    <row r="69" spans="1:16" ht="12">
      <c r="A69" s="1"/>
      <c r="F69" s="7"/>
      <c r="J69" s="67"/>
      <c r="K69" s="67"/>
      <c r="L69" s="67"/>
      <c r="M69" s="67"/>
      <c r="N69" s="67"/>
      <c r="O69" s="67"/>
      <c r="P69" s="67"/>
    </row>
    <row r="70" spans="1:16" ht="12">
      <c r="A70" s="1"/>
      <c r="F70" s="7"/>
      <c r="J70" s="67"/>
      <c r="K70" s="67"/>
      <c r="L70" s="67"/>
      <c r="M70" s="67"/>
      <c r="N70" s="67"/>
      <c r="O70" s="67"/>
      <c r="P70" s="67"/>
    </row>
    <row r="71" spans="1:16" ht="12">
      <c r="A71" s="1"/>
      <c r="F71" s="7"/>
      <c r="J71" s="67"/>
      <c r="K71" s="67"/>
      <c r="L71" s="67"/>
      <c r="M71" s="67"/>
      <c r="N71" s="67"/>
      <c r="O71" s="67"/>
      <c r="P71" s="67"/>
    </row>
    <row r="72" spans="1:16" ht="12">
      <c r="A72" s="1"/>
      <c r="F72" s="7"/>
      <c r="J72" s="67"/>
      <c r="K72" s="67"/>
      <c r="L72" s="67"/>
      <c r="M72" s="67"/>
      <c r="N72" s="67"/>
      <c r="O72" s="67"/>
      <c r="P72" s="67"/>
    </row>
    <row r="73" spans="1:16" ht="12">
      <c r="A73" s="1"/>
      <c r="F73" s="7"/>
      <c r="J73" s="67"/>
      <c r="K73" s="67"/>
      <c r="L73" s="67"/>
      <c r="M73" s="67"/>
      <c r="N73" s="67"/>
      <c r="O73" s="67"/>
      <c r="P73" s="67"/>
    </row>
    <row r="74" spans="1:16" ht="12">
      <c r="A74" s="1"/>
      <c r="F74" s="7"/>
      <c r="J74" s="67"/>
      <c r="K74" s="67"/>
      <c r="L74" s="67"/>
      <c r="M74" s="67"/>
      <c r="N74" s="67"/>
      <c r="O74" s="67"/>
      <c r="P74" s="67"/>
    </row>
    <row r="75" spans="1:16" ht="12">
      <c r="A75" s="1"/>
      <c r="F75" s="7"/>
      <c r="J75" s="67"/>
      <c r="K75" s="67"/>
      <c r="L75" s="67"/>
      <c r="M75" s="67"/>
      <c r="N75" s="67"/>
      <c r="O75" s="67"/>
      <c r="P75" s="67"/>
    </row>
    <row r="76" spans="1:16" ht="12">
      <c r="A76" s="1"/>
      <c r="F76" s="9" t="s">
        <v>1</v>
      </c>
    </row>
    <row r="77" spans="1:16">
      <c r="F77" s="7"/>
    </row>
    <row r="78" spans="1:16">
      <c r="F78" s="7"/>
    </row>
    <row r="79" spans="1:16">
      <c r="F79" s="18"/>
    </row>
    <row r="80" spans="1:16">
      <c r="F80" s="9" t="s">
        <v>4</v>
      </c>
    </row>
    <row r="81" spans="6:6">
      <c r="F81" s="7"/>
    </row>
    <row r="82" spans="6:6">
      <c r="F82" s="7"/>
    </row>
    <row r="83" spans="6:6">
      <c r="F83" s="18"/>
    </row>
    <row r="84" spans="6:6">
      <c r="F84" s="9" t="s">
        <v>2</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00000000-0004-0000-0900-000000000000}"/>
    <hyperlink ref="B7" location="FS!A1" display="요약재무상태표 (Selected Balance sheet)" xr:uid="{00000000-0004-0000-0900-000001000000}"/>
    <hyperlink ref="C15" location="Stability!A1" display="재무 안정성 (Financial Stability)" xr:uid="{00000000-0004-0000-0900-000002000000}"/>
    <hyperlink ref="C16" location="Productivity!A1" display="생산성 / 경영효율 (Productivity / Operating Efficiency)" xr:uid="{00000000-0004-0000-0900-000003000000}"/>
    <hyperlink ref="C20" location="'Premium Income by P.T.(GA+SA)'!A1" display="상품별 수입보험료 (Premium Income)" xr:uid="{00000000-0004-0000-0900-000004000000}"/>
    <hyperlink ref="C21" location="'Initial P. by P.T.'!A1" display="상품별 초회보험료 (Initial Premium)" xr:uid="{00000000-0004-0000-0900-000005000000}"/>
    <hyperlink ref="C22" location="'First-year P. by P.T.'!A1" display="상품별 초년도보험료 (First Year Premium)" xr:uid="{00000000-0004-0000-0900-000006000000}"/>
    <hyperlink ref="C26" location="'Premium Income by D.C.(GA+SA)'!A1" display="채널별 수입보험료 (Premium Income)" xr:uid="{00000000-0004-0000-0900-000007000000}"/>
    <hyperlink ref="C27" location="'First-year P. by D.C'!A1" display="채널별 초년도보험료 (First Year Premium)" xr:uid="{00000000-0004-0000-0900-000008000000}"/>
    <hyperlink ref="C31" location="'&gt;Loan'!A1" display="대출 (Loan)/ 자산건전성 (Asset Quality of Loan)" xr:uid="{00000000-0004-0000-0900-000009000000}"/>
    <hyperlink ref="C32" location="'&gt;Bond'!A1" display="채권 (Bond)" xr:uid="{00000000-0004-0000-0900-00000A000000}"/>
    <hyperlink ref="C35" location="'BS  K-IFRS'!A1" display="재무상태표 (Balance Sheet - KIFRS)" xr:uid="{00000000-0004-0000-0900-00000B000000}"/>
    <hyperlink ref="C36" location="'IS  K-IFRS'!A1" display="손익계산서 (Income Statement - KIFRS)" xr:uid="{00000000-0004-0000-0900-00000C000000}"/>
    <hyperlink ref="B8" location="FS!A1" display="요약손익계산서 (Selected Income Statement)" xr:uid="{00000000-0004-0000-0900-00000D000000}"/>
    <hyperlink ref="B10" location="CSM!A1" display="RA, CSM, BEL Movement" xr:uid="{00000000-0004-0000-0900-00000E000000}"/>
    <hyperlink ref="B11" location="CSM!A1" display="신계약 CSM (New Business CSM)" xr:uid="{00000000-0004-0000-0900-00000F000000}"/>
    <hyperlink ref="B13" location="'Sources of Margin'!A1" display="이원별손익" xr:uid="{00000000-0004-0000-0900-000010000000}"/>
    <hyperlink ref="B12" location="CSM!A1" display="신계약 CSM 배수 (New Business CSM Margin)" xr:uid="{00000000-0004-0000-0900-000011000000}"/>
    <hyperlink ref="C19" location="'APE by P.T'!A1" display="상품별 APE (Annualized Premium Equivalent (APE))" xr:uid="{00000000-0004-0000-0900-000012000000}"/>
    <hyperlink ref="C25" location="'APE by D.C'!A1" display="채널별 APE (Annualized Premium Equivalent (APE))" xr:uid="{00000000-0004-0000-0900-000013000000}"/>
  </hyperlinks>
  <pageMargins left="0.19685039370078741" right="0.1968503937007874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88"/>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6" width="1.7109375" style="1" hidden="1" customWidth="1"/>
    <col min="7" max="8" width="1.7109375" style="1" customWidth="1"/>
    <col min="9" max="9" width="27.7109375" style="1" customWidth="1"/>
    <col min="10" max="14" width="10.7109375" style="1" customWidth="1"/>
    <col min="15" max="16" width="8.7109375" style="1" customWidth="1"/>
    <col min="17" max="16384" width="9.140625" style="1"/>
  </cols>
  <sheetData>
    <row r="1" spans="1:18" s="3" customFormat="1" ht="24" customHeight="1">
      <c r="A1" s="6"/>
      <c r="F1" s="4" t="s">
        <v>10</v>
      </c>
      <c r="G1" s="85" t="s">
        <v>107</v>
      </c>
      <c r="H1" s="86"/>
      <c r="I1" s="86"/>
    </row>
    <row r="2" spans="1:18" ht="12" customHeight="1">
      <c r="A2" s="133"/>
      <c r="B2" s="134"/>
      <c r="C2" s="134"/>
      <c r="F2" s="2" t="s">
        <v>5</v>
      </c>
      <c r="G2" s="92" t="s">
        <v>106</v>
      </c>
      <c r="H2" s="105"/>
      <c r="I2" s="105"/>
    </row>
    <row r="3" spans="1:18" ht="12" customHeight="1">
      <c r="A3" s="133" t="s">
        <v>27</v>
      </c>
      <c r="B3" s="134"/>
      <c r="C3" s="134"/>
      <c r="F3" s="55"/>
      <c r="G3" s="106"/>
      <c r="H3" s="106"/>
      <c r="I3" s="107"/>
      <c r="J3" s="814" t="s">
        <v>82</v>
      </c>
      <c r="K3" s="815"/>
      <c r="L3" s="816" t="s">
        <v>83</v>
      </c>
      <c r="M3" s="814"/>
      <c r="N3" s="815"/>
      <c r="O3" s="106"/>
      <c r="P3" s="106"/>
    </row>
    <row r="4" spans="1:18" ht="12" customHeight="1">
      <c r="A4" s="133"/>
      <c r="B4" s="134"/>
      <c r="C4" s="134"/>
      <c r="F4" s="8" t="s">
        <v>8</v>
      </c>
      <c r="G4" s="77" t="s">
        <v>81</v>
      </c>
      <c r="H4" s="108"/>
      <c r="I4" s="109"/>
      <c r="J4" s="771" t="s">
        <v>381</v>
      </c>
      <c r="K4" s="178" t="s">
        <v>382</v>
      </c>
      <c r="L4" s="771" t="s">
        <v>381</v>
      </c>
      <c r="M4" s="248" t="s">
        <v>382</v>
      </c>
      <c r="N4" s="254">
        <v>46112</v>
      </c>
      <c r="O4" s="251" t="s">
        <v>23</v>
      </c>
      <c r="P4" s="103" t="s">
        <v>24</v>
      </c>
    </row>
    <row r="5" spans="1:18" ht="12" customHeight="1">
      <c r="A5" s="143"/>
      <c r="B5" s="133" t="s">
        <v>155</v>
      </c>
      <c r="C5" s="133"/>
      <c r="F5" s="9" t="s">
        <v>0</v>
      </c>
      <c r="G5" s="98" t="s">
        <v>84</v>
      </c>
      <c r="H5" s="98"/>
      <c r="I5" s="98"/>
      <c r="J5" s="148">
        <f>SUM(J6,J10,J14)</f>
        <v>833.27317743899982</v>
      </c>
      <c r="K5" s="777">
        <f>SUM(K6,K10,K14)</f>
        <v>418.43440810999977</v>
      </c>
      <c r="L5" s="150">
        <f>SUM(L6,L10,L14)</f>
        <v>500.8755342959999</v>
      </c>
      <c r="M5" s="151">
        <f>SUM(M6,M10,M14)</f>
        <v>220.64834950399987</v>
      </c>
      <c r="N5" s="151">
        <f>SUM(N6,N10,N14)</f>
        <v>332.39764314299993</v>
      </c>
      <c r="O5" s="183">
        <f>IF(J5/K5&lt;0,"n.a.",IF(K5&gt;0,ROUND(J5,4)/ROUND(K5,4)-1,IF(K5&lt;0,"n.a.")))</f>
        <v>0.99140701624914196</v>
      </c>
      <c r="P5" s="183">
        <f>IF(L5/N5&lt;0,"n.a.",IF(N5&gt;0,ROUND(L5,4)/ROUND(N5,4)-1,IF(N5&lt;0,"n.a.")))</f>
        <v>0.50685654770070543</v>
      </c>
      <c r="Q5" s="193"/>
      <c r="R5" s="194"/>
    </row>
    <row r="6" spans="1:18" ht="12" customHeight="1">
      <c r="A6" s="143"/>
      <c r="B6" s="142"/>
      <c r="C6" s="134"/>
      <c r="F6" s="7"/>
      <c r="G6" s="99" t="s">
        <v>85</v>
      </c>
      <c r="H6" s="99"/>
      <c r="I6" s="99"/>
      <c r="J6" s="152">
        <f>SUM(J7:J9)</f>
        <v>258.84715989699998</v>
      </c>
      <c r="K6" s="778">
        <f>SUM(K7:K9)</f>
        <v>386.5534010139998</v>
      </c>
      <c r="L6" s="153">
        <f>SUM(L7:L9)</f>
        <v>125.51116969399999</v>
      </c>
      <c r="M6" s="154">
        <f>SUM(M7:M9)</f>
        <v>193.71368422399988</v>
      </c>
      <c r="N6" s="154">
        <f>SUM(N7:N9)</f>
        <v>133.33599020299999</v>
      </c>
      <c r="O6" s="184">
        <f t="shared" ref="O6:O27" si="0">IF(J6/K6&lt;0,"n.a.",IF(K6&gt;0,ROUND(J6,4)/ROUND(K6,4)-1,IF(K6&lt;0,"n.a.")))</f>
        <v>-0.33037143121752399</v>
      </c>
      <c r="P6" s="188">
        <f t="shared" ref="P6:P27" si="1">IF(L6/N6&lt;0,"n.a.",IF(N6&gt;0,ROUND(L6,4)/ROUND(N6,4)-1,IF(N6&lt;0,"n.a.")))</f>
        <v>-5.8684826303474047E-2</v>
      </c>
      <c r="Q6" s="195"/>
      <c r="R6" s="196"/>
    </row>
    <row r="7" spans="1:18" ht="12" customHeight="1">
      <c r="A7" s="143"/>
      <c r="B7" s="142" t="s">
        <v>212</v>
      </c>
      <c r="C7" s="134"/>
      <c r="F7" s="7"/>
      <c r="G7" s="100"/>
      <c r="H7" s="100" t="s">
        <v>86</v>
      </c>
      <c r="I7" s="100"/>
      <c r="J7" s="155">
        <v>101.47363827799998</v>
      </c>
      <c r="K7" s="779">
        <v>180.74814611400001</v>
      </c>
      <c r="L7" s="147">
        <v>52.509232800999989</v>
      </c>
      <c r="M7" s="157">
        <v>84.411887694000001</v>
      </c>
      <c r="N7" s="157">
        <v>48.964405476999993</v>
      </c>
      <c r="O7" s="185">
        <f t="shared" si="0"/>
        <v>-0.43859105572893986</v>
      </c>
      <c r="P7" s="189">
        <f t="shared" si="1"/>
        <v>7.239545465685282E-2</v>
      </c>
      <c r="Q7" s="157"/>
      <c r="R7" s="197"/>
    </row>
    <row r="8" spans="1:18" ht="12" customHeight="1">
      <c r="A8" s="143"/>
      <c r="B8" s="142" t="s">
        <v>213</v>
      </c>
      <c r="C8" s="134"/>
      <c r="F8" s="7"/>
      <c r="G8" s="100"/>
      <c r="H8" s="100" t="s">
        <v>87</v>
      </c>
      <c r="I8" s="100"/>
      <c r="J8" s="155">
        <v>1.9080989999999701E-2</v>
      </c>
      <c r="K8" s="779">
        <v>9.6708089999993953E-3</v>
      </c>
      <c r="L8" s="147">
        <v>9.2338530000008641E-3</v>
      </c>
      <c r="M8" s="157">
        <v>6.6733409999996367E-3</v>
      </c>
      <c r="N8" s="157">
        <v>9.8471369999988383E-3</v>
      </c>
      <c r="O8" s="185">
        <f>IF(J8/K8&lt;0,"n.a.",IF(K8&gt;0,ROUND(J8,4)/ROUND(K8,4)-1,IF(K8&lt;0,"n.a.")))</f>
        <v>0.9690721649484535</v>
      </c>
      <c r="P8" s="189">
        <f t="shared" si="1"/>
        <v>-6.1224489795918324E-2</v>
      </c>
      <c r="Q8" s="157"/>
      <c r="R8" s="197"/>
    </row>
    <row r="9" spans="1:18" ht="12" customHeight="1">
      <c r="A9" s="143"/>
      <c r="B9" s="142"/>
      <c r="C9" s="134"/>
      <c r="F9" s="7"/>
      <c r="G9" s="100"/>
      <c r="H9" s="100" t="s">
        <v>88</v>
      </c>
      <c r="I9" s="100"/>
      <c r="J9" s="155">
        <v>157.35444062900001</v>
      </c>
      <c r="K9" s="779">
        <v>205.7955840909998</v>
      </c>
      <c r="L9" s="147">
        <v>72.992703040000009</v>
      </c>
      <c r="M9" s="157">
        <v>109.29512318899988</v>
      </c>
      <c r="N9" s="157">
        <v>84.361737589000015</v>
      </c>
      <c r="O9" s="185">
        <f t="shared" si="0"/>
        <v>-0.23538501309065896</v>
      </c>
      <c r="P9" s="189">
        <f t="shared" si="1"/>
        <v>-0.13476494665233152</v>
      </c>
      <c r="Q9" s="157"/>
      <c r="R9" s="197"/>
    </row>
    <row r="10" spans="1:18" ht="12" customHeight="1">
      <c r="A10" s="133"/>
      <c r="B10" s="142" t="s">
        <v>171</v>
      </c>
      <c r="C10" s="134"/>
      <c r="F10" s="7"/>
      <c r="G10" s="101" t="s">
        <v>89</v>
      </c>
      <c r="H10" s="101"/>
      <c r="I10" s="101"/>
      <c r="J10" s="152">
        <f>SUM(J11:J13)</f>
        <v>574.03511147699987</v>
      </c>
      <c r="K10" s="778">
        <f>SUM(K11:K13)</f>
        <v>31.171959111</v>
      </c>
      <c r="L10" s="158">
        <f>SUM(L11:L13)</f>
        <v>375.24130181099991</v>
      </c>
      <c r="M10" s="159">
        <f>SUM(M11:M13)</f>
        <v>26.685573750999996</v>
      </c>
      <c r="N10" s="159">
        <f>SUM(N11:N13)</f>
        <v>198.79380966599996</v>
      </c>
      <c r="O10" s="186">
        <f t="shared" si="0"/>
        <v>17.415087257795459</v>
      </c>
      <c r="P10" s="190">
        <f t="shared" si="1"/>
        <v>0.88759055865927405</v>
      </c>
      <c r="Q10" s="195"/>
      <c r="R10" s="196"/>
    </row>
    <row r="11" spans="1:18" ht="12" customHeight="1">
      <c r="A11" s="133"/>
      <c r="B11" s="142" t="s">
        <v>166</v>
      </c>
      <c r="C11" s="134"/>
      <c r="F11" s="7"/>
      <c r="G11" s="100"/>
      <c r="H11" s="100" t="s">
        <v>90</v>
      </c>
      <c r="I11" s="100"/>
      <c r="J11" s="155">
        <v>0.42921502399999995</v>
      </c>
      <c r="K11" s="780">
        <v>0.46062886200000003</v>
      </c>
      <c r="L11" s="466">
        <v>0.20362824599999998</v>
      </c>
      <c r="M11" s="157">
        <v>0.27928354900000008</v>
      </c>
      <c r="N11" s="157">
        <v>0.22558677800000002</v>
      </c>
      <c r="O11" s="185">
        <f t="shared" si="0"/>
        <v>-6.8171949630916107E-2</v>
      </c>
      <c r="P11" s="189">
        <f t="shared" si="1"/>
        <v>-9.7517730496453847E-2</v>
      </c>
      <c r="Q11" s="157"/>
      <c r="R11" s="197"/>
    </row>
    <row r="12" spans="1:18" ht="12" customHeight="1">
      <c r="A12" s="133"/>
      <c r="B12" s="142" t="s">
        <v>219</v>
      </c>
      <c r="C12" s="134"/>
      <c r="F12" s="7"/>
      <c r="G12" s="100"/>
      <c r="H12" s="100" t="s">
        <v>91</v>
      </c>
      <c r="I12" s="100"/>
      <c r="J12" s="155">
        <v>573.6058964529999</v>
      </c>
      <c r="K12" s="779">
        <v>30.711330249</v>
      </c>
      <c r="L12" s="147">
        <v>375.03767356499992</v>
      </c>
      <c r="M12" s="157">
        <v>26.406290201999997</v>
      </c>
      <c r="N12" s="157">
        <v>198.56822288799995</v>
      </c>
      <c r="O12" s="185">
        <f t="shared" si="0"/>
        <v>17.677356543031394</v>
      </c>
      <c r="P12" s="189">
        <f t="shared" si="1"/>
        <v>0.88870977326681699</v>
      </c>
      <c r="Q12" s="157"/>
      <c r="R12" s="197"/>
    </row>
    <row r="13" spans="1:18" ht="12" customHeight="1">
      <c r="A13" s="133"/>
      <c r="B13" s="142"/>
      <c r="C13" s="134"/>
      <c r="F13" s="7"/>
      <c r="G13" s="100"/>
      <c r="H13" s="100" t="s">
        <v>92</v>
      </c>
      <c r="I13" s="100"/>
      <c r="J13" s="155">
        <v>0</v>
      </c>
      <c r="K13" s="779">
        <v>0</v>
      </c>
      <c r="L13" s="147">
        <v>0</v>
      </c>
      <c r="M13" s="157">
        <v>0</v>
      </c>
      <c r="N13" s="157">
        <v>0</v>
      </c>
      <c r="O13" s="185"/>
      <c r="P13" s="189"/>
      <c r="Q13" s="157"/>
      <c r="R13" s="197"/>
    </row>
    <row r="14" spans="1:18" ht="12" customHeight="1">
      <c r="A14" s="133"/>
      <c r="B14" s="133" t="s">
        <v>173</v>
      </c>
      <c r="C14" s="134"/>
      <c r="F14" s="7"/>
      <c r="G14" s="101" t="s">
        <v>93</v>
      </c>
      <c r="H14" s="101"/>
      <c r="I14" s="101"/>
      <c r="J14" s="152">
        <f>SUM(J15:J17)</f>
        <v>0.39090606499999997</v>
      </c>
      <c r="K14" s="778">
        <f>SUM(K15:K17)</f>
        <v>0.70904798499999999</v>
      </c>
      <c r="L14" s="158">
        <f>SUM(L15:L17)</f>
        <v>0.123062791</v>
      </c>
      <c r="M14" s="159">
        <f>SUM(M15:M17)</f>
        <v>0.24909152900000001</v>
      </c>
      <c r="N14" s="159">
        <f>SUM(N15:N17)</f>
        <v>0.26784327399999996</v>
      </c>
      <c r="O14" s="186">
        <f t="shared" si="0"/>
        <v>-0.44866008462623408</v>
      </c>
      <c r="P14" s="190">
        <f t="shared" si="1"/>
        <v>-0.54032860343539957</v>
      </c>
      <c r="Q14" s="195"/>
      <c r="R14" s="196"/>
    </row>
    <row r="15" spans="1:18" ht="12" customHeight="1">
      <c r="A15" s="133"/>
      <c r="B15" s="135"/>
      <c r="C15" s="142" t="s">
        <v>40</v>
      </c>
      <c r="F15" s="7"/>
      <c r="G15" s="100"/>
      <c r="H15" s="100" t="s">
        <v>90</v>
      </c>
      <c r="I15" s="100"/>
      <c r="J15" s="155">
        <v>0</v>
      </c>
      <c r="K15" s="779">
        <v>0.26321910000000004</v>
      </c>
      <c r="L15" s="147">
        <v>0</v>
      </c>
      <c r="M15" s="157">
        <v>3.8499999999999997E-3</v>
      </c>
      <c r="N15" s="157">
        <v>0</v>
      </c>
      <c r="O15" s="185"/>
      <c r="P15" s="189"/>
      <c r="Q15" s="157"/>
      <c r="R15" s="197"/>
    </row>
    <row r="16" spans="1:18" ht="12" customHeight="1">
      <c r="A16" s="133"/>
      <c r="B16" s="133"/>
      <c r="C16" s="142" t="s">
        <v>41</v>
      </c>
      <c r="F16" s="7"/>
      <c r="G16" s="100"/>
      <c r="H16" s="100" t="s">
        <v>91</v>
      </c>
      <c r="I16" s="100"/>
      <c r="J16" s="155">
        <v>0.39090606499999997</v>
      </c>
      <c r="K16" s="779">
        <v>0.44582888500000001</v>
      </c>
      <c r="L16" s="147">
        <v>0.123062791</v>
      </c>
      <c r="M16" s="157">
        <v>0.24524152900000001</v>
      </c>
      <c r="N16" s="157">
        <v>0.26784327399999996</v>
      </c>
      <c r="O16" s="185">
        <f t="shared" si="0"/>
        <v>-0.12314939434724081</v>
      </c>
      <c r="P16" s="189">
        <f t="shared" si="1"/>
        <v>-0.54032860343539957</v>
      </c>
      <c r="Q16" s="157"/>
      <c r="R16" s="197"/>
    </row>
    <row r="17" spans="1:18" ht="12" customHeight="1">
      <c r="A17" s="133"/>
      <c r="B17" s="133"/>
      <c r="C17" s="142"/>
      <c r="F17" s="7"/>
      <c r="G17" s="100"/>
      <c r="H17" s="100" t="s">
        <v>94</v>
      </c>
      <c r="I17" s="100"/>
      <c r="J17" s="155">
        <v>0</v>
      </c>
      <c r="K17" s="779">
        <v>0</v>
      </c>
      <c r="L17" s="147">
        <v>0</v>
      </c>
      <c r="M17" s="157">
        <v>0</v>
      </c>
      <c r="N17" s="157">
        <v>0</v>
      </c>
      <c r="O17" s="185"/>
      <c r="P17" s="189"/>
      <c r="Q17" s="157"/>
      <c r="R17" s="197"/>
    </row>
    <row r="18" spans="1:18" ht="12" customHeight="1">
      <c r="A18" s="133"/>
      <c r="B18" s="133" t="s">
        <v>176</v>
      </c>
      <c r="C18" s="142"/>
      <c r="F18" s="9" t="s">
        <v>1</v>
      </c>
      <c r="G18" s="98" t="s">
        <v>95</v>
      </c>
      <c r="H18" s="98"/>
      <c r="I18" s="98"/>
      <c r="J18" s="148">
        <f>SUM(J19:J20)</f>
        <v>0</v>
      </c>
      <c r="K18" s="777">
        <f>SUM(K19:K20)</f>
        <v>0</v>
      </c>
      <c r="L18" s="150">
        <f>SUM(L19:L20)</f>
        <v>0</v>
      </c>
      <c r="M18" s="151">
        <f>SUM(M19:M20)</f>
        <v>0</v>
      </c>
      <c r="N18" s="151">
        <f>SUM(N19:N20)</f>
        <v>0</v>
      </c>
      <c r="O18" s="183"/>
      <c r="P18" s="191"/>
      <c r="Q18" s="193"/>
      <c r="R18" s="194"/>
    </row>
    <row r="19" spans="1:18" ht="12" customHeight="1">
      <c r="A19" s="133"/>
      <c r="B19" s="133"/>
      <c r="C19" s="142" t="s">
        <v>33</v>
      </c>
      <c r="F19" s="7"/>
      <c r="G19" s="100" t="s">
        <v>96</v>
      </c>
      <c r="H19" s="100"/>
      <c r="I19" s="100"/>
      <c r="J19" s="155">
        <v>0</v>
      </c>
      <c r="K19" s="779">
        <v>0</v>
      </c>
      <c r="L19" s="147">
        <v>0</v>
      </c>
      <c r="M19" s="157">
        <v>0</v>
      </c>
      <c r="N19" s="157">
        <v>0</v>
      </c>
      <c r="O19" s="185"/>
      <c r="P19" s="189"/>
      <c r="Q19" s="157"/>
      <c r="R19" s="197"/>
    </row>
    <row r="20" spans="1:18" ht="12" customHeight="1">
      <c r="A20" s="133"/>
      <c r="B20" s="133"/>
      <c r="C20" s="142" t="s">
        <v>29</v>
      </c>
      <c r="F20" s="7"/>
      <c r="G20" s="102" t="s">
        <v>97</v>
      </c>
      <c r="H20" s="102"/>
      <c r="I20" s="102"/>
      <c r="J20" s="160">
        <v>0</v>
      </c>
      <c r="K20" s="781">
        <v>0</v>
      </c>
      <c r="L20" s="161">
        <v>0</v>
      </c>
      <c r="M20" s="162">
        <v>0</v>
      </c>
      <c r="N20" s="162">
        <v>0</v>
      </c>
      <c r="O20" s="187"/>
      <c r="P20" s="192"/>
      <c r="Q20" s="157"/>
      <c r="R20" s="197"/>
    </row>
    <row r="21" spans="1:18" ht="12" customHeight="1">
      <c r="A21" s="133"/>
      <c r="B21" s="133"/>
      <c r="C21" s="142" t="s">
        <v>30</v>
      </c>
      <c r="F21" s="18"/>
      <c r="G21" s="98" t="s">
        <v>98</v>
      </c>
      <c r="H21" s="98"/>
      <c r="I21" s="98"/>
      <c r="J21" s="148">
        <f>SUM(J22:J24)</f>
        <v>833.27317743899982</v>
      </c>
      <c r="K21" s="149">
        <f>SUM(K22:K24)</f>
        <v>418.43440810999977</v>
      </c>
      <c r="L21" s="150">
        <f>SUM(L22:L24)</f>
        <v>500.8755342959999</v>
      </c>
      <c r="M21" s="151">
        <f>SUM(M22:M24)</f>
        <v>220.64834950399987</v>
      </c>
      <c r="N21" s="151">
        <f>SUM(N22:N24)</f>
        <v>332.39764314299993</v>
      </c>
      <c r="O21" s="183">
        <f t="shared" si="0"/>
        <v>0.99140701624914196</v>
      </c>
      <c r="P21" s="191">
        <f t="shared" si="1"/>
        <v>0.50685654770070543</v>
      </c>
      <c r="Q21" s="193"/>
      <c r="R21" s="194"/>
    </row>
    <row r="22" spans="1:18" ht="12" customHeight="1">
      <c r="A22" s="133"/>
      <c r="B22" s="133"/>
      <c r="C22" s="142" t="s">
        <v>31</v>
      </c>
      <c r="F22" s="9" t="s">
        <v>4</v>
      </c>
      <c r="G22" s="179" t="s">
        <v>85</v>
      </c>
      <c r="H22" s="100"/>
      <c r="I22" s="100"/>
      <c r="J22" s="155">
        <f>SUM(J6,J19)</f>
        <v>258.84715989699998</v>
      </c>
      <c r="K22" s="782">
        <f>SUM(K6,K19)</f>
        <v>386.5534010139998</v>
      </c>
      <c r="L22" s="147">
        <f>SUM(L6,L19)</f>
        <v>125.51116969399999</v>
      </c>
      <c r="M22" s="157">
        <f>SUM(M6,M19)</f>
        <v>193.71368422399988</v>
      </c>
      <c r="N22" s="157">
        <f>SUM(N6,N19)</f>
        <v>133.33599020299999</v>
      </c>
      <c r="O22" s="185">
        <f t="shared" si="0"/>
        <v>-0.33037143121752399</v>
      </c>
      <c r="P22" s="189">
        <f t="shared" si="1"/>
        <v>-5.8684826303474047E-2</v>
      </c>
      <c r="Q22" s="157"/>
      <c r="R22" s="197"/>
    </row>
    <row r="23" spans="1:18" ht="12" customHeight="1">
      <c r="A23" s="133"/>
      <c r="B23" s="133"/>
      <c r="C23" s="142"/>
      <c r="F23" s="7"/>
      <c r="G23" s="100" t="s">
        <v>99</v>
      </c>
      <c r="H23" s="100"/>
      <c r="I23" s="100"/>
      <c r="J23" s="155">
        <f>J10</f>
        <v>574.03511147699987</v>
      </c>
      <c r="K23" s="156">
        <f>K10</f>
        <v>31.171959111</v>
      </c>
      <c r="L23" s="147">
        <f>L10</f>
        <v>375.24130181099991</v>
      </c>
      <c r="M23" s="157">
        <f>M10</f>
        <v>26.685573750999996</v>
      </c>
      <c r="N23" s="157">
        <f>N10</f>
        <v>198.79380966599996</v>
      </c>
      <c r="O23" s="185">
        <f t="shared" si="0"/>
        <v>17.415087257795459</v>
      </c>
      <c r="P23" s="189">
        <f t="shared" si="1"/>
        <v>0.88759055865927405</v>
      </c>
      <c r="Q23" s="157"/>
      <c r="R23" s="197"/>
    </row>
    <row r="24" spans="1:18" ht="12" customHeight="1">
      <c r="A24" s="133"/>
      <c r="B24" s="133" t="s">
        <v>181</v>
      </c>
      <c r="C24" s="142"/>
      <c r="F24" s="7"/>
      <c r="G24" s="102" t="s">
        <v>93</v>
      </c>
      <c r="H24" s="102"/>
      <c r="I24" s="102"/>
      <c r="J24" s="160">
        <f>SUM(J14,J20)</f>
        <v>0.39090606499999997</v>
      </c>
      <c r="K24" s="783">
        <f>SUM(K14,K20)</f>
        <v>0.70904798499999999</v>
      </c>
      <c r="L24" s="161">
        <f>SUM(L14,L20)</f>
        <v>0.123062791</v>
      </c>
      <c r="M24" s="162">
        <f>SUM(M14,M20)</f>
        <v>0.24909152900000001</v>
      </c>
      <c r="N24" s="162">
        <f>SUM(N14,N20)</f>
        <v>0.26784327399999996</v>
      </c>
      <c r="O24" s="187">
        <f t="shared" si="0"/>
        <v>-0.44866008462623408</v>
      </c>
      <c r="P24" s="192">
        <f t="shared" si="1"/>
        <v>-0.54032860343539957</v>
      </c>
      <c r="Q24" s="157"/>
      <c r="R24" s="197"/>
    </row>
    <row r="25" spans="1:18" ht="12" customHeight="1">
      <c r="A25" s="133"/>
      <c r="B25" s="133"/>
      <c r="C25" s="142" t="s">
        <v>32</v>
      </c>
      <c r="F25" s="18"/>
      <c r="G25" s="98" t="s">
        <v>100</v>
      </c>
      <c r="H25" s="98"/>
      <c r="I25" s="98"/>
      <c r="J25" s="148">
        <f>SUM(J26:J27)</f>
        <v>18.316526763999999</v>
      </c>
      <c r="K25" s="777">
        <f>SUM(K26:K27)</f>
        <v>27.844078068000005</v>
      </c>
      <c r="L25" s="163">
        <f>SUM(L26:L27)</f>
        <v>17.370442131000001</v>
      </c>
      <c r="M25" s="151">
        <f>SUM(M26:M27)</f>
        <v>27.218669710000004</v>
      </c>
      <c r="N25" s="151">
        <f>SUM(N26:N27)</f>
        <v>0.94608463300000001</v>
      </c>
      <c r="O25" s="467">
        <f t="shared" si="0"/>
        <v>-0.3421766191042267</v>
      </c>
      <c r="P25" s="191">
        <f>IF(L25/N25&lt;0,"n.a.",IF(N25&gt;0,ROUND(L25,4)/ROUND(N25,4)-1,IF(N25&lt;0,"n.a.")))</f>
        <v>17.360004227882886</v>
      </c>
      <c r="Q25" s="193"/>
      <c r="R25" s="194"/>
    </row>
    <row r="26" spans="1:18" ht="12" customHeight="1">
      <c r="A26" s="133"/>
      <c r="B26" s="133"/>
      <c r="C26" s="142" t="s">
        <v>34</v>
      </c>
      <c r="F26" s="9" t="s">
        <v>2</v>
      </c>
      <c r="G26" s="100" t="s">
        <v>101</v>
      </c>
      <c r="H26" s="100"/>
      <c r="I26" s="100"/>
      <c r="J26" s="155">
        <v>0</v>
      </c>
      <c r="K26" s="779">
        <v>0</v>
      </c>
      <c r="L26" s="147">
        <v>0</v>
      </c>
      <c r="M26" s="157">
        <v>0</v>
      </c>
      <c r="N26" s="157">
        <v>0</v>
      </c>
      <c r="O26" s="185"/>
      <c r="P26" s="189"/>
      <c r="Q26" s="157"/>
      <c r="R26" s="197"/>
    </row>
    <row r="27" spans="1:18" ht="12" customHeight="1">
      <c r="A27" s="133"/>
      <c r="B27" s="133"/>
      <c r="C27" s="142" t="s">
        <v>35</v>
      </c>
      <c r="F27" s="7"/>
      <c r="G27" s="102" t="s">
        <v>102</v>
      </c>
      <c r="H27" s="102"/>
      <c r="I27" s="102"/>
      <c r="J27" s="160">
        <v>18.316526763999999</v>
      </c>
      <c r="K27" s="781">
        <v>27.844078068000005</v>
      </c>
      <c r="L27" s="161">
        <v>17.370442131000001</v>
      </c>
      <c r="M27" s="162">
        <v>27.218669710000004</v>
      </c>
      <c r="N27" s="162">
        <v>0.94608463300000001</v>
      </c>
      <c r="O27" s="187">
        <f t="shared" si="0"/>
        <v>-0.3421766191042267</v>
      </c>
      <c r="P27" s="192">
        <f t="shared" si="1"/>
        <v>17.360004227882886</v>
      </c>
      <c r="Q27" s="157"/>
      <c r="R27" s="197"/>
    </row>
    <row r="28" spans="1:18" ht="12" customHeight="1">
      <c r="A28" s="133"/>
      <c r="B28" s="133"/>
      <c r="C28" s="142"/>
      <c r="F28" s="18"/>
      <c r="G28" s="7"/>
      <c r="H28" s="7"/>
      <c r="I28" s="7"/>
      <c r="J28" s="21"/>
      <c r="K28" s="21"/>
      <c r="L28" s="21"/>
      <c r="M28" s="21"/>
      <c r="N28" s="21"/>
      <c r="O28" s="22"/>
      <c r="P28" s="23"/>
    </row>
    <row r="29" spans="1:18" ht="12" customHeight="1">
      <c r="A29" s="133"/>
      <c r="B29" s="133"/>
      <c r="C29" s="142"/>
      <c r="F29" s="7"/>
      <c r="G29" s="7"/>
      <c r="H29" s="7"/>
      <c r="I29" s="7"/>
      <c r="J29" s="21"/>
      <c r="K29" s="21"/>
      <c r="L29" s="21"/>
      <c r="M29" s="21"/>
      <c r="N29" s="21"/>
      <c r="O29" s="22"/>
      <c r="P29" s="23"/>
    </row>
    <row r="30" spans="1:18" s="3" customFormat="1" ht="12" customHeight="1">
      <c r="A30" s="133"/>
      <c r="B30" s="133" t="s">
        <v>185</v>
      </c>
      <c r="C30" s="142"/>
      <c r="D30" s="1"/>
      <c r="E30" s="1"/>
      <c r="F30" s="7"/>
      <c r="G30" s="1"/>
      <c r="H30" s="1"/>
      <c r="I30" s="1"/>
      <c r="J30" s="304"/>
      <c r="K30" s="304"/>
      <c r="L30" s="304"/>
      <c r="M30" s="304"/>
      <c r="N30" s="304"/>
      <c r="O30" s="1"/>
      <c r="P30" s="1"/>
    </row>
    <row r="31" spans="1:18" ht="12" customHeight="1">
      <c r="A31" s="133"/>
      <c r="B31" s="133"/>
      <c r="C31" s="142" t="s">
        <v>147</v>
      </c>
      <c r="F31" s="4" t="s">
        <v>7</v>
      </c>
      <c r="J31" s="165"/>
      <c r="K31" s="165"/>
      <c r="L31" s="165"/>
      <c r="M31" s="165"/>
      <c r="N31" s="165"/>
    </row>
    <row r="32" spans="1:18" ht="12" customHeight="1">
      <c r="A32" s="133"/>
      <c r="B32" s="133"/>
      <c r="C32" s="142" t="s">
        <v>36</v>
      </c>
      <c r="F32" s="2" t="s">
        <v>6</v>
      </c>
    </row>
    <row r="33" spans="1:6" ht="12" customHeight="1">
      <c r="A33" s="133"/>
      <c r="B33" s="133"/>
      <c r="C33" s="142"/>
      <c r="F33" s="55"/>
    </row>
    <row r="34" spans="1:6" ht="12" customHeight="1">
      <c r="A34" s="133"/>
      <c r="B34" s="133" t="s">
        <v>188</v>
      </c>
      <c r="C34" s="142"/>
      <c r="F34" s="8" t="s">
        <v>8</v>
      </c>
    </row>
    <row r="35" spans="1:6" ht="12" customHeight="1">
      <c r="A35" s="133"/>
      <c r="B35" s="133"/>
      <c r="C35" s="142" t="s">
        <v>37</v>
      </c>
      <c r="F35" s="9" t="s">
        <v>0</v>
      </c>
    </row>
    <row r="36" spans="1:6" ht="12" customHeight="1">
      <c r="A36" s="133"/>
      <c r="B36" s="133"/>
      <c r="C36" s="142" t="s">
        <v>38</v>
      </c>
      <c r="F36" s="7"/>
    </row>
    <row r="37" spans="1:6" ht="12" customHeight="1">
      <c r="A37" s="25"/>
      <c r="F37" s="7"/>
    </row>
    <row r="38" spans="1:6" ht="12" customHeight="1">
      <c r="A38" s="25"/>
      <c r="F38" s="7"/>
    </row>
    <row r="39" spans="1:6" ht="14.25">
      <c r="A39" s="25"/>
      <c r="F39" s="7"/>
    </row>
    <row r="40" spans="1:6" ht="14.25">
      <c r="A40" s="25"/>
      <c r="F40" s="7"/>
    </row>
    <row r="41" spans="1:6" ht="14.25">
      <c r="A41" s="25"/>
      <c r="F41" s="7"/>
    </row>
    <row r="42" spans="1:6" ht="14.25">
      <c r="A42" s="25"/>
      <c r="F42" s="7"/>
    </row>
    <row r="43" spans="1:6" ht="14.25">
      <c r="A43" s="25"/>
      <c r="F43" s="7"/>
    </row>
    <row r="44" spans="1:6" ht="14.25">
      <c r="A44" s="25"/>
      <c r="F44" s="7"/>
    </row>
    <row r="45" spans="1:6" ht="14.25">
      <c r="A45" s="25"/>
      <c r="F45" s="7"/>
    </row>
    <row r="46" spans="1:6" ht="14.25">
      <c r="A46" s="25"/>
      <c r="F46" s="7"/>
    </row>
    <row r="47" spans="1:6" ht="14.25">
      <c r="A47" s="25"/>
      <c r="F47" s="7"/>
    </row>
    <row r="48" spans="1:6" ht="14.25">
      <c r="A48" s="25"/>
      <c r="F48" s="9" t="s">
        <v>1</v>
      </c>
    </row>
    <row r="49" spans="1:16">
      <c r="F49" s="7"/>
    </row>
    <row r="50" spans="1:16">
      <c r="F50" s="7"/>
    </row>
    <row r="51" spans="1:16">
      <c r="F51" s="18"/>
    </row>
    <row r="52" spans="1:16">
      <c r="F52" s="9" t="s">
        <v>4</v>
      </c>
    </row>
    <row r="53" spans="1:16">
      <c r="F53" s="7"/>
      <c r="J53" s="67"/>
      <c r="K53" s="67"/>
      <c r="L53" s="67"/>
      <c r="M53" s="67"/>
      <c r="N53" s="67"/>
      <c r="O53" s="67"/>
      <c r="P53" s="67"/>
    </row>
    <row r="54" spans="1:16">
      <c r="F54" s="7"/>
      <c r="J54" s="67"/>
      <c r="K54" s="67"/>
      <c r="L54" s="67"/>
      <c r="M54" s="67"/>
      <c r="N54" s="67"/>
      <c r="O54" s="67"/>
      <c r="P54" s="67"/>
    </row>
    <row r="55" spans="1:16">
      <c r="F55" s="18"/>
      <c r="J55" s="67"/>
      <c r="K55" s="67"/>
      <c r="L55" s="67"/>
      <c r="M55" s="67"/>
      <c r="N55" s="67"/>
      <c r="O55" s="67"/>
      <c r="P55" s="67"/>
    </row>
    <row r="56" spans="1:16">
      <c r="F56" s="9" t="s">
        <v>2</v>
      </c>
      <c r="J56" s="67"/>
      <c r="K56" s="67"/>
      <c r="L56" s="67"/>
      <c r="M56" s="67"/>
      <c r="N56" s="67"/>
      <c r="O56" s="67"/>
      <c r="P56" s="67"/>
    </row>
    <row r="57" spans="1:16">
      <c r="F57" s="7"/>
      <c r="J57" s="67"/>
      <c r="K57" s="67"/>
      <c r="L57" s="67"/>
      <c r="M57" s="67"/>
      <c r="N57" s="67"/>
      <c r="O57" s="67"/>
      <c r="P57" s="67"/>
    </row>
    <row r="58" spans="1:16">
      <c r="F58" s="18"/>
      <c r="J58" s="67"/>
      <c r="K58" s="67"/>
      <c r="L58" s="67"/>
      <c r="M58" s="67"/>
      <c r="N58" s="67"/>
      <c r="O58" s="67"/>
      <c r="P58" s="67"/>
    </row>
    <row r="59" spans="1:16">
      <c r="J59" s="67"/>
      <c r="K59" s="67"/>
      <c r="L59" s="67"/>
      <c r="M59" s="67"/>
      <c r="N59" s="67"/>
      <c r="O59" s="67"/>
      <c r="P59" s="67"/>
    </row>
    <row r="60" spans="1:16">
      <c r="F60" s="2" t="s">
        <v>9</v>
      </c>
      <c r="J60" s="67"/>
      <c r="K60" s="67"/>
      <c r="L60" s="67"/>
      <c r="M60" s="67"/>
      <c r="N60" s="67"/>
      <c r="O60" s="67"/>
      <c r="P60" s="67"/>
    </row>
    <row r="61" spans="1:16">
      <c r="F61" s="55"/>
      <c r="J61" s="67"/>
      <c r="K61" s="67"/>
      <c r="L61" s="67"/>
      <c r="M61" s="67"/>
      <c r="N61" s="67"/>
      <c r="O61" s="67"/>
      <c r="P61" s="67"/>
    </row>
    <row r="62" spans="1:16">
      <c r="F62" s="8" t="s">
        <v>8</v>
      </c>
      <c r="J62" s="67"/>
      <c r="K62" s="67"/>
      <c r="L62" s="67"/>
      <c r="M62" s="67"/>
      <c r="N62" s="67"/>
      <c r="O62" s="67"/>
      <c r="P62" s="67"/>
    </row>
    <row r="63" spans="1:16">
      <c r="F63" s="9" t="s">
        <v>0</v>
      </c>
      <c r="J63" s="67"/>
      <c r="K63" s="67"/>
      <c r="L63" s="67"/>
      <c r="M63" s="67"/>
      <c r="N63" s="67"/>
      <c r="O63" s="67"/>
      <c r="P63" s="67"/>
    </row>
    <row r="64" spans="1:16" ht="12">
      <c r="A64" s="1"/>
      <c r="F64" s="7"/>
      <c r="J64" s="67"/>
      <c r="K64" s="67"/>
      <c r="L64" s="67"/>
      <c r="M64" s="67"/>
      <c r="N64" s="67"/>
      <c r="O64" s="67"/>
      <c r="P64" s="67"/>
    </row>
    <row r="65" spans="1:16" ht="12">
      <c r="A65" s="1"/>
      <c r="F65" s="7"/>
      <c r="J65" s="67"/>
      <c r="K65" s="67"/>
      <c r="L65" s="67"/>
      <c r="M65" s="67"/>
      <c r="N65" s="67"/>
      <c r="O65" s="67"/>
      <c r="P65" s="67"/>
    </row>
    <row r="66" spans="1:16" ht="12">
      <c r="A66" s="1"/>
      <c r="F66" s="7"/>
      <c r="J66" s="67"/>
      <c r="K66" s="67"/>
      <c r="L66" s="67"/>
      <c r="M66" s="67"/>
      <c r="N66" s="67"/>
      <c r="O66" s="67"/>
      <c r="P66" s="67"/>
    </row>
    <row r="67" spans="1:16" ht="12">
      <c r="A67" s="1"/>
      <c r="F67" s="7"/>
      <c r="J67" s="67"/>
      <c r="K67" s="67"/>
      <c r="L67" s="67"/>
      <c r="M67" s="67"/>
      <c r="N67" s="67"/>
      <c r="O67" s="67"/>
      <c r="P67" s="67"/>
    </row>
    <row r="68" spans="1:16" ht="12">
      <c r="A68" s="1"/>
      <c r="F68" s="7"/>
      <c r="J68" s="67"/>
      <c r="K68" s="67"/>
      <c r="L68" s="67"/>
      <c r="M68" s="67"/>
      <c r="N68" s="67"/>
      <c r="O68" s="67"/>
      <c r="P68" s="67"/>
    </row>
    <row r="69" spans="1:16" ht="12">
      <c r="A69" s="1"/>
      <c r="F69" s="7"/>
      <c r="J69" s="67"/>
      <c r="K69" s="67"/>
      <c r="L69" s="67"/>
      <c r="M69" s="67"/>
      <c r="N69" s="67"/>
      <c r="O69" s="67"/>
      <c r="P69" s="67"/>
    </row>
    <row r="70" spans="1:16" ht="12">
      <c r="A70" s="1"/>
      <c r="F70" s="7"/>
      <c r="J70" s="67"/>
      <c r="K70" s="67"/>
      <c r="L70" s="67"/>
      <c r="M70" s="67"/>
      <c r="N70" s="67"/>
      <c r="O70" s="67"/>
      <c r="P70" s="67"/>
    </row>
    <row r="71" spans="1:16" ht="12">
      <c r="A71" s="1"/>
      <c r="F71" s="7"/>
      <c r="J71" s="67"/>
      <c r="K71" s="67"/>
      <c r="L71" s="67"/>
      <c r="M71" s="67"/>
      <c r="N71" s="67"/>
      <c r="O71" s="67"/>
      <c r="P71" s="67"/>
    </row>
    <row r="72" spans="1:16" ht="12">
      <c r="A72" s="1"/>
      <c r="F72" s="7"/>
      <c r="J72" s="67"/>
      <c r="K72" s="67"/>
      <c r="L72" s="67"/>
      <c r="M72" s="67"/>
      <c r="N72" s="67"/>
      <c r="O72" s="67"/>
      <c r="P72" s="67"/>
    </row>
    <row r="73" spans="1:16" ht="12">
      <c r="A73" s="1"/>
      <c r="F73" s="7"/>
      <c r="J73" s="67"/>
      <c r="K73" s="67"/>
      <c r="L73" s="67"/>
      <c r="M73" s="67"/>
      <c r="N73" s="67"/>
      <c r="O73" s="67"/>
      <c r="P73" s="67"/>
    </row>
    <row r="74" spans="1:16" ht="12">
      <c r="A74" s="1"/>
      <c r="F74" s="7"/>
      <c r="J74" s="67"/>
      <c r="K74" s="67"/>
      <c r="L74" s="67"/>
      <c r="M74" s="67"/>
      <c r="N74" s="67"/>
      <c r="O74" s="67"/>
      <c r="P74" s="67"/>
    </row>
    <row r="75" spans="1:16" ht="12">
      <c r="A75" s="1"/>
      <c r="F75" s="7"/>
      <c r="J75" s="67"/>
      <c r="K75" s="67"/>
      <c r="L75" s="67"/>
      <c r="M75" s="67"/>
      <c r="N75" s="67"/>
      <c r="O75" s="67"/>
      <c r="P75" s="67"/>
    </row>
    <row r="76" spans="1:16" ht="12">
      <c r="A76" s="1"/>
      <c r="F76" s="9" t="s">
        <v>1</v>
      </c>
    </row>
    <row r="77" spans="1:16">
      <c r="F77" s="7"/>
    </row>
    <row r="78" spans="1:16">
      <c r="F78" s="7"/>
    </row>
    <row r="79" spans="1:16">
      <c r="F79" s="18"/>
    </row>
    <row r="80" spans="1:16">
      <c r="F80" s="9" t="s">
        <v>4</v>
      </c>
    </row>
    <row r="81" spans="6:6">
      <c r="F81" s="7"/>
    </row>
    <row r="82" spans="6:6">
      <c r="F82" s="7"/>
    </row>
    <row r="83" spans="6:6">
      <c r="F83" s="18"/>
    </row>
    <row r="84" spans="6:6">
      <c r="F84" s="9" t="s">
        <v>2</v>
      </c>
    </row>
    <row r="85" spans="6:6">
      <c r="F85" s="7"/>
    </row>
    <row r="86" spans="6:6">
      <c r="F86" s="18"/>
    </row>
    <row r="88" spans="6:6">
      <c r="F88" s="1" t="s">
        <v>3</v>
      </c>
    </row>
  </sheetData>
  <mergeCells count="2">
    <mergeCell ref="J3:K3"/>
    <mergeCell ref="L3:N3"/>
  </mergeCells>
  <phoneticPr fontId="7" type="noConversion"/>
  <hyperlinks>
    <hyperlink ref="B5" location="FH!A1" display="재무현황" xr:uid="{00000000-0004-0000-0A00-000000000000}"/>
    <hyperlink ref="B7" location="FS!A1" display="요약재무상태표 (Selected Balance sheet)" xr:uid="{00000000-0004-0000-0A00-000001000000}"/>
    <hyperlink ref="C15" location="Stability!A1" display="재무 안정성 (Financial Stability)" xr:uid="{00000000-0004-0000-0A00-000002000000}"/>
    <hyperlink ref="C16" location="Productivity!A1" display="생산성 / 경영효율 (Productivity / Operating Efficiency)" xr:uid="{00000000-0004-0000-0A00-000003000000}"/>
    <hyperlink ref="C20" location="'Premium Income by P.T.(GA+SA)'!A1" display="상품별 수입보험료 (Premium Income)" xr:uid="{00000000-0004-0000-0A00-000004000000}"/>
    <hyperlink ref="C21" location="'Initial P. by P.T.'!A1" display="상품별 초회보험료 (Initial Premium)" xr:uid="{00000000-0004-0000-0A00-000005000000}"/>
    <hyperlink ref="C22" location="'First-year P. by P.T.'!A1" display="상품별 초년도보험료 (First Year Premium)" xr:uid="{00000000-0004-0000-0A00-000006000000}"/>
    <hyperlink ref="C26" location="'Premium Income by D.C.(GA+SA)'!A1" display="채널별 수입보험료 (Premium Income)" xr:uid="{00000000-0004-0000-0A00-000007000000}"/>
    <hyperlink ref="C27" location="'First-year P. by D.C'!A1" display="채널별 초년도보험료 (First Year Premium)" xr:uid="{00000000-0004-0000-0A00-000008000000}"/>
    <hyperlink ref="C31" location="'&gt;Loan'!A1" display="대출 (Loan)/ 자산건전성 (Asset Quality of Loan)" xr:uid="{00000000-0004-0000-0A00-000009000000}"/>
    <hyperlink ref="C32" location="'&gt;Bond'!A1" display="채권 (Bond)" xr:uid="{00000000-0004-0000-0A00-00000A000000}"/>
    <hyperlink ref="C35" location="'BS  K-IFRS'!A1" display="재무상태표 (Balance Sheet - KIFRS)" xr:uid="{00000000-0004-0000-0A00-00000B000000}"/>
    <hyperlink ref="C36" location="'IS  K-IFRS'!A1" display="손익계산서 (Income Statement - KIFRS)" xr:uid="{00000000-0004-0000-0A00-00000C000000}"/>
    <hyperlink ref="B8" location="FS!A1" display="요약손익계산서 (Selected Income Statement)" xr:uid="{00000000-0004-0000-0A00-00000D000000}"/>
    <hyperlink ref="B10" location="CSM!A1" display="RA, CSM, BEL Movement" xr:uid="{00000000-0004-0000-0A00-00000E000000}"/>
    <hyperlink ref="B11" location="CSM!A1" display="신계약 CSM (New Business CSM)" xr:uid="{00000000-0004-0000-0A00-00000F000000}"/>
    <hyperlink ref="B13" location="'Sources of Margin'!A1" display="이원별손익" xr:uid="{00000000-0004-0000-0A00-000010000000}"/>
    <hyperlink ref="B12" location="CSM!A1" display="신계약 CSM 배수 (New Business CSM Margin)" xr:uid="{00000000-0004-0000-0A00-000011000000}"/>
    <hyperlink ref="C19" location="'APE by P.T'!A1" display="상품별 APE (Annualized Premium Equivalent (APE))" xr:uid="{00000000-0004-0000-0A00-000012000000}"/>
    <hyperlink ref="C25" location="'APE by D.C'!A1" display="채널별 APE (Annualized Premium Equivalent (APE))" xr:uid="{00000000-0004-0000-0A00-000013000000}"/>
  </hyperlinks>
  <pageMargins left="0.19685039370078741" right="0.19685039370078741" top="0.74803149606299213" bottom="0.74803149606299213"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137"/>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6384" width="9.140625" style="1"/>
  </cols>
  <sheetData>
    <row r="1" spans="1:16" s="3" customFormat="1" ht="24" customHeight="1">
      <c r="A1" s="6"/>
      <c r="F1" s="85" t="s">
        <v>108</v>
      </c>
      <c r="G1" s="85"/>
      <c r="H1" s="86"/>
      <c r="I1" s="86"/>
    </row>
    <row r="2" spans="1:16" ht="12" customHeight="1">
      <c r="A2" s="133"/>
      <c r="B2" s="134"/>
      <c r="C2" s="134"/>
      <c r="F2" s="92" t="s">
        <v>106</v>
      </c>
      <c r="G2" s="105"/>
      <c r="H2" s="105"/>
      <c r="I2" s="105"/>
    </row>
    <row r="3" spans="1:16" ht="12" customHeight="1">
      <c r="A3" s="133" t="s">
        <v>27</v>
      </c>
      <c r="B3" s="134"/>
      <c r="C3" s="134"/>
      <c r="F3" s="110"/>
      <c r="G3" s="106"/>
      <c r="H3" s="106"/>
      <c r="I3" s="107"/>
      <c r="J3" s="816" t="s">
        <v>82</v>
      </c>
      <c r="K3" s="815"/>
      <c r="L3" s="814" t="s">
        <v>83</v>
      </c>
      <c r="M3" s="814"/>
      <c r="N3" s="815"/>
      <c r="O3" s="106"/>
      <c r="P3" s="106"/>
    </row>
    <row r="4" spans="1:16" ht="12" customHeight="1">
      <c r="A4" s="133"/>
      <c r="B4" s="134"/>
      <c r="C4" s="134"/>
      <c r="F4" s="77" t="s">
        <v>81</v>
      </c>
      <c r="G4" s="108"/>
      <c r="H4" s="108"/>
      <c r="I4" s="109"/>
      <c r="J4" s="771" t="s">
        <v>381</v>
      </c>
      <c r="K4" s="178" t="s">
        <v>382</v>
      </c>
      <c r="L4" s="771" t="s">
        <v>381</v>
      </c>
      <c r="M4" s="248" t="s">
        <v>382</v>
      </c>
      <c r="N4" s="254">
        <v>46112</v>
      </c>
      <c r="O4" s="251" t="s">
        <v>23</v>
      </c>
      <c r="P4" s="103" t="s">
        <v>24</v>
      </c>
    </row>
    <row r="5" spans="1:16" ht="12" customHeight="1">
      <c r="A5" s="143"/>
      <c r="B5" s="133" t="s">
        <v>155</v>
      </c>
      <c r="C5" s="133"/>
      <c r="F5" s="111" t="s">
        <v>109</v>
      </c>
      <c r="G5" s="111"/>
      <c r="H5" s="111"/>
      <c r="I5" s="112"/>
      <c r="J5" s="305">
        <f>+SUM(J6,J8,J9)</f>
        <v>62.723919668800008</v>
      </c>
      <c r="K5" s="784">
        <f>+SUM(K6,K8,K9)</f>
        <v>70.927280135399997</v>
      </c>
      <c r="L5" s="28">
        <f>+SUM(L6,L8,L9)</f>
        <v>30.933667002899998</v>
      </c>
      <c r="M5" s="785">
        <f>+SUM(M6,M8,M9)</f>
        <v>33.595992350700001</v>
      </c>
      <c r="N5" s="61">
        <f>+SUM(N6,N8,N9)</f>
        <v>31.790252665899999</v>
      </c>
      <c r="O5" s="309">
        <f>IF(J5/K5&lt;0,"n.a.",IF(K5&gt;0,ROUND(J5,4)/ROUND(K5,4)-1,IF(K5&lt;0,"n.a.")))</f>
        <v>-0.11565927365062534</v>
      </c>
      <c r="P5" s="30">
        <f>IF(L5/N5&lt;0,"n.a.",IF(N5&gt;0,ROUND(L5,4)/ROUND(N5,4)-1,IF(N5&lt;0,"n.a.")))</f>
        <v>-2.6945326090033639E-2</v>
      </c>
    </row>
    <row r="6" spans="1:16" ht="12" customHeight="1">
      <c r="A6" s="143"/>
      <c r="B6" s="142"/>
      <c r="C6" s="134"/>
      <c r="F6" s="113"/>
      <c r="G6" s="113" t="s">
        <v>110</v>
      </c>
      <c r="H6" s="113"/>
      <c r="I6" s="114"/>
      <c r="J6" s="360">
        <v>61.333842341300006</v>
      </c>
      <c r="K6" s="786">
        <v>70.132170898499993</v>
      </c>
      <c r="L6" s="32">
        <v>30.260057509799999</v>
      </c>
      <c r="M6" s="31">
        <v>33.202513877400001</v>
      </c>
      <c r="N6" s="62">
        <v>31.073784831499999</v>
      </c>
      <c r="O6" s="310">
        <f>IF(J6/K6&lt;0,"n.a.",IF(K6&gt;0,ROUND(J6,4)/ROUND(K6,4)-1,IF(K6&lt;0,"n.a.")))</f>
        <v>-0.12545449878942916</v>
      </c>
      <c r="P6" s="15">
        <f>IF(L6/N6&lt;0,"n.a.",IF(N6&gt;0,ROUND(L6,4)/ROUND(N6,4)-1,IF(N6&lt;0,"n.a.")))</f>
        <v>-2.6186047409714863E-2</v>
      </c>
    </row>
    <row r="7" spans="1:16" ht="12" customHeight="1">
      <c r="A7" s="143"/>
      <c r="B7" s="142" t="s">
        <v>212</v>
      </c>
      <c r="C7" s="134"/>
      <c r="F7" s="115"/>
      <c r="G7" s="116" t="s">
        <v>111</v>
      </c>
      <c r="H7" s="116"/>
      <c r="I7" s="117"/>
      <c r="J7" s="307">
        <f>J6/J5</f>
        <v>0.97783816230171838</v>
      </c>
      <c r="K7" s="787">
        <f>K6/K5</f>
        <v>0.98878979660037514</v>
      </c>
      <c r="L7" s="66">
        <f>L6/L5</f>
        <v>0.97822406593318378</v>
      </c>
      <c r="M7" s="788">
        <f>M6/M5</f>
        <v>0.98828793419189476</v>
      </c>
      <c r="N7" s="65">
        <f>N6/N5</f>
        <v>0.97746265681088707</v>
      </c>
      <c r="O7" s="311">
        <f>J7-K7</f>
        <v>-1.0951634298656754E-2</v>
      </c>
      <c r="P7" s="140">
        <f>L7-N7</f>
        <v>7.6140912229671898E-4</v>
      </c>
    </row>
    <row r="8" spans="1:16" ht="12" customHeight="1">
      <c r="A8" s="143"/>
      <c r="B8" s="142" t="s">
        <v>213</v>
      </c>
      <c r="C8" s="134"/>
      <c r="F8" s="113"/>
      <c r="G8" s="113" t="s">
        <v>112</v>
      </c>
      <c r="H8" s="113"/>
      <c r="I8" s="114"/>
      <c r="J8" s="306">
        <v>1.3750263075000002</v>
      </c>
      <c r="K8" s="786">
        <v>0.79057428060000001</v>
      </c>
      <c r="L8" s="32">
        <v>0.67360949310000007</v>
      </c>
      <c r="M8" s="31">
        <v>0.38894351700000002</v>
      </c>
      <c r="N8" s="62">
        <v>0.70141681439999981</v>
      </c>
      <c r="O8" s="310">
        <f>IF(J8/K8&lt;0,"n.a.",IF(K8&gt;0,ROUND(J8,4)/ROUND(K8,4)-1,IF(K8&lt;0,"n.a.")))</f>
        <v>0.73918542878826221</v>
      </c>
      <c r="P8" s="34">
        <f>IF(L8/N8&lt;0,"n.a.",IF(N8&gt;0,ROUND(L8,4)/ROUND(N8,4)-1,IF(N8&lt;0,"n.a.")))</f>
        <v>-3.9635015682919938E-2</v>
      </c>
    </row>
    <row r="9" spans="1:16" ht="12" customHeight="1">
      <c r="A9" s="143"/>
      <c r="B9" s="142"/>
      <c r="C9" s="134"/>
      <c r="F9" s="113"/>
      <c r="G9" s="113" t="s">
        <v>113</v>
      </c>
      <c r="H9" s="113"/>
      <c r="I9" s="114"/>
      <c r="J9" s="306">
        <v>1.505102E-2</v>
      </c>
      <c r="K9" s="786">
        <v>4.5349563000000002E-3</v>
      </c>
      <c r="L9" s="32">
        <v>0</v>
      </c>
      <c r="M9" s="31">
        <v>4.5349563000000002E-3</v>
      </c>
      <c r="N9" s="62">
        <v>1.505102E-2</v>
      </c>
      <c r="O9" s="310"/>
      <c r="P9" s="428"/>
    </row>
    <row r="10" spans="1:16" ht="12" customHeight="1">
      <c r="A10" s="133"/>
      <c r="B10" s="142" t="s">
        <v>171</v>
      </c>
      <c r="C10" s="134"/>
      <c r="F10" s="111" t="s">
        <v>114</v>
      </c>
      <c r="G10" s="111"/>
      <c r="H10" s="111"/>
      <c r="I10" s="112"/>
      <c r="J10" s="305">
        <f>+SUM(J11,J13,J14)</f>
        <v>14.436888019300001</v>
      </c>
      <c r="K10" s="784">
        <f>+SUM(K11,K13,K14)</f>
        <v>16.780630190799997</v>
      </c>
      <c r="L10" s="28">
        <f>+SUM(L11,L13,L14)</f>
        <v>7.0749334436</v>
      </c>
      <c r="M10" s="785">
        <f>+SUM(M11,M13,M14)</f>
        <v>7.751835279699999</v>
      </c>
      <c r="N10" s="61">
        <f>+SUM(N11,N13,N14)</f>
        <v>7.3619545756999996</v>
      </c>
      <c r="O10" s="309">
        <f>IF(J10/K10&lt;0,"n.a.",IF(K10&gt;0,ROUND(J10,4)/ROUND(K10,4)-1,IF(K10&lt;0,"n.a.")))</f>
        <v>-0.13966723478302323</v>
      </c>
      <c r="P10" s="30">
        <f>IF(L10/N10&lt;0,"n.a.",IF(N10&gt;0,ROUND(L10,4)/ROUND(N10,4)-1,IF(N10&lt;0,"n.a.")))</f>
        <v>-3.8997555012224905E-2</v>
      </c>
    </row>
    <row r="11" spans="1:16" ht="12" customHeight="1">
      <c r="A11" s="133"/>
      <c r="B11" s="142" t="s">
        <v>166</v>
      </c>
      <c r="C11" s="134"/>
      <c r="F11" s="113"/>
      <c r="G11" s="113" t="s">
        <v>110</v>
      </c>
      <c r="H11" s="113"/>
      <c r="I11" s="114"/>
      <c r="J11" s="360">
        <v>14.2171273967</v>
      </c>
      <c r="K11" s="789">
        <v>16.460119415999998</v>
      </c>
      <c r="L11" s="32">
        <v>6.9781260366</v>
      </c>
      <c r="M11" s="31">
        <v>7.6457963504999995</v>
      </c>
      <c r="N11" s="62">
        <v>7.2390013600999996</v>
      </c>
      <c r="O11" s="310">
        <f>IF(J11/K11&lt;0,"n.a.",IF(K11&gt;0,ROUND(J11,4)/ROUND(K11,4)-1,IF(K11&lt;0,"n.a.")))</f>
        <v>-0.13626891695676213</v>
      </c>
      <c r="P11" s="34">
        <f>IF(L11/N11&lt;0,"n.a.",IF(N11&gt;0,ROUND(L11,4)/ROUND(N11,4)-1,IF(N11&lt;0,"n.a.")))</f>
        <v>-3.6040889625638783E-2</v>
      </c>
    </row>
    <row r="12" spans="1:16" ht="12" customHeight="1">
      <c r="A12" s="133"/>
      <c r="B12" s="142" t="s">
        <v>219</v>
      </c>
      <c r="C12" s="134"/>
      <c r="F12" s="115"/>
      <c r="G12" s="116" t="s">
        <v>111</v>
      </c>
      <c r="H12" s="116"/>
      <c r="I12" s="117"/>
      <c r="J12" s="307">
        <f>J11/J10</f>
        <v>0.98477783977362621</v>
      </c>
      <c r="K12" s="787">
        <f>K11/K10</f>
        <v>0.98089995601144231</v>
      </c>
      <c r="L12" s="66">
        <f>L11/L10</f>
        <v>0.98631684555455823</v>
      </c>
      <c r="M12" s="788">
        <f>M11/M10</f>
        <v>0.98632079689855034</v>
      </c>
      <c r="N12" s="65">
        <f>N11/N10</f>
        <v>0.98329883533839801</v>
      </c>
      <c r="O12" s="311">
        <f>J12-K12</f>
        <v>3.877883762183898E-3</v>
      </c>
      <c r="P12" s="140">
        <f>L12-N12</f>
        <v>3.0180102161602163E-3</v>
      </c>
    </row>
    <row r="13" spans="1:16" ht="12" customHeight="1">
      <c r="A13" s="133"/>
      <c r="B13" s="142"/>
      <c r="C13" s="134"/>
      <c r="F13" s="113"/>
      <c r="G13" s="113" t="s">
        <v>112</v>
      </c>
      <c r="H13" s="113"/>
      <c r="I13" s="114"/>
      <c r="J13" s="306">
        <v>2.98242297E-2</v>
      </c>
      <c r="K13" s="786">
        <v>9.5999999999999992E-3</v>
      </c>
      <c r="L13" s="32">
        <v>1.7221962800000001E-2</v>
      </c>
      <c r="M13" s="31">
        <v>6.6E-3</v>
      </c>
      <c r="N13" s="62">
        <v>1.2602266899999999E-2</v>
      </c>
      <c r="O13" s="310">
        <f>IF(J13/K13&lt;0,"n.a.",IF(K13&gt;0,ROUND(J13,4)/ROUND(K13,4)-1,IF(K13&lt;0,"n.a.")))</f>
        <v>2.104166666666667</v>
      </c>
      <c r="P13" s="34">
        <f>IF(L13/N13&lt;0,"n.a.",IF(N13&gt;0,ROUND(L13,4)/ROUND(N13,4)-1,IF(N13&lt;0,"n.a.")))</f>
        <v>0.36507936507936511</v>
      </c>
    </row>
    <row r="14" spans="1:16" ht="12" customHeight="1">
      <c r="A14" s="133"/>
      <c r="B14" s="133" t="s">
        <v>173</v>
      </c>
      <c r="C14" s="134"/>
      <c r="F14" s="118"/>
      <c r="G14" s="113" t="s">
        <v>113</v>
      </c>
      <c r="H14" s="118"/>
      <c r="I14" s="119"/>
      <c r="J14" s="308">
        <v>0.1899363929</v>
      </c>
      <c r="K14" s="786">
        <v>0.31091077479999996</v>
      </c>
      <c r="L14" s="35">
        <v>7.9585444199999994E-2</v>
      </c>
      <c r="M14" s="31">
        <v>9.9438929199999998E-2</v>
      </c>
      <c r="N14" s="62">
        <v>0.11035094869999999</v>
      </c>
      <c r="O14" s="312">
        <f>IF(J14/K14&lt;0,"n.a.",IF(K14&gt;0,ROUND(J14,4)/ROUND(K14,4)-1,IF(K14&lt;0,"n.a.")))</f>
        <v>-0.38919266645223538</v>
      </c>
      <c r="P14" s="387">
        <f>IF(L14/N14&lt;0,"n.a.",IF(N14&gt;0,ROUND(L14,4)/ROUND(N14,4)-1,IF(N14&lt;0,"n.a.")))</f>
        <v>-0.27898550724637672</v>
      </c>
    </row>
    <row r="15" spans="1:16" ht="12" customHeight="1">
      <c r="A15" s="133"/>
      <c r="B15" s="135"/>
      <c r="C15" s="142" t="s">
        <v>40</v>
      </c>
      <c r="F15" s="111" t="s">
        <v>115</v>
      </c>
      <c r="G15" s="111"/>
      <c r="H15" s="111"/>
      <c r="I15" s="112"/>
      <c r="J15" s="305">
        <f>+SUM(J16,J18,J19)</f>
        <v>186.74292422769997</v>
      </c>
      <c r="K15" s="784">
        <f>+SUM(K16,K18,K19)</f>
        <v>180.52628339279997</v>
      </c>
      <c r="L15" s="28">
        <f>+SUM(L16,L18,L19)</f>
        <v>118.1829113898</v>
      </c>
      <c r="M15" s="785">
        <f>+SUM(M16,M18,M19)</f>
        <v>71.584314203400012</v>
      </c>
      <c r="N15" s="61">
        <f>+SUM(N16,N18,N19)</f>
        <v>68.560012837900004</v>
      </c>
      <c r="O15" s="309">
        <f>IF(J15/K15&lt;0,"n.a.",IF(K15&gt;0,ROUND(J15,4)/ROUND(K15,4)-1,IF(K15&lt;0,"n.a.")))</f>
        <v>3.4435979688278051E-2</v>
      </c>
      <c r="P15" s="30">
        <f>IF(L15/N15&lt;0,"n.a.",IF(N15&gt;0,ROUND(L15,4)/ROUND(N15,4)-1,IF(N15&lt;0,"n.a.")))</f>
        <v>0.72378792298716443</v>
      </c>
    </row>
    <row r="16" spans="1:16" ht="12" customHeight="1">
      <c r="A16" s="133"/>
      <c r="B16" s="133"/>
      <c r="C16" s="142" t="s">
        <v>41</v>
      </c>
      <c r="F16" s="113"/>
      <c r="G16" s="113" t="s">
        <v>110</v>
      </c>
      <c r="H16" s="113"/>
      <c r="I16" s="114"/>
      <c r="J16" s="360">
        <v>186.18571479759999</v>
      </c>
      <c r="K16" s="786">
        <v>179.54309621279998</v>
      </c>
      <c r="L16" s="32">
        <v>118.0562208045</v>
      </c>
      <c r="M16" s="31">
        <v>71.224707513500007</v>
      </c>
      <c r="N16" s="62">
        <v>68.129493993099999</v>
      </c>
      <c r="O16" s="310">
        <f>IF(J16/K16&lt;0,"n.a.",IF(K16&gt;0,ROUND(J16,4)/ROUND(K16,4)-1,IF(K16&lt;0,"n.a.")))</f>
        <v>3.6997244672727581E-2</v>
      </c>
      <c r="P16" s="34">
        <f>IF(L16/N16&lt;0,"n.a.",IF(N16&gt;0,ROUND(L16,4)/ROUND(N16,4)-1,IF(N16&lt;0,"n.a.")))</f>
        <v>0.73282058432837482</v>
      </c>
    </row>
    <row r="17" spans="1:17" ht="12" customHeight="1">
      <c r="A17" s="133"/>
      <c r="B17" s="133"/>
      <c r="C17" s="142"/>
      <c r="F17" s="115"/>
      <c r="G17" s="116" t="s">
        <v>111</v>
      </c>
      <c r="H17" s="116"/>
      <c r="I17" s="117"/>
      <c r="J17" s="307">
        <f>J16/J15</f>
        <v>0.99701616844437668</v>
      </c>
      <c r="K17" s="787">
        <f>K16/K15</f>
        <v>0.99455377266112155</v>
      </c>
      <c r="L17" s="66">
        <f>L16/L15</f>
        <v>0.99892801265588949</v>
      </c>
      <c r="M17" s="788">
        <f>M16/M15</f>
        <v>0.99497645966296167</v>
      </c>
      <c r="N17" s="65">
        <f>N16/N15</f>
        <v>0.99372055478143062</v>
      </c>
      <c r="O17" s="311">
        <f>J17-K17</f>
        <v>2.4623957832551335E-3</v>
      </c>
      <c r="P17" s="140">
        <f>L17-N17</f>
        <v>5.2074578744588651E-3</v>
      </c>
    </row>
    <row r="18" spans="1:17" s="38" customFormat="1" ht="12" customHeight="1">
      <c r="A18" s="133"/>
      <c r="B18" s="133" t="s">
        <v>176</v>
      </c>
      <c r="C18" s="142"/>
      <c r="D18" s="1"/>
      <c r="E18" s="1"/>
      <c r="F18" s="113"/>
      <c r="G18" s="113" t="s">
        <v>112</v>
      </c>
      <c r="H18" s="113"/>
      <c r="I18" s="114"/>
      <c r="J18" s="306">
        <v>0.55720943010000001</v>
      </c>
      <c r="K18" s="786">
        <v>0.98318717999999994</v>
      </c>
      <c r="L18" s="32">
        <v>0.12669058529999999</v>
      </c>
      <c r="M18" s="31">
        <v>0.35960668990000005</v>
      </c>
      <c r="N18" s="62">
        <v>0.43051884479999997</v>
      </c>
      <c r="O18" s="310">
        <f>IF(J18/K18&lt;0,"n.a.",IF(K18&gt;0,ROUND(J18,4)/ROUND(K18,4)-1,IF(K18&lt;0,"n.a.")))</f>
        <v>-0.43327908868999176</v>
      </c>
      <c r="P18" s="34">
        <f>IF(L18/N18&lt;0,"n.a.",IF(N18&gt;0,ROUND(L18,4)/ROUND(N18,4)-1,IF(N18&lt;0,"n.a.")))</f>
        <v>-0.7056910569105691</v>
      </c>
    </row>
    <row r="19" spans="1:17" ht="12" customHeight="1">
      <c r="A19" s="133"/>
      <c r="B19" s="133"/>
      <c r="C19" s="142" t="s">
        <v>33</v>
      </c>
      <c r="F19" s="118"/>
      <c r="G19" s="113" t="s">
        <v>113</v>
      </c>
      <c r="H19" s="118"/>
      <c r="I19" s="119"/>
      <c r="J19" s="308">
        <v>0</v>
      </c>
      <c r="K19" s="786">
        <v>0</v>
      </c>
      <c r="L19" s="35">
        <v>0</v>
      </c>
      <c r="M19" s="31">
        <v>0</v>
      </c>
      <c r="N19" s="62">
        <v>0</v>
      </c>
      <c r="O19" s="312"/>
      <c r="P19" s="37"/>
    </row>
    <row r="20" spans="1:17" ht="12" customHeight="1">
      <c r="A20" s="133"/>
      <c r="B20" s="133"/>
      <c r="C20" s="142" t="s">
        <v>29</v>
      </c>
      <c r="F20" s="111" t="s">
        <v>116</v>
      </c>
      <c r="G20" s="111"/>
      <c r="H20" s="111"/>
      <c r="I20" s="112"/>
      <c r="J20" s="305">
        <f>+SUM(J21,J23,J24)</f>
        <v>81.754218586299999</v>
      </c>
      <c r="K20" s="784">
        <f>+SUM(K21,K23,K24)</f>
        <v>71.888141387899992</v>
      </c>
      <c r="L20" s="28">
        <f>+SUM(L21,L23,L24)</f>
        <v>50.312141463399996</v>
      </c>
      <c r="M20" s="785">
        <f>+SUM(M21,M23,M24)</f>
        <v>42.829001827999996</v>
      </c>
      <c r="N20" s="61">
        <f>+SUM(N21,N23,N24)</f>
        <v>31.442077122899999</v>
      </c>
      <c r="O20" s="309">
        <f>IF(J20/K20&lt;0,"n.a.",IF(K20&gt;0,ROUND(J20,4)/ROUND(K20,4)-1,IF(K20&lt;0,"n.a.")))</f>
        <v>0.13724246432997966</v>
      </c>
      <c r="P20" s="30">
        <f>IF(L20/N20&lt;0,"n.a.",IF(N20&gt;0,ROUND(L20,4)/ROUND(N20,4)-1,IF(N20&lt;0,"n.a.")))</f>
        <v>0.6001507532893795</v>
      </c>
    </row>
    <row r="21" spans="1:17" ht="12" customHeight="1">
      <c r="A21" s="133"/>
      <c r="B21" s="133"/>
      <c r="C21" s="142" t="s">
        <v>30</v>
      </c>
      <c r="F21" s="113"/>
      <c r="G21" s="113" t="s">
        <v>110</v>
      </c>
      <c r="H21" s="113"/>
      <c r="I21" s="114"/>
      <c r="J21" s="360">
        <v>25.029729240000002</v>
      </c>
      <c r="K21" s="786">
        <v>69.305796835999999</v>
      </c>
      <c r="L21" s="32">
        <v>13.147432786</v>
      </c>
      <c r="M21" s="31">
        <v>40.419127576999998</v>
      </c>
      <c r="N21" s="62">
        <v>11.882296453999999</v>
      </c>
      <c r="O21" s="310">
        <f>IF(J21/K21&lt;0,"n.a.",IF(K21&gt;0,ROUND(J21,4)/ROUND(K21,4)-1,IF(K21&lt;0,"n.a.")))</f>
        <v>-0.63885129383110795</v>
      </c>
      <c r="P21" s="34">
        <f>IF(L21/N21&lt;0,"n.a.",IF(N21&gt;0,ROUND(L21,4)/ROUND(N21,4)-1,IF(N21&lt;0,"n.a.")))</f>
        <v>0.10646928624929508</v>
      </c>
    </row>
    <row r="22" spans="1:17" ht="12" customHeight="1">
      <c r="A22" s="133"/>
      <c r="B22" s="133"/>
      <c r="C22" s="142" t="s">
        <v>31</v>
      </c>
      <c r="F22" s="115"/>
      <c r="G22" s="116" t="s">
        <v>111</v>
      </c>
      <c r="H22" s="116"/>
      <c r="I22" s="117"/>
      <c r="J22" s="307">
        <f>J21/J20</f>
        <v>0.30615825914327033</v>
      </c>
      <c r="K22" s="787">
        <f>K21/K20</f>
        <v>0.96407829577946713</v>
      </c>
      <c r="L22" s="66">
        <f>L21/L20</f>
        <v>0.26131729645346569</v>
      </c>
      <c r="M22" s="788">
        <f>M21/M20</f>
        <v>0.9437326543196598</v>
      </c>
      <c r="N22" s="65">
        <f>N21/N20</f>
        <v>0.37791067070902401</v>
      </c>
      <c r="O22" s="311">
        <f>J22-K22</f>
        <v>-0.6579200366361968</v>
      </c>
      <c r="P22" s="140">
        <f>L22-N22</f>
        <v>-0.11659337425555832</v>
      </c>
    </row>
    <row r="23" spans="1:17" ht="12" customHeight="1">
      <c r="A23" s="133"/>
      <c r="B23" s="133"/>
      <c r="C23" s="142"/>
      <c r="F23" s="113"/>
      <c r="G23" s="113" t="s">
        <v>112</v>
      </c>
      <c r="H23" s="113"/>
      <c r="I23" s="114"/>
      <c r="J23" s="306">
        <v>56.724489346299997</v>
      </c>
      <c r="K23" s="786">
        <v>2.5823445519000003</v>
      </c>
      <c r="L23" s="32">
        <v>37.1647086774</v>
      </c>
      <c r="M23" s="31">
        <v>2.4098742510000002</v>
      </c>
      <c r="N23" s="62">
        <v>19.5597806689</v>
      </c>
      <c r="O23" s="310">
        <f>IF(J23/K23&lt;0,"n.a.",IF(K23&gt;0,ROUND(J23,4)/ROUND(K23,4)-1,IF(K23&lt;0,"n.a.")))</f>
        <v>20.966657630794252</v>
      </c>
      <c r="P23" s="34">
        <f>IF(L23/N23&lt;0,"n.a.",IF(N23&gt;0,ROUND(L23,4)/ROUND(N23,4)-1,IF(N23&lt;0,"n.a.")))</f>
        <v>0.90005521528850019</v>
      </c>
    </row>
    <row r="24" spans="1:17" ht="12" customHeight="1">
      <c r="A24" s="133"/>
      <c r="B24" s="133" t="s">
        <v>181</v>
      </c>
      <c r="C24" s="142"/>
      <c r="F24" s="118"/>
      <c r="G24" s="118" t="s">
        <v>113</v>
      </c>
      <c r="H24" s="118"/>
      <c r="I24" s="119"/>
      <c r="J24" s="308">
        <v>0</v>
      </c>
      <c r="K24" s="786">
        <v>0</v>
      </c>
      <c r="L24" s="35">
        <v>0</v>
      </c>
      <c r="M24" s="790">
        <v>0</v>
      </c>
      <c r="N24" s="62">
        <v>0</v>
      </c>
      <c r="O24" s="312"/>
      <c r="P24" s="387"/>
    </row>
    <row r="25" spans="1:17" ht="12" customHeight="1">
      <c r="A25" s="133"/>
      <c r="B25" s="133"/>
      <c r="C25" s="142" t="s">
        <v>32</v>
      </c>
      <c r="F25" s="120" t="s">
        <v>117</v>
      </c>
      <c r="G25" s="120"/>
      <c r="H25" s="120"/>
      <c r="I25" s="121"/>
      <c r="J25" s="305">
        <f>SUM(J26,J28:J29)</f>
        <v>345.65795050209994</v>
      </c>
      <c r="K25" s="784">
        <f>SUM(K26,K28:K29)</f>
        <v>340.12233510689998</v>
      </c>
      <c r="L25" s="28">
        <f>SUM(L26,L28:L29)</f>
        <v>206.50365329970001</v>
      </c>
      <c r="M25" s="785">
        <f>SUM(M26,M28:M29)</f>
        <v>155.76114366179999</v>
      </c>
      <c r="N25" s="61">
        <f>SUM(N26,N28:N29)</f>
        <v>139.15429720239999</v>
      </c>
      <c r="O25" s="468">
        <f>IF(J25/K25&lt;0,"n.a.",IF(K25&gt;0,ROUND(J25,4)/ROUND(K25,4)-1,IF(K25&lt;0,"n.a.")))</f>
        <v>1.6275616153366146E-2</v>
      </c>
      <c r="P25" s="328">
        <f>IF(L25/N25&lt;0,"n.a.",IF(N25&gt;0,ROUND(L25,4)/ROUND(N25,4)-1,IF(N25&lt;0,"n.a.")))</f>
        <v>0.48399079295429615</v>
      </c>
      <c r="Q25" s="63"/>
    </row>
    <row r="26" spans="1:17" ht="12" customHeight="1">
      <c r="A26" s="133"/>
      <c r="B26" s="133"/>
      <c r="C26" s="142" t="s">
        <v>34</v>
      </c>
      <c r="F26" s="113"/>
      <c r="G26" s="113" t="s">
        <v>110</v>
      </c>
      <c r="H26" s="113"/>
      <c r="I26" s="114"/>
      <c r="J26" s="360">
        <f>SUM(J6,J11,J16,J21)</f>
        <v>286.76641377559997</v>
      </c>
      <c r="K26" s="786">
        <f>SUM(K6,K11,K16,K21)</f>
        <v>335.44118336329996</v>
      </c>
      <c r="L26" s="32">
        <f>SUM(L6,L11,L16,L21)</f>
        <v>168.44183713690001</v>
      </c>
      <c r="M26" s="31">
        <f>SUM(M6,M11,M16,M21)</f>
        <v>152.49214531839999</v>
      </c>
      <c r="N26" s="62">
        <f>SUM(N6,N11,N16,N21)</f>
        <v>118.32457663869999</v>
      </c>
      <c r="O26" s="310">
        <f>IF(J26/K26&lt;0,"n.a.",IF(K26&gt;0,ROUND(J26,4)/ROUND(K26,4)-1,IF(K26&lt;0,"n.a.")))</f>
        <v>-0.14510680262293363</v>
      </c>
      <c r="P26" s="34">
        <f>IF(L26/N26&lt;0,"n.a.",IF(N26&gt;0,ROUND(L26,4)/ROUND(N26,4)-1,IF(N26&lt;0,"n.a.")))</f>
        <v>0.42355689349467474</v>
      </c>
      <c r="Q26" s="63"/>
    </row>
    <row r="27" spans="1:17" ht="12" customHeight="1">
      <c r="A27" s="133"/>
      <c r="B27" s="133"/>
      <c r="C27" s="142" t="s">
        <v>35</v>
      </c>
      <c r="F27" s="113"/>
      <c r="G27" s="116" t="s">
        <v>111</v>
      </c>
      <c r="H27" s="116"/>
      <c r="I27" s="117"/>
      <c r="J27" s="307">
        <f>J26/J25</f>
        <v>0.82962481655360565</v>
      </c>
      <c r="K27" s="787">
        <f>K26/K25</f>
        <v>0.98623685874046252</v>
      </c>
      <c r="L27" s="66">
        <f>L26/L25</f>
        <v>0.81568453848339106</v>
      </c>
      <c r="M27" s="788">
        <f>M26/M25</f>
        <v>0.97901274819541717</v>
      </c>
      <c r="N27" s="65">
        <f>N26/N25</f>
        <v>0.85031205659856013</v>
      </c>
      <c r="O27" s="311">
        <f>J27-K27</f>
        <v>-0.15661204218685687</v>
      </c>
      <c r="P27" s="140">
        <f>L27-N27</f>
        <v>-3.4627518115169065E-2</v>
      </c>
      <c r="Q27" s="63"/>
    </row>
    <row r="28" spans="1:17" ht="12" customHeight="1">
      <c r="A28" s="133"/>
      <c r="B28" s="133"/>
      <c r="C28" s="142"/>
      <c r="F28" s="113"/>
      <c r="G28" s="113" t="s">
        <v>112</v>
      </c>
      <c r="H28" s="113"/>
      <c r="I28" s="114"/>
      <c r="J28" s="306">
        <f t="shared" ref="J28:N29" si="0">SUM(J8,J13,J18,J23)</f>
        <v>58.686549313599997</v>
      </c>
      <c r="K28" s="786">
        <f t="shared" si="0"/>
        <v>4.3657060125000005</v>
      </c>
      <c r="L28" s="32">
        <f t="shared" si="0"/>
        <v>37.9822307186</v>
      </c>
      <c r="M28" s="31">
        <f t="shared" si="0"/>
        <v>3.1650244579000004</v>
      </c>
      <c r="N28" s="62">
        <f t="shared" si="0"/>
        <v>20.704318595</v>
      </c>
      <c r="O28" s="310">
        <f>IF(J28/K28&lt;0,"n.a.",IF(K28&gt;0,ROUND(J28,4)/ROUND(K28,4)-1,IF(K28&lt;0,"n.a.")))</f>
        <v>12.442632338456605</v>
      </c>
      <c r="P28" s="34">
        <f>IF(L28/N28&lt;0,"n.a.",IF(N28&gt;0,ROUND(L28,4)/ROUND(N28,4)-1,IF(N28&lt;0,"n.a.")))</f>
        <v>0.83450780755688436</v>
      </c>
      <c r="Q28" s="63"/>
    </row>
    <row r="29" spans="1:17" ht="12" customHeight="1">
      <c r="A29" s="133"/>
      <c r="B29" s="133"/>
      <c r="C29" s="142"/>
      <c r="F29" s="118"/>
      <c r="G29" s="118" t="s">
        <v>113</v>
      </c>
      <c r="H29" s="118"/>
      <c r="I29" s="119"/>
      <c r="J29" s="308">
        <f t="shared" si="0"/>
        <v>0.2049874129</v>
      </c>
      <c r="K29" s="791">
        <f t="shared" si="0"/>
        <v>0.31544573109999996</v>
      </c>
      <c r="L29" s="35">
        <f t="shared" si="0"/>
        <v>7.9585444199999994E-2</v>
      </c>
      <c r="M29" s="792">
        <f t="shared" si="0"/>
        <v>0.1039738855</v>
      </c>
      <c r="N29" s="59">
        <f t="shared" si="0"/>
        <v>0.1254019687</v>
      </c>
      <c r="O29" s="312">
        <f>IF(J29/K29&lt;0,"n.a.",IF(K29&gt;0,ROUND(J29,4)/ROUND(K29,4)-1,IF(K29&lt;0,"n.a.")))</f>
        <v>-0.35003170577045029</v>
      </c>
      <c r="P29" s="387">
        <f>IF(L29/N29&lt;0,"n.a.",IF(N29&gt;0,ROUND(L29,4)/ROUND(N29,4)-1,IF(N29&lt;0,"n.a.")))</f>
        <v>-0.36523125996810213</v>
      </c>
      <c r="Q29" s="63"/>
    </row>
    <row r="30" spans="1:17" s="3" customFormat="1" ht="12" customHeight="1">
      <c r="A30" s="133"/>
      <c r="B30" s="133" t="s">
        <v>185</v>
      </c>
      <c r="C30" s="142"/>
      <c r="D30" s="1"/>
      <c r="E30" s="1"/>
      <c r="F30" s="7" t="s">
        <v>237</v>
      </c>
      <c r="G30" s="7"/>
      <c r="H30" s="7"/>
      <c r="I30" s="7"/>
      <c r="J30" s="7"/>
      <c r="K30" s="7"/>
      <c r="L30" s="7"/>
      <c r="M30" s="7"/>
      <c r="N30" s="7"/>
      <c r="O30" s="7"/>
      <c r="P30" s="7"/>
      <c r="Q30" s="7"/>
    </row>
    <row r="31" spans="1:17" ht="12" customHeight="1">
      <c r="A31" s="133"/>
      <c r="B31" s="133"/>
      <c r="C31" s="142" t="s">
        <v>147</v>
      </c>
      <c r="J31" s="182"/>
      <c r="K31" s="182"/>
      <c r="L31" s="58"/>
    </row>
    <row r="32" spans="1:17" ht="12" customHeight="1">
      <c r="A32" s="133"/>
      <c r="B32" s="133"/>
      <c r="C32" s="142" t="s">
        <v>36</v>
      </c>
      <c r="I32" s="535"/>
      <c r="J32" s="536"/>
      <c r="K32" s="536"/>
      <c r="L32" s="536"/>
      <c r="M32" s="536"/>
      <c r="N32" s="536"/>
    </row>
    <row r="33" spans="1:16" ht="12" customHeight="1">
      <c r="A33" s="133"/>
      <c r="B33" s="133"/>
      <c r="C33" s="142"/>
      <c r="J33" s="658"/>
      <c r="K33" s="536"/>
      <c r="L33" s="536"/>
      <c r="M33" s="536"/>
      <c r="N33" s="536"/>
    </row>
    <row r="34" spans="1:16" ht="12" customHeight="1">
      <c r="A34" s="133"/>
      <c r="B34" s="133" t="s">
        <v>188</v>
      </c>
      <c r="C34" s="142"/>
      <c r="J34" s="182"/>
      <c r="K34" s="536"/>
      <c r="L34" s="536"/>
      <c r="M34" s="536"/>
      <c r="N34" s="536"/>
    </row>
    <row r="35" spans="1:16" ht="12" customHeight="1">
      <c r="A35" s="133"/>
      <c r="B35" s="133"/>
      <c r="C35" s="142" t="s">
        <v>37</v>
      </c>
      <c r="J35" s="182"/>
      <c r="K35" s="536"/>
      <c r="L35" s="536"/>
      <c r="M35" s="536"/>
      <c r="N35" s="536"/>
    </row>
    <row r="36" spans="1:16" ht="12" customHeight="1">
      <c r="A36" s="133"/>
      <c r="B36" s="133"/>
      <c r="C36" s="142" t="s">
        <v>38</v>
      </c>
      <c r="J36" s="182"/>
      <c r="K36" s="536"/>
      <c r="L36" s="536"/>
      <c r="M36" s="536"/>
      <c r="N36" s="536"/>
      <c r="O36" s="63"/>
      <c r="P36" s="63"/>
    </row>
    <row r="37" spans="1:16" ht="12" customHeight="1">
      <c r="A37" s="25"/>
      <c r="J37" s="182"/>
      <c r="K37" s="536"/>
      <c r="L37" s="536"/>
      <c r="M37" s="536"/>
      <c r="N37" s="536"/>
      <c r="O37" s="63"/>
      <c r="P37" s="63"/>
    </row>
    <row r="38" spans="1:16" ht="12" customHeight="1">
      <c r="A38" s="25"/>
      <c r="J38" s="536"/>
      <c r="K38" s="536"/>
      <c r="L38" s="536"/>
      <c r="M38" s="536"/>
      <c r="N38" s="536"/>
      <c r="O38" s="63"/>
      <c r="P38" s="63"/>
    </row>
    <row r="39" spans="1:16" ht="12" customHeight="1">
      <c r="A39" s="25"/>
      <c r="J39" s="536"/>
      <c r="K39" s="536"/>
      <c r="L39" s="536"/>
      <c r="M39" s="536"/>
      <c r="N39" s="536"/>
      <c r="O39" s="63"/>
      <c r="P39" s="63"/>
    </row>
    <row r="40" spans="1:16" ht="12" customHeight="1">
      <c r="A40" s="25"/>
      <c r="J40" s="536"/>
      <c r="K40" s="536"/>
      <c r="L40" s="536"/>
      <c r="M40" s="536"/>
      <c r="N40" s="536"/>
      <c r="O40" s="63"/>
      <c r="P40" s="63"/>
    </row>
    <row r="41" spans="1:16" ht="12" customHeight="1">
      <c r="A41" s="25"/>
      <c r="J41" s="536"/>
      <c r="K41" s="536"/>
      <c r="L41" s="536"/>
      <c r="M41" s="536"/>
      <c r="N41" s="536"/>
      <c r="O41" s="63"/>
      <c r="P41" s="63"/>
    </row>
    <row r="42" spans="1:16" ht="12" customHeight="1">
      <c r="A42" s="25"/>
      <c r="J42" s="536"/>
      <c r="K42" s="536"/>
      <c r="L42" s="536"/>
      <c r="M42" s="536"/>
      <c r="N42" s="536"/>
      <c r="O42" s="63"/>
      <c r="P42" s="63"/>
    </row>
    <row r="43" spans="1:16" ht="12" customHeight="1">
      <c r="A43" s="25"/>
      <c r="J43" s="536"/>
      <c r="K43" s="536"/>
      <c r="L43" s="536"/>
      <c r="M43" s="536"/>
      <c r="N43" s="536"/>
      <c r="O43" s="63"/>
      <c r="P43" s="63"/>
    </row>
    <row r="44" spans="1:16" ht="12" customHeight="1">
      <c r="A44" s="25"/>
      <c r="J44" s="536"/>
      <c r="K44" s="536"/>
      <c r="L44" s="536"/>
      <c r="M44" s="536"/>
      <c r="N44" s="536"/>
      <c r="O44" s="63"/>
      <c r="P44" s="63"/>
    </row>
    <row r="45" spans="1:16" ht="12" customHeight="1">
      <c r="A45" s="25"/>
      <c r="J45" s="536"/>
      <c r="K45" s="536"/>
      <c r="L45" s="536"/>
      <c r="M45" s="536"/>
      <c r="N45" s="536"/>
      <c r="O45" s="63"/>
      <c r="P45" s="63"/>
    </row>
    <row r="46" spans="1:16" ht="12" customHeight="1">
      <c r="A46" s="25"/>
      <c r="J46" s="536"/>
      <c r="K46" s="536"/>
      <c r="L46" s="536"/>
      <c r="M46" s="536"/>
      <c r="N46" s="536"/>
      <c r="O46" s="63"/>
      <c r="P46" s="63"/>
    </row>
    <row r="47" spans="1:16" ht="12" customHeight="1">
      <c r="A47" s="25"/>
      <c r="O47" s="63"/>
      <c r="P47" s="63"/>
    </row>
    <row r="48" spans="1:16" ht="12" customHeight="1">
      <c r="A48" s="25"/>
      <c r="J48" s="536"/>
      <c r="K48" s="536"/>
      <c r="L48" s="536"/>
      <c r="M48" s="536"/>
      <c r="N48" s="536"/>
      <c r="O48" s="63"/>
      <c r="P48" s="63"/>
    </row>
    <row r="49" spans="1:16" ht="12" customHeight="1">
      <c r="J49" s="536"/>
      <c r="K49" s="536"/>
      <c r="L49" s="536"/>
      <c r="M49" s="536"/>
      <c r="N49" s="536"/>
      <c r="O49" s="63"/>
      <c r="P49" s="63"/>
    </row>
    <row r="50" spans="1:16" ht="12" customHeight="1">
      <c r="J50" s="536"/>
      <c r="K50" s="536"/>
      <c r="L50" s="536"/>
      <c r="M50" s="536"/>
      <c r="N50" s="536"/>
      <c r="O50" s="63"/>
      <c r="P50" s="63"/>
    </row>
    <row r="51" spans="1:16" ht="12" customHeight="1">
      <c r="J51" s="536"/>
      <c r="K51" s="536"/>
      <c r="L51" s="536"/>
      <c r="M51" s="536"/>
      <c r="N51" s="536"/>
      <c r="O51" s="63"/>
      <c r="P51" s="63"/>
    </row>
    <row r="52" spans="1:16" ht="12" customHeight="1">
      <c r="J52" s="536"/>
      <c r="K52" s="536"/>
      <c r="L52" s="536"/>
      <c r="M52" s="536"/>
      <c r="N52" s="536"/>
      <c r="O52" s="63"/>
      <c r="P52" s="63"/>
    </row>
    <row r="53" spans="1:16" ht="12" customHeight="1">
      <c r="J53" s="536"/>
      <c r="K53" s="536"/>
      <c r="L53" s="536"/>
      <c r="M53" s="536"/>
      <c r="N53" s="536"/>
      <c r="O53" s="63"/>
      <c r="P53" s="63"/>
    </row>
    <row r="54" spans="1:16" ht="12" customHeight="1">
      <c r="J54" s="536"/>
      <c r="K54" s="536"/>
      <c r="L54" s="536"/>
      <c r="M54" s="536"/>
      <c r="N54" s="536"/>
      <c r="O54" s="63"/>
      <c r="P54" s="63"/>
    </row>
    <row r="55" spans="1:16" ht="12" customHeight="1">
      <c r="J55" s="536"/>
      <c r="K55" s="536"/>
      <c r="L55" s="536"/>
      <c r="M55" s="536"/>
      <c r="N55" s="536"/>
    </row>
    <row r="56" spans="1:16" ht="12" customHeight="1">
      <c r="J56" s="536"/>
      <c r="K56" s="536"/>
      <c r="L56" s="536"/>
      <c r="M56" s="536"/>
      <c r="N56" s="536"/>
    </row>
    <row r="57" spans="1:16" ht="12" customHeight="1">
      <c r="J57" s="536"/>
      <c r="K57" s="536"/>
      <c r="L57" s="536"/>
      <c r="M57" s="536"/>
      <c r="N57" s="536"/>
    </row>
    <row r="58" spans="1:16" ht="12" customHeight="1">
      <c r="J58" s="536"/>
      <c r="K58" s="536"/>
      <c r="L58" s="536"/>
      <c r="M58" s="536"/>
      <c r="N58" s="536"/>
    </row>
    <row r="59" spans="1:16" ht="12" customHeight="1">
      <c r="J59" s="536"/>
      <c r="K59" s="536"/>
      <c r="L59" s="536"/>
      <c r="M59" s="536"/>
      <c r="N59" s="536"/>
    </row>
    <row r="60" spans="1:16" ht="12" customHeight="1">
      <c r="J60" s="536"/>
      <c r="K60" s="536"/>
      <c r="L60" s="536"/>
      <c r="M60" s="536"/>
      <c r="N60" s="536"/>
    </row>
    <row r="61" spans="1:16" ht="12" customHeight="1">
      <c r="J61" s="536"/>
      <c r="K61" s="536"/>
      <c r="L61" s="536"/>
      <c r="M61" s="536"/>
      <c r="N61" s="536"/>
    </row>
    <row r="62" spans="1:16" ht="12" customHeight="1">
      <c r="J62" s="536"/>
      <c r="K62" s="536"/>
      <c r="L62" s="536"/>
      <c r="M62" s="536"/>
      <c r="N62" s="536"/>
    </row>
    <row r="63" spans="1:16" ht="12" customHeight="1">
      <c r="J63" s="536"/>
      <c r="K63" s="536"/>
      <c r="L63" s="536"/>
      <c r="M63" s="536"/>
      <c r="N63" s="536"/>
    </row>
    <row r="64" spans="1:16" ht="12" customHeight="1">
      <c r="A64" s="1"/>
    </row>
    <row r="65" spans="1:1" ht="12" customHeight="1">
      <c r="A65" s="1"/>
    </row>
    <row r="66" spans="1:1" ht="12" customHeight="1">
      <c r="A66" s="1"/>
    </row>
    <row r="67" spans="1:1" ht="12" customHeight="1">
      <c r="A67" s="1"/>
    </row>
    <row r="68" spans="1:1" ht="12" customHeight="1">
      <c r="A68" s="1"/>
    </row>
    <row r="69" spans="1:1" ht="12" customHeight="1">
      <c r="A69" s="1"/>
    </row>
    <row r="70" spans="1:1" ht="12" customHeight="1">
      <c r="A70" s="1"/>
    </row>
    <row r="71" spans="1:1" ht="12" customHeight="1">
      <c r="A71" s="1"/>
    </row>
    <row r="72" spans="1:1" ht="12" customHeight="1">
      <c r="A72" s="1"/>
    </row>
    <row r="73" spans="1:1" ht="12" customHeight="1">
      <c r="A73" s="1"/>
    </row>
    <row r="74" spans="1:1" ht="12" customHeight="1">
      <c r="A74" s="1"/>
    </row>
    <row r="75" spans="1:1" ht="12" customHeight="1">
      <c r="A75" s="1"/>
    </row>
    <row r="76" spans="1:1" ht="12" customHeight="1">
      <c r="A76" s="1"/>
    </row>
    <row r="77" spans="1:1" ht="12" customHeight="1"/>
    <row r="78" spans="1:1" ht="12" customHeight="1"/>
    <row r="79" spans="1:1" ht="12" customHeight="1"/>
    <row r="80" spans="1:1"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sheetData>
  <mergeCells count="2">
    <mergeCell ref="J3:K3"/>
    <mergeCell ref="L3:N3"/>
  </mergeCells>
  <phoneticPr fontId="7" type="noConversion"/>
  <hyperlinks>
    <hyperlink ref="B5" location="FH!A1" display="재무현황" xr:uid="{00000000-0004-0000-0B00-000000000000}"/>
    <hyperlink ref="B7" location="FS!A1" display="요약재무상태표 (Selected Balance sheet)" xr:uid="{00000000-0004-0000-0B00-000001000000}"/>
    <hyperlink ref="C15" location="Stability!A1" display="재무 안정성 (Financial Stability)" xr:uid="{00000000-0004-0000-0B00-000002000000}"/>
    <hyperlink ref="C16" location="Productivity!A1" display="생산성 / 경영효율 (Productivity / Operating Efficiency)" xr:uid="{00000000-0004-0000-0B00-000003000000}"/>
    <hyperlink ref="C20" location="'Premium Income by P.T.(GA+SA)'!A1" display="상품별 수입보험료 (Premium Income)" xr:uid="{00000000-0004-0000-0B00-000004000000}"/>
    <hyperlink ref="C21" location="'Initial P. by P.T.'!A1" display="상품별 초회보험료 (Initial Premium)" xr:uid="{00000000-0004-0000-0B00-000005000000}"/>
    <hyperlink ref="C22" location="'First-year P. by P.T.'!A1" display="상품별 초년도보험료 (First Year Premium)" xr:uid="{00000000-0004-0000-0B00-000006000000}"/>
    <hyperlink ref="C26" location="'Premium Income by D.C.(GA+SA)'!A1" display="채널별 수입보험료 (Premium Income)" xr:uid="{00000000-0004-0000-0B00-000007000000}"/>
    <hyperlink ref="C27" location="'First-year P. by D.C'!A1" display="채널별 초년도보험료 (First Year Premium)" xr:uid="{00000000-0004-0000-0B00-000008000000}"/>
    <hyperlink ref="C31" location="'&gt;Loan'!A1" display="대출 (Loan)/ 자산건전성 (Asset Quality of Loan)" xr:uid="{00000000-0004-0000-0B00-000009000000}"/>
    <hyperlink ref="C32" location="'&gt;Bond'!A1" display="채권 (Bond)" xr:uid="{00000000-0004-0000-0B00-00000A000000}"/>
    <hyperlink ref="C35" location="'BS  K-IFRS'!A1" display="재무상태표 (Balance Sheet - KIFRS)" xr:uid="{00000000-0004-0000-0B00-00000B000000}"/>
    <hyperlink ref="C36" location="'IS  K-IFRS'!A1" display="손익계산서 (Income Statement - KIFRS)" xr:uid="{00000000-0004-0000-0B00-00000C000000}"/>
    <hyperlink ref="B8" location="FS!A1" display="요약손익계산서 (Selected Income Statement)" xr:uid="{00000000-0004-0000-0B00-00000D000000}"/>
    <hyperlink ref="B10" location="CSM!A1" display="RA, CSM, BEL Movement" xr:uid="{00000000-0004-0000-0B00-00000E000000}"/>
    <hyperlink ref="B11" location="CSM!A1" display="신계약 CSM (New Business CSM)" xr:uid="{00000000-0004-0000-0B00-00000F000000}"/>
    <hyperlink ref="B13" location="'Sources of Margin'!A1" display="이원별손익" xr:uid="{00000000-0004-0000-0B00-000010000000}"/>
    <hyperlink ref="B12" location="CSM!A1" display="신계약 CSM 배수 (New Business CSM Margin)" xr:uid="{00000000-0004-0000-0B00-000011000000}"/>
    <hyperlink ref="C19" location="'APE by P.T'!A1" display="상품별 APE (Annualized Premium Equivalent (APE))" xr:uid="{00000000-0004-0000-0B00-000012000000}"/>
    <hyperlink ref="C25" location="'APE by D.C'!A1" display="채널별 APE (Annualized Premium Equivalent (APE))" xr:uid="{00000000-0004-0000-0B00-000013000000}"/>
  </hyperlinks>
  <pageMargins left="0.19685039370078741" right="0.19685039370078741" top="0.74803149606299213" bottom="0.74803149606299213" header="0.31496062992125984" footer="0.31496062992125984"/>
  <pageSetup paperSize="9" orientation="landscape" r:id="rId1"/>
  <colBreaks count="1" manualBreakCount="1">
    <brk id="4"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R132"/>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7" width="1.7109375" style="1" customWidth="1"/>
    <col min="18" max="16384" width="9.140625" style="1"/>
  </cols>
  <sheetData>
    <row r="1" spans="1:18" s="3" customFormat="1" ht="24" customHeight="1">
      <c r="A1" s="6"/>
      <c r="F1" s="85" t="s">
        <v>146</v>
      </c>
      <c r="G1" s="85"/>
      <c r="H1" s="86"/>
      <c r="I1" s="86"/>
    </row>
    <row r="2" spans="1:18" ht="12" customHeight="1">
      <c r="A2" s="133"/>
      <c r="B2" s="134"/>
      <c r="C2" s="134"/>
      <c r="F2" s="92" t="s">
        <v>106</v>
      </c>
      <c r="G2" s="105"/>
      <c r="H2" s="105"/>
      <c r="I2" s="105"/>
    </row>
    <row r="3" spans="1:18" ht="12" customHeight="1">
      <c r="A3" s="133" t="s">
        <v>27</v>
      </c>
      <c r="B3" s="134"/>
      <c r="C3" s="134"/>
      <c r="F3" s="110"/>
      <c r="G3" s="106"/>
      <c r="H3" s="106"/>
      <c r="I3" s="107"/>
      <c r="J3" s="817" t="s">
        <v>82</v>
      </c>
      <c r="K3" s="818"/>
      <c r="L3" s="814" t="s">
        <v>83</v>
      </c>
      <c r="M3" s="814"/>
      <c r="N3" s="815"/>
      <c r="O3" s="106"/>
      <c r="P3" s="106"/>
    </row>
    <row r="4" spans="1:18" ht="12" customHeight="1">
      <c r="A4" s="133"/>
      <c r="B4" s="134"/>
      <c r="C4" s="134"/>
      <c r="F4" s="77" t="s">
        <v>81</v>
      </c>
      <c r="G4" s="108"/>
      <c r="H4" s="108"/>
      <c r="I4" s="109"/>
      <c r="J4" s="771" t="s">
        <v>381</v>
      </c>
      <c r="K4" s="178" t="s">
        <v>382</v>
      </c>
      <c r="L4" s="771" t="s">
        <v>381</v>
      </c>
      <c r="M4" s="248" t="s">
        <v>382</v>
      </c>
      <c r="N4" s="254">
        <v>46112</v>
      </c>
      <c r="O4" s="251" t="s">
        <v>23</v>
      </c>
      <c r="P4" s="103" t="s">
        <v>24</v>
      </c>
    </row>
    <row r="5" spans="1:18" ht="12" customHeight="1">
      <c r="A5" s="143"/>
      <c r="B5" s="133" t="s">
        <v>155</v>
      </c>
      <c r="C5" s="133"/>
      <c r="F5" s="111" t="s">
        <v>109</v>
      </c>
      <c r="G5" s="111"/>
      <c r="H5" s="111"/>
      <c r="I5" s="112"/>
      <c r="J5" s="305">
        <f>+SUM(J6,J8,J9)</f>
        <v>541.36356562499975</v>
      </c>
      <c r="K5" s="784">
        <f>+SUM(K6,K8,K9)</f>
        <v>521.02026765799963</v>
      </c>
      <c r="L5" s="28">
        <f>+SUM(L6,L8,L9)</f>
        <v>274.12799873899985</v>
      </c>
      <c r="M5" s="785">
        <f>+SUM(M6,M8,M9)</f>
        <v>261.75310415299992</v>
      </c>
      <c r="N5" s="61">
        <f>+SUM(N6,N8,N9)</f>
        <v>267.2355668859999</v>
      </c>
      <c r="O5" s="29">
        <f>IF(J5/K5&lt;0,"n.a.",IF(K5&gt;0,ROUND(J5,4)/ROUND(K5,4)-1,IF(K5&lt;0,"n.a.")))</f>
        <v>3.9045119739096634E-2</v>
      </c>
      <c r="P5" s="30">
        <f>IF(L5/N5&lt;0,"n.a.",IF(N5&gt;0,ROUND(L5,4)/ROUND(N5,4)-1,IF(N5&lt;0,"n.a.")))</f>
        <v>2.5791473890454775E-2</v>
      </c>
      <c r="R5" s="166"/>
    </row>
    <row r="6" spans="1:18" ht="12" customHeight="1">
      <c r="A6" s="143"/>
      <c r="B6" s="142"/>
      <c r="C6" s="134"/>
      <c r="F6" s="113"/>
      <c r="G6" s="113" t="s">
        <v>110</v>
      </c>
      <c r="H6" s="113"/>
      <c r="I6" s="114"/>
      <c r="J6" s="360">
        <v>486.46170875999979</v>
      </c>
      <c r="K6" s="786">
        <v>469.60127662899959</v>
      </c>
      <c r="L6" s="32">
        <v>243.86707394899986</v>
      </c>
      <c r="M6" s="31">
        <v>236.87836069999992</v>
      </c>
      <c r="N6" s="62">
        <v>242.59463481099993</v>
      </c>
      <c r="O6" s="33">
        <f>IF(J6/K6&lt;0,"n.a.",IF(K6&gt;0,ROUND(J6,4)/ROUND(K6,4)-1,IF(K6&lt;0,"n.a.")))</f>
        <v>3.5903648477974892E-2</v>
      </c>
      <c r="P6" s="15">
        <f>IF(L6/N6&lt;0,"n.a.",IF(N6&gt;0,ROUND(L6,4)/ROUND(N6,4)-1,IF(N6&lt;0,"n.a.")))</f>
        <v>5.245376442839067E-3</v>
      </c>
      <c r="R6" s="31"/>
    </row>
    <row r="7" spans="1:18" ht="12" customHeight="1">
      <c r="A7" s="143"/>
      <c r="B7" s="142" t="s">
        <v>212</v>
      </c>
      <c r="C7" s="134"/>
      <c r="F7" s="115"/>
      <c r="G7" s="116" t="s">
        <v>111</v>
      </c>
      <c r="H7" s="116"/>
      <c r="I7" s="117"/>
      <c r="J7" s="307">
        <f>J6/J5</f>
        <v>0.8985859774260645</v>
      </c>
      <c r="K7" s="787">
        <f>K6/K5</f>
        <v>0.90131095809356931</v>
      </c>
      <c r="L7" s="66">
        <f>L6/L5</f>
        <v>0.88961023708194165</v>
      </c>
      <c r="M7" s="788">
        <f>M6/M5</f>
        <v>0.90496867827607419</v>
      </c>
      <c r="N7" s="65">
        <f>N6/N5</f>
        <v>0.90779321644146438</v>
      </c>
      <c r="O7" s="139">
        <f>J7-K7</f>
        <v>-2.7249806675048172E-3</v>
      </c>
      <c r="P7" s="140">
        <f>L7-N7</f>
        <v>-1.8182979359522733E-2</v>
      </c>
      <c r="R7" s="204"/>
    </row>
    <row r="8" spans="1:18" ht="12" customHeight="1">
      <c r="A8" s="143"/>
      <c r="B8" s="142" t="s">
        <v>213</v>
      </c>
      <c r="C8" s="134"/>
      <c r="F8" s="113"/>
      <c r="G8" s="113" t="s">
        <v>112</v>
      </c>
      <c r="H8" s="113"/>
      <c r="I8" s="114"/>
      <c r="J8" s="306">
        <v>17.874070729</v>
      </c>
      <c r="K8" s="786">
        <v>19.457287133999991</v>
      </c>
      <c r="L8" s="32">
        <v>8.9227761220000001</v>
      </c>
      <c r="M8" s="31">
        <v>9.3995486769999932</v>
      </c>
      <c r="N8" s="62">
        <v>8.9512946069999977</v>
      </c>
      <c r="O8" s="33">
        <f>IF(J8/K8&lt;0,"n.a.",IF(K8&gt;0,ROUND(J8,4)/ROUND(K8,4)-1,IF(K8&lt;0,"n.a.")))</f>
        <v>-8.1367918467618927E-2</v>
      </c>
      <c r="P8" s="34">
        <f>IF(L8/N8&lt;0,"n.a.",IF(N8&gt;0,ROUND(L8,4)/ROUND(N8,4)-1,IF(N8&lt;0,"n.a.")))</f>
        <v>-3.1838950766926999E-3</v>
      </c>
      <c r="R8" s="31"/>
    </row>
    <row r="9" spans="1:18" ht="12" customHeight="1">
      <c r="A9" s="143"/>
      <c r="B9" s="142"/>
      <c r="C9" s="134"/>
      <c r="F9" s="113"/>
      <c r="G9" s="113" t="s">
        <v>113</v>
      </c>
      <c r="H9" s="113"/>
      <c r="I9" s="114"/>
      <c r="J9" s="306">
        <v>37.027786136000003</v>
      </c>
      <c r="K9" s="786">
        <v>31.961703895000014</v>
      </c>
      <c r="L9" s="32">
        <v>21.338148668000002</v>
      </c>
      <c r="M9" s="31">
        <v>15.475194776000009</v>
      </c>
      <c r="N9" s="62">
        <v>15.689637468000001</v>
      </c>
      <c r="O9" s="33">
        <f>IF(J9/K9&lt;0,"n.a.",IF(K9&gt;0,ROUND(J9,4)/ROUND(K9,4)-1,IF(K9&lt;0,"n.a.")))</f>
        <v>0.15850533607411377</v>
      </c>
      <c r="P9" s="34">
        <f>IF(L9/N9&lt;0,"n.a.",IF(N9&gt;0,ROUND(L9,4)/ROUND(N9,4)-1,IF(N9&lt;0,"n.a.")))</f>
        <v>0.36001555170303901</v>
      </c>
      <c r="R9" s="31"/>
    </row>
    <row r="10" spans="1:18" ht="12" customHeight="1">
      <c r="A10" s="133"/>
      <c r="B10" s="142" t="s">
        <v>171</v>
      </c>
      <c r="C10" s="134"/>
      <c r="F10" s="111" t="s">
        <v>114</v>
      </c>
      <c r="G10" s="111"/>
      <c r="H10" s="111"/>
      <c r="I10" s="112"/>
      <c r="J10" s="305">
        <f>+SUM(J11,J13,J14)</f>
        <v>117.88732575800002</v>
      </c>
      <c r="K10" s="784">
        <f>+SUM(K11,K13,K14)</f>
        <v>134.1681825659999</v>
      </c>
      <c r="L10" s="28">
        <f>+SUM(L11,L13,L14)</f>
        <v>57.305203544000015</v>
      </c>
      <c r="M10" s="785">
        <f>+SUM(M11,M13,M14)</f>
        <v>65.15099091999997</v>
      </c>
      <c r="N10" s="61">
        <f>+SUM(N11,N13,N14)</f>
        <v>60.582122214000002</v>
      </c>
      <c r="O10" s="29">
        <f>IF(J10/K10&lt;0,"n.a.",IF(K10&gt;0,ROUND(J10,4)/ROUND(K10,4)-1,IF(K10&lt;0,"n.a.")))</f>
        <v>-0.12134693615923908</v>
      </c>
      <c r="P10" s="30">
        <f>IF(L10/N10&lt;0,"n.a.",IF(N10&gt;0,ROUND(L10,4)/ROUND(N10,4)-1,IF(N10&lt;0,"n.a.")))</f>
        <v>-5.4090234574238893E-2</v>
      </c>
      <c r="R10" s="166"/>
    </row>
    <row r="11" spans="1:18" ht="12" customHeight="1">
      <c r="A11" s="133"/>
      <c r="B11" s="142" t="s">
        <v>166</v>
      </c>
      <c r="C11" s="134"/>
      <c r="F11" s="113"/>
      <c r="G11" s="113" t="s">
        <v>110</v>
      </c>
      <c r="H11" s="113"/>
      <c r="I11" s="114"/>
      <c r="J11" s="360">
        <v>91.460097706000013</v>
      </c>
      <c r="K11" s="789">
        <v>104.74845055399989</v>
      </c>
      <c r="L11" s="32">
        <v>44.674733820000014</v>
      </c>
      <c r="M11" s="31">
        <v>50.933557501999978</v>
      </c>
      <c r="N11" s="62">
        <v>46.785363885999999</v>
      </c>
      <c r="O11" s="33">
        <f>IF(J11/K11&lt;0,"n.a.",IF(K11&gt;0,ROUND(J11,4)/ROUND(K11,4)-1,IF(K11&lt;0,"n.a.")))</f>
        <v>-0.12686005050191662</v>
      </c>
      <c r="P11" s="34">
        <f>IF(L11/N11&lt;0,"n.a.",IF(N11&gt;0,ROUND(L11,4)/ROUND(N11,4)-1,IF(N11&lt;0,"n.a.")))</f>
        <v>-4.5114501532529383E-2</v>
      </c>
      <c r="R11" s="31"/>
    </row>
    <row r="12" spans="1:18" ht="12" customHeight="1">
      <c r="A12" s="133"/>
      <c r="B12" s="142" t="s">
        <v>219</v>
      </c>
      <c r="C12" s="134"/>
      <c r="F12" s="115"/>
      <c r="G12" s="116" t="s">
        <v>111</v>
      </c>
      <c r="H12" s="116"/>
      <c r="I12" s="117"/>
      <c r="J12" s="307">
        <f>J11/J10</f>
        <v>0.77582638437103901</v>
      </c>
      <c r="K12" s="787">
        <f>K11/K10</f>
        <v>0.78072497182759493</v>
      </c>
      <c r="L12" s="66">
        <f>L11/L10</f>
        <v>0.77959296987223703</v>
      </c>
      <c r="M12" s="788">
        <f>M11/M10</f>
        <v>0.7817771730370483</v>
      </c>
      <c r="N12" s="65">
        <f>N11/N10</f>
        <v>0.77226353544921389</v>
      </c>
      <c r="O12" s="139">
        <f>J12-K12</f>
        <v>-4.898587456555914E-3</v>
      </c>
      <c r="P12" s="140">
        <f>L12-N12</f>
        <v>7.3294344230231401E-3</v>
      </c>
      <c r="R12" s="204"/>
    </row>
    <row r="13" spans="1:18" ht="12" customHeight="1">
      <c r="A13" s="133"/>
      <c r="B13" s="142"/>
      <c r="C13" s="134"/>
      <c r="F13" s="113"/>
      <c r="G13" s="113" t="s">
        <v>112</v>
      </c>
      <c r="H13" s="113"/>
      <c r="I13" s="114"/>
      <c r="J13" s="306">
        <v>2.5501070560000003</v>
      </c>
      <c r="K13" s="786">
        <v>3.2357231059999987</v>
      </c>
      <c r="L13" s="32">
        <v>1.130735254</v>
      </c>
      <c r="M13" s="31">
        <v>1.4774505369999991</v>
      </c>
      <c r="N13" s="62">
        <v>1.4193718019999999</v>
      </c>
      <c r="O13" s="33">
        <f>IF(J13/K13&lt;0,"n.a.",IF(K13&gt;0,ROUND(J13,4)/ROUND(K13,4)-1,IF(K13&lt;0,"n.a.")))</f>
        <v>-0.211886145192694</v>
      </c>
      <c r="P13" s="34">
        <f>IF(L13/N13&lt;0,"n.a.",IF(N13&gt;0,ROUND(L13,4)/ROUND(N13,4)-1,IF(N13&lt;0,"n.a.")))</f>
        <v>-0.20339580104269406</v>
      </c>
      <c r="R13" s="31"/>
    </row>
    <row r="14" spans="1:18" ht="12" customHeight="1">
      <c r="A14" s="133"/>
      <c r="B14" s="133" t="s">
        <v>173</v>
      </c>
      <c r="C14" s="134"/>
      <c r="F14" s="118"/>
      <c r="G14" s="113" t="s">
        <v>113</v>
      </c>
      <c r="H14" s="118"/>
      <c r="I14" s="119"/>
      <c r="J14" s="308">
        <v>23.877120996000002</v>
      </c>
      <c r="K14" s="786">
        <v>26.184008906000006</v>
      </c>
      <c r="L14" s="35">
        <v>11.499734470000002</v>
      </c>
      <c r="M14" s="31">
        <v>12.739982881</v>
      </c>
      <c r="N14" s="62">
        <v>12.377386526000002</v>
      </c>
      <c r="O14" s="36">
        <f>IF(J14/K14&lt;0,"n.a.",IF(K14&gt;0,ROUND(J14,4)/ROUND(K14,4)-1,IF(K14&lt;0,"n.a.")))</f>
        <v>-8.8103421937060888E-2</v>
      </c>
      <c r="P14" s="37">
        <f>IF(L14/N14&lt;0,"n.a.",IF(N14&gt;0,ROUND(L14,4)/ROUND(N14,4)-1,IF(N14&lt;0,"n.a.")))</f>
        <v>-7.0911499991920701E-2</v>
      </c>
      <c r="R14" s="31"/>
    </row>
    <row r="15" spans="1:18" ht="12" customHeight="1">
      <c r="A15" s="133"/>
      <c r="B15" s="135"/>
      <c r="C15" s="142" t="s">
        <v>40</v>
      </c>
      <c r="F15" s="111" t="s">
        <v>115</v>
      </c>
      <c r="G15" s="111"/>
      <c r="H15" s="111"/>
      <c r="I15" s="112"/>
      <c r="J15" s="305">
        <f>+SUM(J16,J18,J19)</f>
        <v>929.08291000100007</v>
      </c>
      <c r="K15" s="784">
        <f>+SUM(K16,K18,K19)</f>
        <v>905.42572553399987</v>
      </c>
      <c r="L15" s="28">
        <f>+SUM(L16,L18,L19)</f>
        <v>466.16235925100005</v>
      </c>
      <c r="M15" s="785">
        <f>+SUM(M16,M18,M19)</f>
        <v>456.07042851599988</v>
      </c>
      <c r="N15" s="61">
        <f>+SUM(N16,N18,N19)</f>
        <v>462.92055075000007</v>
      </c>
      <c r="O15" s="29">
        <f>IF(J15/K15&lt;0,"n.a.",IF(K15&gt;0,ROUND(J15,4)/ROUND(K15,4)-1,IF(K15&lt;0,"n.a.")))</f>
        <v>2.6128262098148891E-2</v>
      </c>
      <c r="P15" s="30">
        <f>IF(L15/N15&lt;0,"n.a.",IF(N15&gt;0,ROUND(L15,4)/ROUND(N15,4)-1,IF(N15&lt;0,"n.a.")))</f>
        <v>7.0029287959965103E-3</v>
      </c>
    </row>
    <row r="16" spans="1:18" ht="12" customHeight="1">
      <c r="A16" s="133"/>
      <c r="B16" s="133"/>
      <c r="C16" s="142" t="s">
        <v>41</v>
      </c>
      <c r="F16" s="113"/>
      <c r="G16" s="113" t="s">
        <v>110</v>
      </c>
      <c r="H16" s="113"/>
      <c r="I16" s="114"/>
      <c r="J16" s="360">
        <v>887.90558534200011</v>
      </c>
      <c r="K16" s="786">
        <v>850.08781271699991</v>
      </c>
      <c r="L16" s="32">
        <v>446.56012333600006</v>
      </c>
      <c r="M16" s="31">
        <v>429.38220874899986</v>
      </c>
      <c r="N16" s="62">
        <v>441.34546200600005</v>
      </c>
      <c r="O16" s="33">
        <f>IF(J16/K16&lt;0,"n.a.",IF(K16&gt;0,ROUND(J16,4)/ROUND(K16,4)-1,IF(K16&lt;0,"n.a.")))</f>
        <v>4.4486934173152415E-2</v>
      </c>
      <c r="P16" s="34">
        <f>IF(L16/N16&lt;0,"n.a.",IF(N16&gt;0,ROUND(L16,4)/ROUND(N16,4)-1,IF(N16&lt;0,"n.a.")))</f>
        <v>1.1815233190323626E-2</v>
      </c>
    </row>
    <row r="17" spans="1:18" ht="12" customHeight="1">
      <c r="A17" s="133"/>
      <c r="B17" s="133"/>
      <c r="C17" s="142"/>
      <c r="F17" s="115"/>
      <c r="G17" s="116" t="s">
        <v>111</v>
      </c>
      <c r="H17" s="116"/>
      <c r="I17" s="117"/>
      <c r="J17" s="307">
        <f>J16/J15</f>
        <v>0.95567960166336974</v>
      </c>
      <c r="K17" s="787">
        <f>K16/K15</f>
        <v>0.9388818858837229</v>
      </c>
      <c r="L17" s="66">
        <f>L16/L15</f>
        <v>0.9579497668012158</v>
      </c>
      <c r="M17" s="788">
        <f>M16/M15</f>
        <v>0.94148224024556826</v>
      </c>
      <c r="N17" s="65">
        <f>N16/N15</f>
        <v>0.95339353867732768</v>
      </c>
      <c r="O17" s="139">
        <f>J17-K17</f>
        <v>1.6797715779646838E-2</v>
      </c>
      <c r="P17" s="140">
        <f>L17-N17</f>
        <v>4.5562281238881175E-3</v>
      </c>
    </row>
    <row r="18" spans="1:18" s="38" customFormat="1" ht="12" customHeight="1">
      <c r="A18" s="133"/>
      <c r="B18" s="133" t="s">
        <v>176</v>
      </c>
      <c r="C18" s="142"/>
      <c r="D18" s="1"/>
      <c r="E18" s="1"/>
      <c r="F18" s="113"/>
      <c r="G18" s="113" t="s">
        <v>112</v>
      </c>
      <c r="H18" s="113"/>
      <c r="I18" s="114"/>
      <c r="J18" s="306">
        <v>24.768246431000009</v>
      </c>
      <c r="K18" s="786">
        <v>32.102200985000003</v>
      </c>
      <c r="L18" s="32">
        <v>11.802137125000002</v>
      </c>
      <c r="M18" s="31">
        <v>15.649404972000001</v>
      </c>
      <c r="N18" s="62">
        <v>12.966109306</v>
      </c>
      <c r="O18" s="33">
        <f>IF(J18/K18&lt;0,"n.a.",IF(K18&gt;0,ROUND(J18,4)/ROUND(K18,4)-1,IF(K18&lt;0,"n.a.")))</f>
        <v>-0.22845786270099877</v>
      </c>
      <c r="P18" s="34">
        <f>IF(L18/N18&lt;0,"n.a.",IF(N18&gt;0,ROUND(L18,4)/ROUND(N18,4)-1,IF(N18&lt;0,"n.a.")))</f>
        <v>-8.9772560754583175E-2</v>
      </c>
      <c r="R18" s="1"/>
    </row>
    <row r="19" spans="1:18" ht="12" customHeight="1">
      <c r="A19" s="133"/>
      <c r="B19" s="133"/>
      <c r="C19" s="142" t="s">
        <v>33</v>
      </c>
      <c r="F19" s="118"/>
      <c r="G19" s="113" t="s">
        <v>113</v>
      </c>
      <c r="H19" s="118"/>
      <c r="I19" s="119"/>
      <c r="J19" s="308">
        <v>16.409078227999991</v>
      </c>
      <c r="K19" s="786">
        <v>23.235711831999993</v>
      </c>
      <c r="L19" s="35">
        <v>7.8000987899999981</v>
      </c>
      <c r="M19" s="31">
        <v>11.038814794999995</v>
      </c>
      <c r="N19" s="62">
        <v>8.6089794379999951</v>
      </c>
      <c r="O19" s="36">
        <f>IF(J19/K19&lt;0,"n.a.",IF(K19&gt;0,ROUND(J19,4)/ROUND(K19,4)-1,IF(K19&lt;0,"n.a.")))</f>
        <v>-0.29379790580873411</v>
      </c>
      <c r="P19" s="37">
        <f>IF(L19/N19&lt;0,"n.a.",IF(N19&gt;0,ROUND(L19,4)/ROUND(N19,4)-1,IF(N19&lt;0,"n.a.")))</f>
        <v>-9.3959809501684366E-2</v>
      </c>
    </row>
    <row r="20" spans="1:18" ht="12" customHeight="1">
      <c r="A20" s="133"/>
      <c r="B20" s="133"/>
      <c r="C20" s="142" t="s">
        <v>29</v>
      </c>
      <c r="F20" s="111" t="s">
        <v>116</v>
      </c>
      <c r="G20" s="111"/>
      <c r="H20" s="111"/>
      <c r="I20" s="112"/>
      <c r="J20" s="305">
        <f>+SUM(J21,J23,J24)</f>
        <v>834.65708498699996</v>
      </c>
      <c r="K20" s="784">
        <f>+SUM(K21,K23,K24)</f>
        <v>292.14572676099993</v>
      </c>
      <c r="L20" s="28">
        <f>+SUM(L21,L23,L24)</f>
        <v>505.62418093200006</v>
      </c>
      <c r="M20" s="785">
        <f>+SUM(M21,M23,M24)</f>
        <v>157.34467969900007</v>
      </c>
      <c r="N20" s="61">
        <f>+SUM(N21,N23,N24)</f>
        <v>329.03290405499996</v>
      </c>
      <c r="O20" s="29">
        <f>IF(J20/K20&lt;0,"n.a.",IF(K20&gt;0,ROUND(J20,4)/ROUND(K20,4)-1,IF(K20&lt;0,"n.a.")))</f>
        <v>1.8569891667068865</v>
      </c>
      <c r="P20" s="30">
        <f>IF(L20/N20&lt;0,"n.a.",IF(N20&gt;0,ROUND(L20,4)/ROUND(N20,4)-1,IF(N20&lt;0,"n.a.")))</f>
        <v>0.53669800193232953</v>
      </c>
    </row>
    <row r="21" spans="1:18" ht="12" customHeight="1">
      <c r="A21" s="133"/>
      <c r="B21" s="133"/>
      <c r="C21" s="142" t="s">
        <v>30</v>
      </c>
      <c r="F21" s="113"/>
      <c r="G21" s="113" t="s">
        <v>110</v>
      </c>
      <c r="H21" s="113"/>
      <c r="I21" s="114"/>
      <c r="J21" s="360">
        <v>206.59356743400005</v>
      </c>
      <c r="K21" s="786">
        <v>177.35027048899997</v>
      </c>
      <c r="L21" s="32">
        <v>104.89703218200005</v>
      </c>
      <c r="M21" s="31">
        <v>92.664206945000046</v>
      </c>
      <c r="N21" s="62">
        <v>101.696535252</v>
      </c>
      <c r="O21" s="33">
        <f>IF(J21/K21&lt;0,"n.a.",IF(K21&gt;0,ROUND(J21,4)/ROUND(K21,4)-1,IF(K21&lt;0,"n.a.")))</f>
        <v>0.16489005093309683</v>
      </c>
      <c r="P21" s="34">
        <f>IF(L21/N21&lt;0,"n.a.",IF(N21&gt;0,ROUND(L21,4)/ROUND(N21,4)-1,IF(N21&lt;0,"n.a.")))</f>
        <v>3.1471092908802234E-2</v>
      </c>
    </row>
    <row r="22" spans="1:18" ht="12" customHeight="1">
      <c r="A22" s="133"/>
      <c r="B22" s="133"/>
      <c r="C22" s="142" t="s">
        <v>31</v>
      </c>
      <c r="F22" s="115"/>
      <c r="G22" s="116" t="s">
        <v>111</v>
      </c>
      <c r="H22" s="116"/>
      <c r="I22" s="117"/>
      <c r="J22" s="307">
        <f>J21/J20</f>
        <v>0.24751909634507901</v>
      </c>
      <c r="K22" s="787">
        <f>K21/K20</f>
        <v>0.60706097759933209</v>
      </c>
      <c r="L22" s="66">
        <f>L21/L20</f>
        <v>0.20746047388130623</v>
      </c>
      <c r="M22" s="788">
        <f>M21/M20</f>
        <v>0.58892494568145815</v>
      </c>
      <c r="N22" s="65">
        <f>N21/N20</f>
        <v>0.3090770983652163</v>
      </c>
      <c r="O22" s="139">
        <f>J22-K22</f>
        <v>-0.35954188125425307</v>
      </c>
      <c r="P22" s="140">
        <f>L22-N22</f>
        <v>-0.10161662448391007</v>
      </c>
    </row>
    <row r="23" spans="1:18" ht="12" customHeight="1">
      <c r="A23" s="133"/>
      <c r="B23" s="133"/>
      <c r="C23" s="142"/>
      <c r="F23" s="113"/>
      <c r="G23" s="113" t="s">
        <v>112</v>
      </c>
      <c r="H23" s="113"/>
      <c r="I23" s="114"/>
      <c r="J23" s="306">
        <v>590.74584817099992</v>
      </c>
      <c r="K23" s="786">
        <v>59.539011164000001</v>
      </c>
      <c r="L23" s="32">
        <v>383.093241707</v>
      </c>
      <c r="M23" s="31">
        <v>38.893405547000008</v>
      </c>
      <c r="N23" s="62">
        <v>207.65260646399994</v>
      </c>
      <c r="O23" s="33">
        <f>IF(J23/K23&lt;0,"n.a.",IF(K23&gt;0,ROUND(J23,4)/ROUND(K23,4)-1,IF(K23&lt;0,"n.a.")))</f>
        <v>8.9219973462772302</v>
      </c>
      <c r="P23" s="34">
        <f>IF(L23/N23&lt;0,"n.a.",IF(N23&gt;0,ROUND(L23,4)/ROUND(N23,4)-1,IF(N23&lt;0,"n.a.")))</f>
        <v>0.84487552768421881</v>
      </c>
    </row>
    <row r="24" spans="1:18" ht="12" customHeight="1">
      <c r="A24" s="133"/>
      <c r="B24" s="133" t="s">
        <v>181</v>
      </c>
      <c r="C24" s="142"/>
      <c r="F24" s="118"/>
      <c r="G24" s="118" t="s">
        <v>113</v>
      </c>
      <c r="H24" s="118"/>
      <c r="I24" s="119"/>
      <c r="J24" s="308">
        <v>37.317669381999998</v>
      </c>
      <c r="K24" s="786">
        <v>55.256445108000001</v>
      </c>
      <c r="L24" s="35">
        <v>17.633907043000001</v>
      </c>
      <c r="M24" s="31">
        <v>25.787067207</v>
      </c>
      <c r="N24" s="62">
        <v>19.683762338999998</v>
      </c>
      <c r="O24" s="36">
        <f>IF(J24/K24&lt;0,"n.a.",IF(K24&gt;0,ROUND(J24,4)/ROUND(K24,4)-1,IF(K24&lt;0,"n.a.")))</f>
        <v>-0.32464474703382773</v>
      </c>
      <c r="P24" s="37">
        <f>IF(L24/N24&lt;0,"n.a.",IF(N24&gt;0,ROUND(L24,4)/ROUND(N24,4)-1,IF(N24&lt;0,"n.a.")))</f>
        <v>-0.10414147674737606</v>
      </c>
    </row>
    <row r="25" spans="1:18" ht="12" customHeight="1">
      <c r="A25" s="133"/>
      <c r="B25" s="133"/>
      <c r="C25" s="142" t="s">
        <v>32</v>
      </c>
      <c r="F25" s="120" t="s">
        <v>117</v>
      </c>
      <c r="G25" s="120"/>
      <c r="H25" s="120"/>
      <c r="I25" s="121"/>
      <c r="J25" s="305">
        <f>SUM(J26,J28:J29)</f>
        <v>2422.9908863709998</v>
      </c>
      <c r="K25" s="784">
        <f>SUM(K26,K28:K29)</f>
        <v>1852.7599025189993</v>
      </c>
      <c r="L25" s="28">
        <f>SUM(L26,L28:L29)</f>
        <v>1303.2197424660001</v>
      </c>
      <c r="M25" s="785">
        <f>SUM(M26,M28:M29)</f>
        <v>940.31920328799981</v>
      </c>
      <c r="N25" s="61">
        <f>SUM(N26,N28:N29)</f>
        <v>1119.7711439049999</v>
      </c>
      <c r="O25" s="469">
        <f>IF(J25/K25&lt;0,"n.a.",IF(K25&gt;0,ROUND(J25,4)/ROUND(K25,4)-1,IF(K25&lt;0,"n.a.")))</f>
        <v>0.30777382433633194</v>
      </c>
      <c r="P25" s="144">
        <f>IF(L25/N25&lt;0,"n.a.",IF(N25&gt;0,ROUND(L25,4)/ROUND(N25,4)-1,IF(N25&lt;0,"n.a.")))</f>
        <v>0.16382687497471604</v>
      </c>
      <c r="R25" s="166"/>
    </row>
    <row r="26" spans="1:18" ht="12" customHeight="1">
      <c r="A26" s="133"/>
      <c r="B26" s="133"/>
      <c r="C26" s="142" t="s">
        <v>34</v>
      </c>
      <c r="F26" s="113"/>
      <c r="G26" s="113" t="s">
        <v>110</v>
      </c>
      <c r="H26" s="113"/>
      <c r="I26" s="114"/>
      <c r="J26" s="360">
        <f>SUM(J6,J11,J16,J21)</f>
        <v>1672.420959242</v>
      </c>
      <c r="K26" s="786">
        <f>SUM(K6,K11,K16,K21)</f>
        <v>1601.7878103889993</v>
      </c>
      <c r="L26" s="32">
        <f>SUM(L6,L11,L16,L21)</f>
        <v>839.99896328700004</v>
      </c>
      <c r="M26" s="31">
        <f>SUM(M6,M11,M16,M21)</f>
        <v>809.85833389599986</v>
      </c>
      <c r="N26" s="62">
        <f>SUM(N6,N11,N16,N21)</f>
        <v>832.42199595499994</v>
      </c>
      <c r="O26" s="33">
        <f>IF(J26/K26&lt;0,"n.a.",IF(K26&gt;0,ROUND(J26,4)/ROUND(K26,4)-1,IF(K26&lt;0,"n.a.")))</f>
        <v>4.4096477698231995E-2</v>
      </c>
      <c r="P26" s="34">
        <f>IF(L26/N26&lt;0,"n.a.",IF(N26&gt;0,ROUND(L26,4)/ROUND(N26,4)-1,IF(N26&lt;0,"n.a.")))</f>
        <v>9.1023543347004132E-3</v>
      </c>
      <c r="R26" s="31"/>
    </row>
    <row r="27" spans="1:18" ht="12" customHeight="1">
      <c r="A27" s="133"/>
      <c r="B27" s="133"/>
      <c r="C27" s="142" t="s">
        <v>35</v>
      </c>
      <c r="F27" s="113"/>
      <c r="G27" s="116" t="s">
        <v>111</v>
      </c>
      <c r="H27" s="116"/>
      <c r="I27" s="117"/>
      <c r="J27" s="307">
        <f>J26/J25</f>
        <v>0.69022998338505714</v>
      </c>
      <c r="K27" s="787">
        <f>K26/K25</f>
        <v>0.86454149197163643</v>
      </c>
      <c r="L27" s="66">
        <f>L26/L25</f>
        <v>0.64455665910763693</v>
      </c>
      <c r="M27" s="788">
        <f>M26/M25</f>
        <v>0.86125895447437484</v>
      </c>
      <c r="N27" s="65">
        <f>N26/N25</f>
        <v>0.74338582529647834</v>
      </c>
      <c r="O27" s="139">
        <f>J27-K27</f>
        <v>-0.17431150858657929</v>
      </c>
      <c r="P27" s="140">
        <f>L27-N27</f>
        <v>-9.8829166188841411E-2</v>
      </c>
      <c r="R27" s="204"/>
    </row>
    <row r="28" spans="1:18" ht="12" customHeight="1">
      <c r="A28" s="133"/>
      <c r="B28" s="133"/>
      <c r="C28" s="142"/>
      <c r="F28" s="113"/>
      <c r="G28" s="113" t="s">
        <v>112</v>
      </c>
      <c r="H28" s="113"/>
      <c r="I28" s="114"/>
      <c r="J28" s="306">
        <f>SUM(J8,J13,J18,J23)</f>
        <v>635.93827238699987</v>
      </c>
      <c r="K28" s="786">
        <f t="shared" ref="K28:N29" si="0">SUM(K8,K13,K18,K23)</f>
        <v>114.33422238899999</v>
      </c>
      <c r="L28" s="32">
        <f t="shared" si="0"/>
        <v>404.94889020800002</v>
      </c>
      <c r="M28" s="31">
        <f t="shared" si="0"/>
        <v>65.419809732999994</v>
      </c>
      <c r="N28" s="62">
        <f t="shared" si="0"/>
        <v>230.98938217899993</v>
      </c>
      <c r="O28" s="33">
        <f>IF(J28/K28&lt;0,"n.a.",IF(K28&gt;0,ROUND(J28,4)/ROUND(K28,4)-1,IF(K28&lt;0,"n.a.")))</f>
        <v>4.5621004039036439</v>
      </c>
      <c r="P28" s="34">
        <f>IF(L28/N28&lt;0,"n.a.",IF(N28&gt;0,ROUND(L28,4)/ROUND(N28,4)-1,IF(N28&lt;0,"n.a.")))</f>
        <v>0.75310598668163986</v>
      </c>
      <c r="R28" s="31"/>
    </row>
    <row r="29" spans="1:18" ht="12" customHeight="1">
      <c r="A29" s="133"/>
      <c r="B29" s="133"/>
      <c r="C29" s="142"/>
      <c r="F29" s="118"/>
      <c r="G29" s="118" t="s">
        <v>113</v>
      </c>
      <c r="H29" s="118"/>
      <c r="I29" s="119"/>
      <c r="J29" s="308">
        <f>SUM(J9,J14,J19,J24)</f>
        <v>114.63165474199999</v>
      </c>
      <c r="K29" s="791">
        <f t="shared" si="0"/>
        <v>136.637869741</v>
      </c>
      <c r="L29" s="35">
        <f t="shared" si="0"/>
        <v>58.271888971000003</v>
      </c>
      <c r="M29" s="792">
        <f t="shared" si="0"/>
        <v>65.041059659000013</v>
      </c>
      <c r="N29" s="59">
        <f t="shared" si="0"/>
        <v>56.359765770999999</v>
      </c>
      <c r="O29" s="36">
        <f>IF(J29/K29&lt;0,"n.a.",IF(K29&gt;0,ROUND(J29,4)/ROUND(K29,4)-1,IF(K29&lt;0,"n.a.")))</f>
        <v>-0.16105487569700649</v>
      </c>
      <c r="P29" s="37">
        <f>IF(L29/N29&lt;0,"n.a.",IF(N29&gt;0,ROUND(L29,4)/ROUND(N29,4)-1,IF(N29&lt;0,"n.a.")))</f>
        <v>3.3926664040681453E-2</v>
      </c>
      <c r="R29" s="31"/>
    </row>
    <row r="30" spans="1:18" s="3" customFormat="1" ht="12" customHeight="1">
      <c r="A30" s="133"/>
      <c r="B30" s="133" t="s">
        <v>185</v>
      </c>
      <c r="C30" s="142"/>
      <c r="D30" s="1"/>
      <c r="E30" s="1"/>
      <c r="F30" s="1" t="s">
        <v>238</v>
      </c>
      <c r="G30" s="1"/>
      <c r="H30" s="1"/>
      <c r="I30" s="1"/>
      <c r="J30" s="1"/>
      <c r="K30" s="1"/>
      <c r="L30" s="1"/>
      <c r="M30" s="1"/>
      <c r="N30" s="1"/>
      <c r="O30" s="1"/>
      <c r="P30" s="1"/>
    </row>
    <row r="31" spans="1:18" ht="12" customHeight="1">
      <c r="A31" s="133"/>
      <c r="B31" s="133"/>
      <c r="C31" s="142" t="s">
        <v>147</v>
      </c>
      <c r="K31" s="222"/>
    </row>
    <row r="32" spans="1:18" ht="12" customHeight="1">
      <c r="A32" s="133"/>
      <c r="B32" s="133"/>
      <c r="C32" s="142" t="s">
        <v>36</v>
      </c>
      <c r="I32" s="535"/>
      <c r="J32" s="536"/>
      <c r="K32" s="536"/>
      <c r="L32" s="536"/>
      <c r="M32" s="536"/>
      <c r="N32" s="536"/>
    </row>
    <row r="33" spans="1:18" ht="12" customHeight="1">
      <c r="A33" s="133"/>
      <c r="B33" s="133"/>
      <c r="C33" s="142"/>
      <c r="J33" s="536"/>
      <c r="K33" s="536"/>
      <c r="L33" s="536"/>
      <c r="M33" s="536"/>
      <c r="N33" s="536"/>
    </row>
    <row r="34" spans="1:18" ht="12" customHeight="1">
      <c r="A34" s="133"/>
      <c r="B34" s="133" t="s">
        <v>188</v>
      </c>
      <c r="C34" s="142"/>
      <c r="J34" s="536"/>
      <c r="K34" s="536"/>
      <c r="L34" s="536"/>
      <c r="M34" s="536"/>
      <c r="N34" s="536"/>
    </row>
    <row r="35" spans="1:18" ht="12" customHeight="1">
      <c r="A35" s="133"/>
      <c r="B35" s="133"/>
      <c r="C35" s="142" t="s">
        <v>37</v>
      </c>
      <c r="J35" s="536"/>
      <c r="K35" s="536"/>
      <c r="L35" s="536"/>
      <c r="M35" s="536"/>
      <c r="N35" s="536"/>
    </row>
    <row r="36" spans="1:18" ht="12" customHeight="1">
      <c r="A36" s="133"/>
      <c r="B36" s="133"/>
      <c r="C36" s="142" t="s">
        <v>38</v>
      </c>
      <c r="J36" s="536"/>
      <c r="K36" s="536"/>
      <c r="L36" s="536"/>
      <c r="M36" s="536"/>
      <c r="N36" s="536"/>
    </row>
    <row r="37" spans="1:18" ht="12" customHeight="1">
      <c r="A37" s="25"/>
      <c r="J37" s="536"/>
      <c r="K37" s="536"/>
      <c r="L37" s="536"/>
      <c r="M37" s="536"/>
      <c r="N37" s="536"/>
    </row>
    <row r="38" spans="1:18" ht="12" customHeight="1">
      <c r="A38" s="25"/>
      <c r="J38" s="536"/>
      <c r="K38" s="536"/>
      <c r="L38" s="536"/>
      <c r="M38" s="536"/>
      <c r="N38" s="536"/>
    </row>
    <row r="39" spans="1:18" ht="12" customHeight="1">
      <c r="A39" s="25"/>
      <c r="J39" s="536"/>
      <c r="K39" s="536"/>
      <c r="L39" s="536"/>
      <c r="M39" s="536"/>
      <c r="N39" s="536"/>
    </row>
    <row r="40" spans="1:18" ht="12" customHeight="1">
      <c r="A40" s="25"/>
      <c r="J40" s="536"/>
      <c r="K40" s="536"/>
      <c r="L40" s="536"/>
      <c r="M40" s="536"/>
      <c r="N40" s="536"/>
    </row>
    <row r="41" spans="1:18" ht="12" customHeight="1">
      <c r="A41" s="25"/>
      <c r="I41" s="473"/>
      <c r="J41" s="611"/>
      <c r="K41" s="611"/>
      <c r="L41" s="611"/>
      <c r="M41" s="611"/>
      <c r="N41" s="611"/>
      <c r="O41" s="473"/>
      <c r="P41" s="473"/>
      <c r="Q41" s="473"/>
      <c r="R41" s="473"/>
    </row>
    <row r="42" spans="1:18" ht="12" customHeight="1">
      <c r="A42" s="25"/>
      <c r="I42" s="473"/>
      <c r="J42" s="611"/>
      <c r="K42" s="611"/>
      <c r="L42" s="611"/>
      <c r="M42" s="611"/>
      <c r="N42" s="611"/>
      <c r="O42" s="473"/>
      <c r="P42" s="473"/>
      <c r="Q42" s="473"/>
      <c r="R42" s="473"/>
    </row>
    <row r="43" spans="1:18" ht="12" customHeight="1">
      <c r="A43" s="25"/>
      <c r="I43" s="473"/>
      <c r="J43" s="611"/>
      <c r="K43" s="611"/>
      <c r="L43" s="611"/>
      <c r="M43" s="611"/>
      <c r="N43" s="611"/>
      <c r="O43" s="473"/>
      <c r="P43" s="473"/>
      <c r="Q43" s="473"/>
      <c r="R43" s="473"/>
    </row>
    <row r="44" spans="1:18" ht="12" customHeight="1">
      <c r="A44" s="25"/>
      <c r="I44" s="473"/>
      <c r="J44" s="611"/>
      <c r="K44" s="611"/>
      <c r="L44" s="611"/>
      <c r="M44" s="611"/>
      <c r="N44" s="611"/>
      <c r="O44" s="473"/>
      <c r="P44" s="473"/>
      <c r="Q44" s="473"/>
      <c r="R44" s="473"/>
    </row>
    <row r="45" spans="1:18" ht="12" customHeight="1">
      <c r="A45" s="25"/>
      <c r="I45" s="473"/>
      <c r="J45" s="611"/>
      <c r="K45" s="611"/>
      <c r="L45" s="611"/>
      <c r="M45" s="611"/>
      <c r="N45" s="611"/>
      <c r="O45" s="473"/>
      <c r="P45" s="473"/>
      <c r="Q45" s="473"/>
      <c r="R45" s="473"/>
    </row>
    <row r="46" spans="1:18" ht="12" customHeight="1">
      <c r="A46" s="25"/>
      <c r="I46" s="473"/>
      <c r="J46" s="611"/>
      <c r="K46" s="611"/>
      <c r="L46" s="611"/>
      <c r="M46" s="611"/>
      <c r="N46" s="611"/>
      <c r="O46" s="473"/>
      <c r="P46" s="473"/>
      <c r="Q46" s="473"/>
      <c r="R46" s="473"/>
    </row>
    <row r="47" spans="1:18" ht="12" customHeight="1">
      <c r="A47" s="25"/>
      <c r="I47" s="473"/>
      <c r="J47" s="612"/>
      <c r="K47" s="612"/>
      <c r="L47" s="612"/>
      <c r="M47" s="612"/>
      <c r="N47" s="612"/>
      <c r="O47" s="473"/>
      <c r="P47" s="473"/>
      <c r="Q47" s="473"/>
      <c r="R47" s="473"/>
    </row>
    <row r="48" spans="1:18" ht="12" customHeight="1">
      <c r="A48" s="25"/>
      <c r="I48" s="473"/>
      <c r="J48" s="473"/>
      <c r="K48" s="473"/>
      <c r="L48" s="473"/>
      <c r="M48" s="473"/>
      <c r="N48" s="473"/>
      <c r="O48" s="473"/>
      <c r="P48" s="473"/>
      <c r="Q48" s="473"/>
      <c r="R48" s="473"/>
    </row>
    <row r="49" spans="1:18" ht="12" customHeight="1">
      <c r="I49" s="613"/>
      <c r="J49" s="614"/>
      <c r="K49" s="614"/>
      <c r="L49" s="614"/>
      <c r="M49" s="614"/>
      <c r="N49" s="614"/>
      <c r="O49" s="473"/>
      <c r="P49" s="473"/>
      <c r="Q49" s="473"/>
      <c r="R49" s="473"/>
    </row>
    <row r="50" spans="1:18" ht="12" customHeight="1">
      <c r="I50" s="613"/>
      <c r="J50" s="473"/>
      <c r="K50" s="473"/>
      <c r="L50" s="473"/>
      <c r="M50" s="473"/>
      <c r="N50" s="473"/>
      <c r="O50" s="473"/>
      <c r="P50" s="473"/>
      <c r="Q50" s="473"/>
      <c r="R50" s="473"/>
    </row>
    <row r="51" spans="1:18" ht="12" customHeight="1">
      <c r="I51" s="473"/>
      <c r="J51" s="473"/>
      <c r="K51" s="473"/>
      <c r="L51" s="473"/>
      <c r="M51" s="473"/>
      <c r="N51" s="473"/>
      <c r="O51" s="473"/>
      <c r="P51" s="473"/>
      <c r="Q51" s="473"/>
      <c r="R51" s="473"/>
    </row>
    <row r="52" spans="1:18" ht="12" customHeight="1">
      <c r="I52" s="473"/>
      <c r="J52" s="473"/>
      <c r="K52" s="473"/>
      <c r="L52" s="473"/>
      <c r="M52" s="473"/>
      <c r="N52" s="473"/>
      <c r="O52" s="473"/>
      <c r="P52" s="473"/>
      <c r="Q52" s="473"/>
      <c r="R52" s="473"/>
    </row>
    <row r="53" spans="1:18" ht="12" customHeight="1">
      <c r="I53" s="473"/>
      <c r="J53" s="473"/>
      <c r="K53" s="473"/>
      <c r="L53" s="473"/>
      <c r="M53" s="473"/>
      <c r="N53" s="473"/>
      <c r="O53" s="473"/>
      <c r="P53" s="473"/>
      <c r="Q53" s="473"/>
      <c r="R53" s="473"/>
    </row>
    <row r="54" spans="1:18" ht="12" customHeight="1">
      <c r="I54" s="473"/>
      <c r="J54" s="473"/>
      <c r="K54" s="473"/>
      <c r="L54" s="473"/>
      <c r="M54" s="473"/>
      <c r="N54" s="473"/>
      <c r="O54" s="473"/>
      <c r="P54" s="473"/>
      <c r="Q54" s="473"/>
      <c r="R54" s="473"/>
    </row>
    <row r="55" spans="1:18" ht="12" customHeight="1">
      <c r="I55" s="473"/>
      <c r="J55" s="473"/>
      <c r="K55" s="473"/>
      <c r="L55" s="473"/>
      <c r="M55" s="473"/>
      <c r="N55" s="473"/>
      <c r="O55" s="473"/>
      <c r="P55" s="473"/>
      <c r="Q55" s="473"/>
      <c r="R55" s="473"/>
    </row>
    <row r="56" spans="1:18" ht="12" customHeight="1">
      <c r="I56" s="473"/>
      <c r="J56" s="473"/>
      <c r="K56" s="473"/>
      <c r="L56" s="473"/>
      <c r="M56" s="473"/>
      <c r="N56" s="473"/>
      <c r="O56" s="473"/>
      <c r="P56" s="473"/>
      <c r="Q56" s="473"/>
      <c r="R56" s="473"/>
    </row>
    <row r="57" spans="1:18" ht="12" customHeight="1">
      <c r="J57" s="63"/>
      <c r="K57" s="63"/>
      <c r="L57" s="63"/>
      <c r="M57" s="63"/>
      <c r="N57" s="63"/>
      <c r="O57" s="63"/>
      <c r="P57" s="63"/>
    </row>
    <row r="58" spans="1:18" ht="12" customHeight="1">
      <c r="J58" s="63"/>
      <c r="K58" s="63"/>
      <c r="L58" s="63"/>
      <c r="M58" s="63"/>
      <c r="N58" s="63"/>
      <c r="O58" s="63"/>
      <c r="P58" s="63"/>
    </row>
    <row r="59" spans="1:18" ht="12" customHeight="1">
      <c r="J59" s="63"/>
      <c r="K59" s="63"/>
      <c r="L59" s="63"/>
      <c r="M59" s="63"/>
      <c r="N59" s="63"/>
      <c r="O59" s="63"/>
      <c r="P59" s="63"/>
    </row>
    <row r="60" spans="1:18" ht="12" customHeight="1">
      <c r="J60" s="63"/>
      <c r="K60" s="63"/>
      <c r="L60" s="63"/>
      <c r="M60" s="63"/>
      <c r="N60" s="63"/>
      <c r="O60" s="63"/>
      <c r="P60" s="63"/>
    </row>
    <row r="61" spans="1:18" ht="12" customHeight="1">
      <c r="J61" s="63"/>
      <c r="K61" s="63"/>
      <c r="L61" s="63"/>
      <c r="M61" s="63"/>
      <c r="N61" s="63"/>
      <c r="O61" s="63"/>
      <c r="P61" s="63"/>
    </row>
    <row r="62" spans="1:18" ht="12" customHeight="1">
      <c r="J62" s="63"/>
      <c r="K62" s="63"/>
      <c r="L62" s="63"/>
      <c r="M62" s="63"/>
      <c r="N62" s="63"/>
      <c r="O62" s="63"/>
      <c r="P62" s="63"/>
    </row>
    <row r="63" spans="1:18" ht="12" customHeight="1">
      <c r="J63" s="63"/>
      <c r="K63" s="63"/>
      <c r="L63" s="63"/>
      <c r="M63" s="63"/>
      <c r="N63" s="63"/>
      <c r="O63" s="63"/>
      <c r="P63" s="63"/>
    </row>
    <row r="64" spans="1:18" ht="12" customHeight="1">
      <c r="A64" s="1"/>
      <c r="J64" s="63"/>
      <c r="K64" s="63"/>
      <c r="L64" s="63"/>
      <c r="M64" s="63"/>
      <c r="N64" s="63"/>
      <c r="O64" s="63"/>
      <c r="P64" s="63"/>
    </row>
    <row r="65" spans="1:16" ht="12" customHeight="1">
      <c r="A65" s="1"/>
      <c r="J65" s="63"/>
      <c r="K65" s="63"/>
      <c r="L65" s="63"/>
      <c r="M65" s="63"/>
      <c r="N65" s="63"/>
      <c r="O65" s="63"/>
      <c r="P65" s="63"/>
    </row>
    <row r="66" spans="1:16" ht="12" customHeight="1">
      <c r="A66" s="1"/>
      <c r="J66" s="63"/>
      <c r="K66" s="63"/>
      <c r="L66" s="63"/>
      <c r="M66" s="63"/>
      <c r="N66" s="63"/>
      <c r="O66" s="63"/>
      <c r="P66" s="63"/>
    </row>
    <row r="67" spans="1:16" ht="12" customHeight="1">
      <c r="A67" s="1"/>
      <c r="J67" s="63"/>
      <c r="K67" s="63"/>
      <c r="L67" s="63"/>
      <c r="M67" s="63"/>
      <c r="N67" s="63"/>
      <c r="O67" s="63"/>
      <c r="P67" s="63"/>
    </row>
    <row r="68" spans="1:16" ht="12" customHeight="1">
      <c r="A68" s="1"/>
      <c r="J68" s="63"/>
      <c r="K68" s="63"/>
      <c r="L68" s="63"/>
      <c r="M68" s="63"/>
      <c r="N68" s="63"/>
      <c r="O68" s="63"/>
      <c r="P68" s="63"/>
    </row>
    <row r="69" spans="1:16" ht="12" customHeight="1">
      <c r="A69" s="1"/>
      <c r="J69" s="63"/>
      <c r="K69" s="63"/>
      <c r="L69" s="63"/>
      <c r="M69" s="63"/>
      <c r="N69" s="63"/>
      <c r="O69" s="63"/>
      <c r="P69" s="63"/>
    </row>
    <row r="70" spans="1:16" ht="12" customHeight="1">
      <c r="A70" s="1"/>
      <c r="J70" s="63"/>
      <c r="K70" s="63"/>
      <c r="L70" s="63"/>
      <c r="M70" s="63"/>
      <c r="N70" s="63"/>
      <c r="O70" s="63"/>
      <c r="P70" s="63"/>
    </row>
    <row r="71" spans="1:16" ht="12" customHeight="1">
      <c r="A71" s="1"/>
      <c r="J71" s="63"/>
      <c r="K71" s="63"/>
      <c r="L71" s="63"/>
      <c r="M71" s="63"/>
      <c r="N71" s="63"/>
      <c r="O71" s="63"/>
      <c r="P71" s="63"/>
    </row>
    <row r="72" spans="1:16" ht="12" customHeight="1">
      <c r="A72" s="1"/>
      <c r="J72" s="63"/>
      <c r="K72" s="63"/>
      <c r="L72" s="63"/>
      <c r="M72" s="63"/>
      <c r="N72" s="63"/>
      <c r="O72" s="63"/>
      <c r="P72" s="63"/>
    </row>
    <row r="73" spans="1:16" ht="12" customHeight="1">
      <c r="A73" s="1"/>
      <c r="J73" s="63"/>
      <c r="K73" s="63"/>
      <c r="L73" s="63"/>
      <c r="M73" s="63"/>
      <c r="N73" s="63"/>
      <c r="O73" s="63"/>
      <c r="P73" s="63"/>
    </row>
    <row r="74" spans="1:16" ht="12" customHeight="1">
      <c r="A74" s="1"/>
      <c r="J74" s="63"/>
      <c r="K74" s="63"/>
      <c r="L74" s="63"/>
      <c r="M74" s="63"/>
      <c r="N74" s="63"/>
      <c r="O74" s="63"/>
      <c r="P74" s="63"/>
    </row>
    <row r="75" spans="1:16" ht="12" customHeight="1">
      <c r="A75" s="1"/>
      <c r="J75" s="63"/>
      <c r="K75" s="63"/>
      <c r="L75" s="63"/>
      <c r="M75" s="63"/>
      <c r="N75" s="63"/>
      <c r="O75" s="63"/>
      <c r="P75" s="63"/>
    </row>
    <row r="76" spans="1:16" ht="12" customHeight="1">
      <c r="A76" s="1"/>
      <c r="J76" s="63"/>
      <c r="K76" s="63"/>
      <c r="L76" s="63"/>
      <c r="M76" s="63"/>
      <c r="N76" s="63"/>
      <c r="O76" s="63"/>
      <c r="P76" s="63"/>
    </row>
    <row r="77" spans="1:16" ht="12" customHeight="1">
      <c r="J77" s="63"/>
      <c r="K77" s="63"/>
      <c r="L77" s="63"/>
      <c r="M77" s="63"/>
      <c r="N77" s="63"/>
      <c r="O77" s="63"/>
      <c r="P77" s="63"/>
    </row>
    <row r="78" spans="1:16" ht="12" customHeight="1">
      <c r="J78" s="63"/>
      <c r="K78" s="63"/>
      <c r="L78" s="63"/>
      <c r="M78" s="63"/>
      <c r="N78" s="63"/>
      <c r="O78" s="63"/>
      <c r="P78" s="63"/>
    </row>
    <row r="79" spans="1:16" ht="12" customHeight="1">
      <c r="J79" s="63"/>
      <c r="K79" s="63"/>
      <c r="L79" s="63"/>
      <c r="M79" s="63"/>
      <c r="N79" s="63"/>
      <c r="O79" s="63"/>
      <c r="P79" s="63"/>
    </row>
    <row r="80" spans="1:16" ht="12" customHeight="1">
      <c r="J80" s="63"/>
      <c r="K80" s="63"/>
      <c r="L80" s="63"/>
      <c r="M80" s="63"/>
      <c r="N80" s="63"/>
      <c r="O80" s="63"/>
      <c r="P80" s="63"/>
    </row>
    <row r="81" spans="10:16" ht="12" customHeight="1">
      <c r="J81" s="63"/>
      <c r="K81" s="63"/>
      <c r="L81" s="63"/>
      <c r="M81" s="63"/>
      <c r="N81" s="63"/>
      <c r="O81" s="63"/>
      <c r="P81" s="63"/>
    </row>
    <row r="82" spans="10:16" ht="12" customHeight="1"/>
    <row r="83" spans="10:16" ht="12" customHeight="1"/>
    <row r="84" spans="10:16" ht="12" customHeight="1"/>
    <row r="85" spans="10:16" ht="12" customHeight="1"/>
    <row r="86" spans="10:16" ht="12" customHeight="1"/>
    <row r="87" spans="10:16" ht="12" customHeight="1"/>
    <row r="88" spans="10:16" ht="12" customHeight="1"/>
    <row r="89" spans="10:16" ht="12" customHeight="1"/>
    <row r="90" spans="10:16" ht="12" customHeight="1"/>
    <row r="91" spans="10:16" ht="12" customHeight="1"/>
    <row r="92" spans="10:16" ht="12" customHeight="1"/>
    <row r="93" spans="10:16" ht="12" customHeight="1"/>
    <row r="94" spans="10:16" ht="12" customHeight="1"/>
    <row r="95" spans="10:16" ht="12" customHeight="1"/>
    <row r="96" spans="10:1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sheetData>
  <mergeCells count="2">
    <mergeCell ref="J3:K3"/>
    <mergeCell ref="L3:N3"/>
  </mergeCells>
  <phoneticPr fontId="7" type="noConversion"/>
  <hyperlinks>
    <hyperlink ref="B5" location="FH!A1" display="재무현황" xr:uid="{00000000-0004-0000-0C00-000000000000}"/>
    <hyperlink ref="B7" location="FS!A1" display="요약재무상태표 (Selected Balance sheet)" xr:uid="{00000000-0004-0000-0C00-000001000000}"/>
    <hyperlink ref="C15" location="Stability!A1" display="재무 안정성 (Financial Stability)" xr:uid="{00000000-0004-0000-0C00-000002000000}"/>
    <hyperlink ref="C16" location="Productivity!A1" display="생산성 / 경영효율 (Productivity / Operating Efficiency)" xr:uid="{00000000-0004-0000-0C00-000003000000}"/>
    <hyperlink ref="C20" location="'Premium Income by P.T.(GA+SA)'!A1" display="상품별 수입보험료 (Premium Income)" xr:uid="{00000000-0004-0000-0C00-000004000000}"/>
    <hyperlink ref="C21" location="'Initial P. by P.T.'!A1" display="상품별 초회보험료 (Initial Premium)" xr:uid="{00000000-0004-0000-0C00-000005000000}"/>
    <hyperlink ref="C22" location="'First-year P. by P.T.'!A1" display="상품별 초년도보험료 (First Year Premium)" xr:uid="{00000000-0004-0000-0C00-000006000000}"/>
    <hyperlink ref="C26" location="'Premium Income by D.C.(GA+SA)'!A1" display="채널별 수입보험료 (Premium Income)" xr:uid="{00000000-0004-0000-0C00-000007000000}"/>
    <hyperlink ref="C27" location="'First-year P. by D.C'!A1" display="채널별 초년도보험료 (First Year Premium)" xr:uid="{00000000-0004-0000-0C00-000008000000}"/>
    <hyperlink ref="C31" location="'&gt;Loan'!A1" display="대출 (Loan)/ 자산건전성 (Asset Quality of Loan)" xr:uid="{00000000-0004-0000-0C00-000009000000}"/>
    <hyperlink ref="C32" location="'&gt;Bond'!A1" display="채권 (Bond)" xr:uid="{00000000-0004-0000-0C00-00000A000000}"/>
    <hyperlink ref="C35" location="'BS  K-IFRS'!A1" display="재무상태표 (Balance Sheet - KIFRS)" xr:uid="{00000000-0004-0000-0C00-00000B000000}"/>
    <hyperlink ref="C36" location="'IS  K-IFRS'!A1" display="손익계산서 (Income Statement - KIFRS)" xr:uid="{00000000-0004-0000-0C00-00000C000000}"/>
    <hyperlink ref="B8" location="FS!A1" display="요약손익계산서 (Selected Income Statement)" xr:uid="{00000000-0004-0000-0C00-00000D000000}"/>
    <hyperlink ref="B10" location="CSM!A1" display="RA, CSM, BEL Movement" xr:uid="{00000000-0004-0000-0C00-00000E000000}"/>
    <hyperlink ref="B11" location="CSM!A1" display="신계약 CSM (New Business CSM)" xr:uid="{00000000-0004-0000-0C00-00000F000000}"/>
    <hyperlink ref="B13" location="'Sources of Margin'!A1" display="이원별손익" xr:uid="{00000000-0004-0000-0C00-000010000000}"/>
    <hyperlink ref="B12" location="CSM!A1" display="신계약 CSM 배수 (New Business CSM Margin)" xr:uid="{00000000-0004-0000-0C00-000011000000}"/>
    <hyperlink ref="C19" location="'APE by P.T'!A1" display="상품별 APE (Annualized Premium Equivalent (APE))" xr:uid="{00000000-0004-0000-0C00-000012000000}"/>
    <hyperlink ref="C25" location="'APE by D.C'!A1" display="채널별 APE (Annualized Premium Equivalent (APE))" xr:uid="{00000000-0004-0000-0C00-000013000000}"/>
  </hyperlinks>
  <pageMargins left="0.19685039370078741" right="0.19685039370078741" top="0.74803149606299213" bottom="0.74803149606299213" header="0.31496062992125984" footer="0.31496062992125984"/>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P76"/>
  <sheetViews>
    <sheetView showGridLines="0" zoomScale="85" zoomScaleNormal="85" zoomScaleSheetLayoutView="85" workbookViewId="0"/>
  </sheetViews>
  <sheetFormatPr defaultColWidth="9.140625" defaultRowHeight="12" customHeight="1"/>
  <cols>
    <col min="1" max="1" width="1.7109375" style="5" customWidth="1"/>
    <col min="2" max="2" width="1.7109375" style="1" customWidth="1"/>
    <col min="3" max="3" width="54.7109375" style="1" customWidth="1"/>
    <col min="4" max="4" width="0.85546875" style="1" customWidth="1"/>
    <col min="5" max="8" width="1.7109375" style="1" customWidth="1"/>
    <col min="9" max="9" width="23.7109375" style="1" customWidth="1"/>
    <col min="10" max="14" width="10.7109375" style="1" customWidth="1"/>
    <col min="15" max="16" width="8.7109375" style="1" customWidth="1"/>
    <col min="17" max="16384" width="9.140625" style="1"/>
  </cols>
  <sheetData>
    <row r="1" spans="1:16" s="3" customFormat="1" ht="22.5">
      <c r="A1" s="6"/>
      <c r="F1" s="85" t="s">
        <v>118</v>
      </c>
      <c r="G1" s="85"/>
      <c r="H1" s="86"/>
      <c r="I1" s="86"/>
    </row>
    <row r="2" spans="1:16" ht="12" customHeight="1">
      <c r="A2" s="133"/>
      <c r="B2" s="134"/>
      <c r="C2" s="134"/>
      <c r="F2" s="104" t="s">
        <v>48</v>
      </c>
      <c r="G2" s="105"/>
      <c r="H2" s="105"/>
      <c r="I2" s="105"/>
    </row>
    <row r="3" spans="1:16" ht="12" customHeight="1">
      <c r="A3" s="133" t="s">
        <v>27</v>
      </c>
      <c r="B3" s="134"/>
      <c r="C3" s="134"/>
      <c r="F3" s="110"/>
      <c r="G3" s="106"/>
      <c r="H3" s="106"/>
      <c r="I3" s="107"/>
      <c r="J3" s="816" t="s">
        <v>82</v>
      </c>
      <c r="K3" s="815"/>
      <c r="L3" s="816" t="s">
        <v>83</v>
      </c>
      <c r="M3" s="814"/>
      <c r="N3" s="815"/>
      <c r="O3" s="106"/>
      <c r="P3" s="106"/>
    </row>
    <row r="4" spans="1:16" ht="12" customHeight="1">
      <c r="A4" s="133"/>
      <c r="B4" s="134"/>
      <c r="C4" s="134"/>
      <c r="F4" s="77" t="s">
        <v>81</v>
      </c>
      <c r="G4" s="108"/>
      <c r="H4" s="108"/>
      <c r="I4" s="109"/>
      <c r="J4" s="771" t="s">
        <v>381</v>
      </c>
      <c r="K4" s="178" t="s">
        <v>382</v>
      </c>
      <c r="L4" s="771" t="s">
        <v>381</v>
      </c>
      <c r="M4" s="248" t="s">
        <v>382</v>
      </c>
      <c r="N4" s="254">
        <v>46112</v>
      </c>
      <c r="O4" s="251" t="s">
        <v>23</v>
      </c>
      <c r="P4" s="103" t="s">
        <v>24</v>
      </c>
    </row>
    <row r="5" spans="1:16" ht="12" customHeight="1">
      <c r="A5" s="143"/>
      <c r="B5" s="133" t="s">
        <v>155</v>
      </c>
      <c r="C5" s="133"/>
      <c r="F5" s="111" t="s">
        <v>109</v>
      </c>
      <c r="G5" s="111"/>
      <c r="H5" s="111"/>
      <c r="I5" s="112"/>
      <c r="J5" s="305">
        <f>+SUM(J6,J8,J9)</f>
        <v>519.00337620399978</v>
      </c>
      <c r="K5" s="784">
        <f>+SUM(K6,K8,K9)</f>
        <v>504.25943462899966</v>
      </c>
      <c r="L5" s="28">
        <f>+SUM(L6,L8,L9)</f>
        <v>260.00213540399989</v>
      </c>
      <c r="M5" s="785">
        <f>+SUM(M6,M8,M9)</f>
        <v>253.76220995599991</v>
      </c>
      <c r="N5" s="61">
        <f>+SUM(N6,N8,N9)</f>
        <v>259.00124079999995</v>
      </c>
      <c r="O5" s="29">
        <f>IF(J5/K5&lt;0,"n.a.",IF(K5&gt;0,ROUND(J5,4)/ROUND(K5,4)-1,IF(K5&lt;0,"n.a.")))</f>
        <v>2.9238919492626358E-2</v>
      </c>
      <c r="P5" s="30">
        <f>IF(L5/N5&lt;0,"n.a.",IF(N5&gt;0,ROUND(L5,4)/ROUND(N5,4)-1,IF(N5&lt;0,"n.a.")))</f>
        <v>3.8644608596407615E-3</v>
      </c>
    </row>
    <row r="6" spans="1:16" ht="12" customHeight="1">
      <c r="A6" s="143"/>
      <c r="B6" s="142"/>
      <c r="C6" s="134"/>
      <c r="F6" s="113"/>
      <c r="G6" s="113" t="s">
        <v>110</v>
      </c>
      <c r="H6" s="113"/>
      <c r="I6" s="114"/>
      <c r="J6" s="360">
        <f>'Premium Income by D.C.(GA+SA)'!J6-'Premium Income by D.C.'!J35</f>
        <v>478.43119707399978</v>
      </c>
      <c r="K6" s="786">
        <f>'Premium Income by D.C.(GA+SA)'!K6-'Premium Income by D.C.'!K35</f>
        <v>460.22689498999961</v>
      </c>
      <c r="L6" s="32">
        <f>'Premium Income by D.C.(GA+SA)'!L6-'Premium Income by D.C.'!L35</f>
        <v>239.94665030099986</v>
      </c>
      <c r="M6" s="31">
        <f>'Premium Income by D.C.(GA+SA)'!M6-'Premium Income by D.C.'!M35</f>
        <v>232.20437454099991</v>
      </c>
      <c r="N6" s="62">
        <f>'Premium Income by D.C.(GA+SA)'!N6-'Premium Income by D.C.'!N35</f>
        <v>238.48454677299995</v>
      </c>
      <c r="O6" s="33">
        <f>IF(J6/K6&lt;0,"n.a.",IF(K6&gt;0,ROUND(J6,4)/ROUND(K6,4)-1,IF(K6&lt;0,"n.a.")))</f>
        <v>3.9555054256932731E-2</v>
      </c>
      <c r="P6" s="15">
        <f>IF(L6/N6&lt;0,"n.a.",IF(N6&gt;0,ROUND(L6,4)/ROUND(N6,4)-1,IF(N6&lt;0,"n.a.")))</f>
        <v>6.1312160748392408E-3</v>
      </c>
    </row>
    <row r="7" spans="1:16" ht="12" customHeight="1">
      <c r="A7" s="143"/>
      <c r="B7" s="142" t="s">
        <v>212</v>
      </c>
      <c r="C7" s="134"/>
      <c r="F7" s="115"/>
      <c r="G7" s="116" t="s">
        <v>111</v>
      </c>
      <c r="H7" s="116"/>
      <c r="I7" s="117"/>
      <c r="J7" s="307">
        <f>J6/J5</f>
        <v>0.92182675298425676</v>
      </c>
      <c r="K7" s="787">
        <f>K6/K5</f>
        <v>0.91267879862000745</v>
      </c>
      <c r="L7" s="66">
        <f>L6/L5</f>
        <v>0.92286415235845221</v>
      </c>
      <c r="M7" s="788">
        <f>M6/M5</f>
        <v>0.91504710091097519</v>
      </c>
      <c r="N7" s="65">
        <f>N6/N5</f>
        <v>0.92078534464302841</v>
      </c>
      <c r="O7" s="139">
        <f>J7-K7</f>
        <v>9.1479543642493111E-3</v>
      </c>
      <c r="P7" s="140">
        <f>L7-N7</f>
        <v>2.0788077154237916E-3</v>
      </c>
    </row>
    <row r="8" spans="1:16" ht="12" customHeight="1">
      <c r="A8" s="143"/>
      <c r="B8" s="142" t="s">
        <v>213</v>
      </c>
      <c r="C8" s="134"/>
      <c r="F8" s="113"/>
      <c r="G8" s="113" t="s">
        <v>112</v>
      </c>
      <c r="H8" s="113"/>
      <c r="I8" s="114"/>
      <c r="J8" s="306">
        <f>'Premium Income by D.C.(GA+SA)'!J8-'Premium Income by D.C.'!J37</f>
        <v>15.228407086000001</v>
      </c>
      <c r="K8" s="786">
        <f>'Premium Income by D.C.(GA+SA)'!K8-'Premium Income by D.C.'!K37</f>
        <v>15.556690837999991</v>
      </c>
      <c r="L8" s="32">
        <f>'Premium Income by D.C.(GA+SA)'!L8-'Premium Income by D.C.'!L37</f>
        <v>7.6365413760000003</v>
      </c>
      <c r="M8" s="31">
        <f>'Premium Income by D.C.(GA+SA)'!M8-'Premium Income by D.C.'!M37</f>
        <v>7.5346781879999938</v>
      </c>
      <c r="N8" s="62">
        <f>'Premium Income by D.C.(GA+SA)'!N8-'Premium Income by D.C.'!N37</f>
        <v>7.5918657099999987</v>
      </c>
      <c r="O8" s="33">
        <f>IF(J8/K8&lt;0,"n.a.",IF(K8&gt;0,ROUND(J8,4)/ROUND(K8,4)-1,IF(K8&lt;0,"n.a.")))</f>
        <v>-2.1103447389227759E-2</v>
      </c>
      <c r="P8" s="34">
        <f>IF(L8/N8&lt;0,"n.a.",IF(N8&gt;0,ROUND(L8,4)/ROUND(N8,4)-1,IF(N8&lt;0,"n.a.")))</f>
        <v>5.874682227110517E-3</v>
      </c>
    </row>
    <row r="9" spans="1:16" ht="12" customHeight="1">
      <c r="A9" s="143"/>
      <c r="B9" s="142"/>
      <c r="C9" s="134"/>
      <c r="F9" s="113"/>
      <c r="G9" s="113" t="s">
        <v>113</v>
      </c>
      <c r="H9" s="113"/>
      <c r="I9" s="114"/>
      <c r="J9" s="306">
        <f>'Premium Income by D.C.(GA+SA)'!J9-'Premium Income by D.C.'!J38</f>
        <v>25.343772044000005</v>
      </c>
      <c r="K9" s="786">
        <f>'Premium Income by D.C.(GA+SA)'!K9-'Premium Income by D.C.'!K38</f>
        <v>28.475848801000012</v>
      </c>
      <c r="L9" s="32">
        <f>'Premium Income by D.C.(GA+SA)'!L9-'Premium Income by D.C.'!L38</f>
        <v>12.418943727000004</v>
      </c>
      <c r="M9" s="31">
        <f>'Premium Income by D.C.(GA+SA)'!M9-'Premium Income by D.C.'!M38</f>
        <v>14.023157227000009</v>
      </c>
      <c r="N9" s="62">
        <f>'Premium Income by D.C.(GA+SA)'!N9-'Premium Income by D.C.'!N38</f>
        <v>12.924828317000003</v>
      </c>
      <c r="O9" s="33">
        <f>IF(J9/K9&lt;0,"n.a.",IF(K9&gt;0,ROUND(J9,4)/ROUND(K9,4)-1,IF(K9&lt;0,"n.a.")))</f>
        <v>-0.10998813027202037</v>
      </c>
      <c r="P9" s="34">
        <f>IF(L9/N9&lt;0,"n.a.",IF(N9&gt;0,ROUND(L9,4)/ROUND(N9,4)-1,IF(N9&lt;0,"n.a.")))</f>
        <v>-3.9141804902203425E-2</v>
      </c>
    </row>
    <row r="10" spans="1:16" ht="12" customHeight="1">
      <c r="A10" s="133"/>
      <c r="B10" s="142" t="s">
        <v>171</v>
      </c>
      <c r="C10" s="134"/>
      <c r="F10" s="111" t="s">
        <v>114</v>
      </c>
      <c r="G10" s="111"/>
      <c r="H10" s="111"/>
      <c r="I10" s="112"/>
      <c r="J10" s="305">
        <f>+SUM(J11,J13,J14)</f>
        <v>116.70972247100002</v>
      </c>
      <c r="K10" s="784">
        <f>+SUM(K11,K13,K14)</f>
        <v>133.20837378699989</v>
      </c>
      <c r="L10" s="28">
        <f>+SUM(L11,L13,L14)</f>
        <v>56.722321761000018</v>
      </c>
      <c r="M10" s="785">
        <f>+SUM(M11,M13,M14)</f>
        <v>64.676336357999972</v>
      </c>
      <c r="N10" s="61">
        <f>+SUM(N11,N13,N14)</f>
        <v>59.987400709999996</v>
      </c>
      <c r="O10" s="29">
        <f>IF(J10/K10&lt;0,"n.a.",IF(K10&gt;0,ROUND(J10,4)/ROUND(K10,4)-1,IF(K10&lt;0,"n.a.")))</f>
        <v>-0.12385630335624487</v>
      </c>
      <c r="P10" s="30">
        <f>IF(L10/N10&lt;0,"n.a.",IF(N10&gt;0,ROUND(L10,4)/ROUND(N10,4)-1,IF(N10&lt;0,"n.a.")))</f>
        <v>-5.4429763583686008E-2</v>
      </c>
    </row>
    <row r="11" spans="1:16" ht="12" customHeight="1">
      <c r="A11" s="133"/>
      <c r="B11" s="142" t="s">
        <v>166</v>
      </c>
      <c r="C11" s="134"/>
      <c r="F11" s="113"/>
      <c r="G11" s="113" t="s">
        <v>110</v>
      </c>
      <c r="H11" s="113"/>
      <c r="I11" s="114"/>
      <c r="J11" s="360">
        <f>'Premium Income by D.C.(GA+SA)'!J11-'Premium Income by D.C.'!J40</f>
        <v>90.735010425000013</v>
      </c>
      <c r="K11" s="789">
        <f>'Premium Income by D.C.(GA+SA)'!K11-'Premium Income by D.C.'!K40</f>
        <v>104.11207923199989</v>
      </c>
      <c r="L11" s="32">
        <f>'Premium Income by D.C.(GA+SA)'!L11-'Premium Income by D.C.'!L40</f>
        <v>44.307218034000016</v>
      </c>
      <c r="M11" s="31">
        <f>'Premium Income by D.C.(GA+SA)'!M11-'Premium Income by D.C.'!M40</f>
        <v>50.619456427999978</v>
      </c>
      <c r="N11" s="62">
        <f>'Premium Income by D.C.(GA+SA)'!N11-'Premium Income by D.C.'!N40</f>
        <v>46.427792390999997</v>
      </c>
      <c r="O11" s="33">
        <f>IF(J11/K11&lt;0,"n.a.",IF(K11&gt;0,ROUND(J11,4)/ROUND(K11,4)-1,IF(K11&lt;0,"n.a.")))</f>
        <v>-0.12848746687464763</v>
      </c>
      <c r="P11" s="34">
        <f>IF(L11/N11&lt;0,"n.a.",IF(N11&gt;0,ROUND(L11,4)/ROUND(N11,4)-1,IF(N11&lt;0,"n.a.")))</f>
        <v>-4.5675220449816645E-2</v>
      </c>
    </row>
    <row r="12" spans="1:16" ht="12" customHeight="1">
      <c r="A12" s="133"/>
      <c r="B12" s="142" t="s">
        <v>219</v>
      </c>
      <c r="C12" s="134"/>
      <c r="F12" s="115"/>
      <c r="G12" s="116" t="s">
        <v>111</v>
      </c>
      <c r="H12" s="116"/>
      <c r="I12" s="117"/>
      <c r="J12" s="307">
        <f>J11/J10</f>
        <v>0.77744174610256489</v>
      </c>
      <c r="K12" s="787">
        <f>K11/K10</f>
        <v>0.78157308187302876</v>
      </c>
      <c r="L12" s="66">
        <f>L11/L10</f>
        <v>0.78112490212739971</v>
      </c>
      <c r="M12" s="788">
        <f>M11/M10</f>
        <v>0.7826580675165089</v>
      </c>
      <c r="N12" s="65">
        <f>N11/N10</f>
        <v>0.77395906209452425</v>
      </c>
      <c r="O12" s="139">
        <f>J12-K12</f>
        <v>-4.1313357704638731E-3</v>
      </c>
      <c r="P12" s="140">
        <f>L12-N12</f>
        <v>7.165840032875459E-3</v>
      </c>
    </row>
    <row r="13" spans="1:16" ht="12" customHeight="1">
      <c r="A13" s="133"/>
      <c r="B13" s="142"/>
      <c r="C13" s="134"/>
      <c r="F13" s="113"/>
      <c r="G13" s="113" t="s">
        <v>112</v>
      </c>
      <c r="H13" s="113"/>
      <c r="I13" s="114"/>
      <c r="J13" s="306">
        <f>'Premium Income by D.C.(GA+SA)'!J13-'Premium Income by D.C.'!J42</f>
        <v>2.2956513900000002</v>
      </c>
      <c r="K13" s="786">
        <f>'Premium Income by D.C.(GA+SA)'!K13-'Premium Income by D.C.'!K42</f>
        <v>3.0831057479999986</v>
      </c>
      <c r="L13" s="32">
        <f>'Premium Income by D.C.(GA+SA)'!L13-'Premium Income by D.C.'!L42</f>
        <v>1.0298387959999999</v>
      </c>
      <c r="M13" s="31">
        <f>'Premium Income by D.C.(GA+SA)'!M13-'Premium Income by D.C.'!M42</f>
        <v>1.406410583999999</v>
      </c>
      <c r="N13" s="62">
        <f>'Premium Income by D.C.(GA+SA)'!N13-'Premium Income by D.C.'!N42</f>
        <v>1.2658125939999998</v>
      </c>
      <c r="O13" s="33">
        <f>IF(J13/K13&lt;0,"n.a.",IF(K13&gt;0,ROUND(J13,4)/ROUND(K13,4)-1,IF(K13&lt;0,"n.a.")))</f>
        <v>-0.25539229995783463</v>
      </c>
      <c r="P13" s="34">
        <f>IF(L13/N13&lt;0,"n.a.",IF(N13&gt;0,ROUND(L13,4)/ROUND(N13,4)-1,IF(N13&lt;0,"n.a.")))</f>
        <v>-0.18644335598040762</v>
      </c>
    </row>
    <row r="14" spans="1:16" ht="12" customHeight="1">
      <c r="A14" s="133"/>
      <c r="B14" s="133" t="s">
        <v>173</v>
      </c>
      <c r="C14" s="134"/>
      <c r="F14" s="118"/>
      <c r="G14" s="113" t="s">
        <v>113</v>
      </c>
      <c r="H14" s="118"/>
      <c r="I14" s="119"/>
      <c r="J14" s="308">
        <f>'Premium Income by D.C.(GA+SA)'!J14-'Premium Income by D.C.'!J43</f>
        <v>23.679060656000001</v>
      </c>
      <c r="K14" s="786">
        <f>'Premium Income by D.C.(GA+SA)'!K14-'Premium Income by D.C.'!K43</f>
        <v>26.013188807000006</v>
      </c>
      <c r="L14" s="35">
        <f>'Premium Income by D.C.(GA+SA)'!L14-'Premium Income by D.C.'!L43</f>
        <v>11.385264931000002</v>
      </c>
      <c r="M14" s="31">
        <f>'Premium Income by D.C.(GA+SA)'!M14-'Premium Income by D.C.'!M43</f>
        <v>12.650469346</v>
      </c>
      <c r="N14" s="62">
        <f>'Premium Income by D.C.(GA+SA)'!N14-'Premium Income by D.C.'!N43</f>
        <v>12.293795725000003</v>
      </c>
      <c r="O14" s="36">
        <f>IF(J14/K14&lt;0,"n.a.",IF(K14&gt;0,ROUND(J14,4)/ROUND(K14,4)-1,IF(K14&lt;0,"n.a.")))</f>
        <v>-8.9727522949887062E-2</v>
      </c>
      <c r="P14" s="37">
        <f>IF(L14/N14&lt;0,"n.a.",IF(N14&gt;0,ROUND(L14,4)/ROUND(N14,4)-1,IF(N14&lt;0,"n.a.")))</f>
        <v>-7.389903853975166E-2</v>
      </c>
    </row>
    <row r="15" spans="1:16" ht="12" customHeight="1">
      <c r="A15" s="133"/>
      <c r="B15" s="135"/>
      <c r="C15" s="142" t="s">
        <v>40</v>
      </c>
      <c r="F15" s="111" t="s">
        <v>115</v>
      </c>
      <c r="G15" s="111"/>
      <c r="H15" s="111"/>
      <c r="I15" s="112"/>
      <c r="J15" s="305">
        <f>+SUM(J16,J18,J19)</f>
        <v>923.3029573450001</v>
      </c>
      <c r="K15" s="784">
        <f>+SUM(K16,K18,K19)</f>
        <v>899.12194021399989</v>
      </c>
      <c r="L15" s="28">
        <f>+SUM(L16,L18,L19)</f>
        <v>463.2906501920001</v>
      </c>
      <c r="M15" s="785">
        <f>+SUM(M16,M18,M19)</f>
        <v>452.97647165199987</v>
      </c>
      <c r="N15" s="61">
        <f>+SUM(N16,N18,N19)</f>
        <v>460.01230715300005</v>
      </c>
      <c r="O15" s="29">
        <f>IF(J15/K15&lt;0,"n.a.",IF(K15&gt;0,ROUND(J15,4)/ROUND(K15,4)-1,IF(K15&lt;0,"n.a.")))</f>
        <v>2.6894128593686784E-2</v>
      </c>
      <c r="P15" s="30">
        <f>IF(L15/N15&lt;0,"n.a.",IF(N15&gt;0,ROUND(L15,4)/ROUND(N15,4)-1,IF(N15&lt;0,"n.a.")))</f>
        <v>7.1267659582145981E-3</v>
      </c>
    </row>
    <row r="16" spans="1:16" ht="12" customHeight="1">
      <c r="A16" s="133"/>
      <c r="B16" s="133"/>
      <c r="C16" s="142" t="s">
        <v>41</v>
      </c>
      <c r="F16" s="113"/>
      <c r="G16" s="113" t="s">
        <v>110</v>
      </c>
      <c r="H16" s="113"/>
      <c r="I16" s="114"/>
      <c r="J16" s="360">
        <f>'Premium Income by D.C.(GA+SA)'!J16-'Premium Income by D.C.'!J45</f>
        <v>884.64306720000013</v>
      </c>
      <c r="K16" s="786">
        <f>'Premium Income by D.C.(GA+SA)'!K16-'Premium Income by D.C.'!K45</f>
        <v>846.49302066999985</v>
      </c>
      <c r="L16" s="32">
        <f>'Premium Income by D.C.(GA+SA)'!L16-'Premium Income by D.C.'!L45</f>
        <v>444.93307179700008</v>
      </c>
      <c r="M16" s="31">
        <f>'Premium Income by D.C.(GA+SA)'!M16-'Premium Income by D.C.'!M45</f>
        <v>427.62842077499988</v>
      </c>
      <c r="N16" s="62">
        <f>'Premium Income by D.C.(GA+SA)'!N16-'Premium Income by D.C.'!N45</f>
        <v>439.70999540300005</v>
      </c>
      <c r="O16" s="33">
        <f>IF(J16/K16&lt;0,"n.a.",IF(K16&gt;0,ROUND(J16,4)/ROUND(K16,4)-1,IF(K16&lt;0,"n.a.")))</f>
        <v>4.5068417576991093E-2</v>
      </c>
      <c r="P16" s="34">
        <f>IF(L16/N16&lt;0,"n.a.",IF(N16&gt;0,ROUND(L16,4)/ROUND(N16,4)-1,IF(N16&lt;0,"n.a.")))</f>
        <v>1.1878510836687894E-2</v>
      </c>
    </row>
    <row r="17" spans="1:16" ht="12" customHeight="1">
      <c r="A17" s="133"/>
      <c r="B17" s="133"/>
      <c r="C17" s="142"/>
      <c r="F17" s="115"/>
      <c r="G17" s="116" t="s">
        <v>111</v>
      </c>
      <c r="H17" s="116"/>
      <c r="I17" s="117"/>
      <c r="J17" s="307">
        <f>J16/J15</f>
        <v>0.95812870538596751</v>
      </c>
      <c r="K17" s="787">
        <f>K16/K15</f>
        <v>0.94146631597992836</v>
      </c>
      <c r="L17" s="66">
        <f>L16/L15</f>
        <v>0.96037567693759385</v>
      </c>
      <c r="M17" s="788">
        <f>M16/M15</f>
        <v>0.94404113135378542</v>
      </c>
      <c r="N17" s="65">
        <f>N16/N15</f>
        <v>0.95586572047245799</v>
      </c>
      <c r="O17" s="139">
        <f>J17-K17</f>
        <v>1.6662389406039146E-2</v>
      </c>
      <c r="P17" s="140">
        <f>L17-N17</f>
        <v>4.5099564651358559E-3</v>
      </c>
    </row>
    <row r="18" spans="1:16" s="38" customFormat="1" ht="12" customHeight="1">
      <c r="A18" s="133"/>
      <c r="B18" s="133" t="s">
        <v>176</v>
      </c>
      <c r="C18" s="142"/>
      <c r="D18" s="1"/>
      <c r="E18" s="1"/>
      <c r="F18" s="113"/>
      <c r="G18" s="113" t="s">
        <v>112</v>
      </c>
      <c r="H18" s="113"/>
      <c r="I18" s="114"/>
      <c r="J18" s="306">
        <f>'Premium Income by D.C.(GA+SA)'!J18-'Premium Income by D.C.'!J47</f>
        <v>23.334040892000008</v>
      </c>
      <c r="K18" s="786">
        <f>'Premium Income by D.C.(GA+SA)'!K18-'Premium Income by D.C.'!K47</f>
        <v>30.434709643000001</v>
      </c>
      <c r="L18" s="32">
        <f>'Premium Income by D.C.(GA+SA)'!L18-'Premium Income by D.C.'!L47</f>
        <v>11.094350029000001</v>
      </c>
      <c r="M18" s="31">
        <f>'Premium Income by D.C.(GA+SA)'!M18-'Premium Income by D.C.'!M47</f>
        <v>14.823942243000001</v>
      </c>
      <c r="N18" s="62">
        <f>'Premium Income by D.C.(GA+SA)'!N18-'Premium Income by D.C.'!N47</f>
        <v>12.239690863</v>
      </c>
      <c r="O18" s="33">
        <f>IF(J18/K18&lt;0,"n.a.",IF(K18&gt;0,ROUND(J18,4)/ROUND(K18,4)-1,IF(K18&lt;0,"n.a.")))</f>
        <v>-0.23330934755394339</v>
      </c>
      <c r="P18" s="34">
        <f>IF(L18/N18&lt;0,"n.a.",IF(N18&gt;0,ROUND(L18,4)/ROUND(N18,4)-1,IF(N18&lt;0,"n.a.")))</f>
        <v>-9.3572554882881076E-2</v>
      </c>
    </row>
    <row r="19" spans="1:16" ht="12" customHeight="1">
      <c r="A19" s="133"/>
      <c r="B19" s="133"/>
      <c r="C19" s="142" t="s">
        <v>33</v>
      </c>
      <c r="F19" s="118"/>
      <c r="G19" s="113" t="s">
        <v>113</v>
      </c>
      <c r="H19" s="118"/>
      <c r="I19" s="119"/>
      <c r="J19" s="308">
        <f>'Premium Income by D.C.(GA+SA)'!J19-'Premium Income by D.C.'!J48</f>
        <v>15.325849252999991</v>
      </c>
      <c r="K19" s="786">
        <f>'Premium Income by D.C.(GA+SA)'!K19-'Premium Income by D.C.'!K48</f>
        <v>22.194209900999994</v>
      </c>
      <c r="L19" s="35">
        <f>'Premium Income by D.C.(GA+SA)'!L19-'Premium Income by D.C.'!L48</f>
        <v>7.2632283659999981</v>
      </c>
      <c r="M19" s="31">
        <f>'Premium Income by D.C.(GA+SA)'!M19-'Premium Income by D.C.'!M48</f>
        <v>10.524108633999996</v>
      </c>
      <c r="N19" s="62">
        <f>'Premium Income by D.C.(GA+SA)'!N19-'Premium Income by D.C.'!N48</f>
        <v>8.0626208869999942</v>
      </c>
      <c r="O19" s="36">
        <f>IF(J19/K19&lt;0,"n.a.",IF(K19&gt;0,ROUND(J19,4)/ROUND(K19,4)-1,IF(K19&lt;0,"n.a.")))</f>
        <v>-0.30946823944994639</v>
      </c>
      <c r="P19" s="37">
        <f>IF(L19/N19&lt;0,"n.a.",IF(N19&gt;0,ROUND(L19,4)/ROUND(N19,4)-1,IF(N19&lt;0,"n.a.")))</f>
        <v>-9.9149157839902746E-2</v>
      </c>
    </row>
    <row r="20" spans="1:16" ht="12" customHeight="1">
      <c r="A20" s="133"/>
      <c r="B20" s="133"/>
      <c r="C20" s="142" t="s">
        <v>29</v>
      </c>
      <c r="F20" s="111" t="s">
        <v>116</v>
      </c>
      <c r="G20" s="111"/>
      <c r="H20" s="111"/>
      <c r="I20" s="112"/>
      <c r="J20" s="305">
        <f>+SUM(J21,J23,J24)</f>
        <v>834.55057995200002</v>
      </c>
      <c r="K20" s="784">
        <f>+SUM(K21,K23,K24)</f>
        <v>292.01605074399998</v>
      </c>
      <c r="L20" s="28">
        <f>+SUM(L21,L23,L24)</f>
        <v>505.57478174800002</v>
      </c>
      <c r="M20" s="785">
        <f>+SUM(M21,M23,M24)</f>
        <v>157.26922606900007</v>
      </c>
      <c r="N20" s="61">
        <f>+SUM(N21,N23,N24)</f>
        <v>328.97579820399994</v>
      </c>
      <c r="O20" s="29">
        <f>IF(J20/K20&lt;0,"n.a.",IF(K20&gt;0,ROUND(J20,4)/ROUND(K20,4)-1,IF(K20&lt;0,"n.a.")))</f>
        <v>1.8578924244245441</v>
      </c>
      <c r="P20" s="30">
        <f>IF(L20/N20&lt;0,"n.a.",IF(N20&gt;0,ROUND(L20,4)/ROUND(N20,4)-1,IF(N20&lt;0,"n.a.")))</f>
        <v>0.53681456204377342</v>
      </c>
    </row>
    <row r="21" spans="1:16" ht="12" customHeight="1">
      <c r="A21" s="133"/>
      <c r="B21" s="133"/>
      <c r="C21" s="142" t="s">
        <v>30</v>
      </c>
      <c r="F21" s="113"/>
      <c r="G21" s="113" t="s">
        <v>110</v>
      </c>
      <c r="H21" s="113"/>
      <c r="I21" s="114"/>
      <c r="J21" s="360">
        <f>'Premium Income by D.C.(GA+SA)'!J21-'Premium Income by D.C.'!J50</f>
        <v>206.58845038600006</v>
      </c>
      <c r="K21" s="786">
        <f>'Premium Income by D.C.(GA+SA)'!K21-'Premium Income by D.C.'!K50</f>
        <v>177.34640797399996</v>
      </c>
      <c r="L21" s="32">
        <f>'Premium Income by D.C.(GA+SA)'!L21-'Premium Income by D.C.'!L50</f>
        <v>104.89452710700004</v>
      </c>
      <c r="M21" s="31">
        <f>'Premium Income by D.C.(GA+SA)'!M21-'Premium Income by D.C.'!M50</f>
        <v>92.662411782000049</v>
      </c>
      <c r="N21" s="62">
        <f>'Premium Income by D.C.(GA+SA)'!N21-'Premium Income by D.C.'!N50</f>
        <v>101.693923279</v>
      </c>
      <c r="O21" s="33">
        <f>IF(J21/K21&lt;0,"n.a.",IF(K21&gt;0,ROUND(J21,4)/ROUND(K21,4)-1,IF(K21&lt;0,"n.a.")))</f>
        <v>0.16488691058854332</v>
      </c>
      <c r="P21" s="34">
        <f>IF(L21/N21&lt;0,"n.a.",IF(N21&gt;0,ROUND(L21,4)/ROUND(N21,4)-1,IF(N21&lt;0,"n.a.")))</f>
        <v>3.1472880870927256E-2</v>
      </c>
    </row>
    <row r="22" spans="1:16" ht="12" customHeight="1">
      <c r="A22" s="133"/>
      <c r="B22" s="133"/>
      <c r="C22" s="142" t="s">
        <v>31</v>
      </c>
      <c r="F22" s="115"/>
      <c r="G22" s="116" t="s">
        <v>111</v>
      </c>
      <c r="H22" s="116"/>
      <c r="I22" s="117"/>
      <c r="J22" s="307">
        <f>J21/J20</f>
        <v>0.24754455313886689</v>
      </c>
      <c r="K22" s="787">
        <f>K21/K20</f>
        <v>0.60731732903775626</v>
      </c>
      <c r="L22" s="66">
        <f>L21/L20</f>
        <v>0.20747578972260514</v>
      </c>
      <c r="M22" s="788">
        <f>M21/M20</f>
        <v>0.58919608176456262</v>
      </c>
      <c r="N22" s="65">
        <f>N21/N20</f>
        <v>0.30912281035317668</v>
      </c>
      <c r="O22" s="139">
        <f>J22-K22</f>
        <v>-0.35977277589888934</v>
      </c>
      <c r="P22" s="140">
        <f>L22-N22</f>
        <v>-0.10164702063057154</v>
      </c>
    </row>
    <row r="23" spans="1:16" ht="12" customHeight="1">
      <c r="A23" s="133"/>
      <c r="B23" s="133"/>
      <c r="C23" s="142"/>
      <c r="F23" s="113"/>
      <c r="G23" s="113" t="s">
        <v>112</v>
      </c>
      <c r="H23" s="113"/>
      <c r="I23" s="114"/>
      <c r="J23" s="306">
        <f>'Premium Income by D.C.(GA+SA)'!J23-'Premium Income by D.C.'!J52</f>
        <v>590.66392573099995</v>
      </c>
      <c r="K23" s="786">
        <f>'Premium Income by D.C.(GA+SA)'!K23-'Premium Income by D.C.'!K52</f>
        <v>59.456810824000002</v>
      </c>
      <c r="L23" s="32">
        <f>'Premium Income by D.C.(GA+SA)'!L23-'Premium Income by D.C.'!L52</f>
        <v>383.05511873699999</v>
      </c>
      <c r="M23" s="31">
        <f>'Premium Income by D.C.(GA+SA)'!M23-'Premium Income by D.C.'!M52</f>
        <v>38.853526377000009</v>
      </c>
      <c r="N23" s="62">
        <f>'Premium Income by D.C.(GA+SA)'!N23-'Premium Income by D.C.'!N52</f>
        <v>207.60880699399993</v>
      </c>
      <c r="O23" s="33">
        <f>IF(J23/K23&lt;0,"n.a.",IF(K23&gt;0,ROUND(J23,4)/ROUND(K23,4)-1,IF(K23&lt;0,"n.a.")))</f>
        <v>8.9343371994456486</v>
      </c>
      <c r="P23" s="34">
        <f>IF(L23/N23&lt;0,"n.a.",IF(N23&gt;0,ROUND(L23,4)/ROUND(N23,4)-1,IF(N23&lt;0,"n.a.")))</f>
        <v>0.84508122969739219</v>
      </c>
    </row>
    <row r="24" spans="1:16" ht="12" customHeight="1">
      <c r="A24" s="133"/>
      <c r="B24" s="133" t="s">
        <v>181</v>
      </c>
      <c r="C24" s="142"/>
      <c r="F24" s="118"/>
      <c r="G24" s="118" t="s">
        <v>113</v>
      </c>
      <c r="H24" s="118"/>
      <c r="I24" s="119"/>
      <c r="J24" s="308">
        <f>'Premium Income by D.C.(GA+SA)'!J24-'Premium Income by D.C.'!J53</f>
        <v>37.298203834999995</v>
      </c>
      <c r="K24" s="786">
        <f>'Premium Income by D.C.(GA+SA)'!K24-'Premium Income by D.C.'!K53</f>
        <v>55.212831946000001</v>
      </c>
      <c r="L24" s="35">
        <f>'Premium Income by D.C.(GA+SA)'!L24-'Premium Income by D.C.'!L53</f>
        <v>17.625135904</v>
      </c>
      <c r="M24" s="31">
        <f>'Premium Income by D.C.(GA+SA)'!M24-'Premium Income by D.C.'!M53</f>
        <v>25.753287910000001</v>
      </c>
      <c r="N24" s="62">
        <f>'Premium Income by D.C.(GA+SA)'!N24-'Premium Income by D.C.'!N53</f>
        <v>19.673067930999999</v>
      </c>
      <c r="O24" s="36">
        <f>IF(J24/K24&lt;0,"n.a.",IF(K24&gt;0,ROUND(J24,4)/ROUND(K24,4)-1,IF(K24&lt;0,"n.a.")))</f>
        <v>-0.32446461690042883</v>
      </c>
      <c r="P24" s="37">
        <f>IF(L24/N24&lt;0,"n.a.",IF(N24&gt;0,ROUND(L24,4)/ROUND(N24,4)-1,IF(N24&lt;0,"n.a.")))</f>
        <v>-0.10410153966583824</v>
      </c>
    </row>
    <row r="25" spans="1:16" ht="12" customHeight="1">
      <c r="A25" s="133"/>
      <c r="B25" s="133"/>
      <c r="C25" s="142" t="s">
        <v>32</v>
      </c>
      <c r="F25" s="120" t="s">
        <v>117</v>
      </c>
      <c r="G25" s="120"/>
      <c r="H25" s="120"/>
      <c r="I25" s="121"/>
      <c r="J25" s="305">
        <f>SUM(J26,J28:J29)</f>
        <v>2393.5666359719999</v>
      </c>
      <c r="K25" s="784">
        <f>SUM(K26,K28:K29)</f>
        <v>1828.6057993739994</v>
      </c>
      <c r="L25" s="28">
        <f>SUM(L26,L28:L29)</f>
        <v>1285.5898891050001</v>
      </c>
      <c r="M25" s="785">
        <f>SUM(M26,M28:M29)</f>
        <v>928.68424403499978</v>
      </c>
      <c r="N25" s="61">
        <f>SUM(N26,N28:N29)</f>
        <v>1107.976746867</v>
      </c>
      <c r="O25" s="470">
        <f>IF(J25/K25&lt;0,"n.a.",IF(K25&gt;0,ROUND(J25,4)/ROUND(K25,4)-1,IF(K25&lt;0,"n.a.")))</f>
        <v>0.30895713007144576</v>
      </c>
      <c r="P25" s="27">
        <f>IF(L25/N25&lt;0,"n.a.",IF(N25&gt;0,ROUND(L25,4)/ROUND(N25,4)-1,IF(N25&lt;0,"n.a.")))</f>
        <v>0.16030409303733562</v>
      </c>
    </row>
    <row r="26" spans="1:16" ht="12" customHeight="1">
      <c r="A26" s="133"/>
      <c r="B26" s="133"/>
      <c r="C26" s="142" t="s">
        <v>34</v>
      </c>
      <c r="F26" s="113"/>
      <c r="G26" s="113" t="s">
        <v>110</v>
      </c>
      <c r="H26" s="113"/>
      <c r="I26" s="114"/>
      <c r="J26" s="360">
        <f>'Premium Income by D.C.(GA+SA)'!J26-'Premium Income by D.C.'!J55</f>
        <v>1660.397725085</v>
      </c>
      <c r="K26" s="786">
        <f>'Premium Income by D.C.(GA+SA)'!K26-'Premium Income by D.C.'!K55</f>
        <v>1588.1784028659993</v>
      </c>
      <c r="L26" s="32">
        <f>'Premium Income by D.C.(GA+SA)'!L26-'Premium Income by D.C.'!L55</f>
        <v>834.08146723900006</v>
      </c>
      <c r="M26" s="31">
        <f>'Premium Income by D.C.(GA+SA)'!M26-'Premium Income by D.C.'!M55</f>
        <v>803.11466352599984</v>
      </c>
      <c r="N26" s="62">
        <f>'Premium Income by D.C.(GA+SA)'!N26-'Premium Income by D.C.'!N55</f>
        <v>826.31625784599998</v>
      </c>
      <c r="O26" s="33">
        <f>IF(J26/K26&lt;0,"n.a.",IF(K26&gt;0,ROUND(J26,4)/ROUND(K26,4)-1,IF(K26&lt;0,"n.a.")))</f>
        <v>4.5473040056457137E-2</v>
      </c>
      <c r="P26" s="34">
        <f>IF(L26/N26&lt;0,"n.a.",IF(N26&gt;0,ROUND(L26,4)/ROUND(N26,4)-1,IF(N26&lt;0,"n.a.")))</f>
        <v>9.3973699901599428E-3</v>
      </c>
    </row>
    <row r="27" spans="1:16" ht="12" customHeight="1">
      <c r="A27" s="133"/>
      <c r="B27" s="133"/>
      <c r="C27" s="142" t="s">
        <v>35</v>
      </c>
      <c r="F27" s="113"/>
      <c r="G27" s="116" t="s">
        <v>111</v>
      </c>
      <c r="H27" s="116"/>
      <c r="I27" s="117"/>
      <c r="J27" s="307">
        <f>J26/J25</f>
        <v>0.69369187393052534</v>
      </c>
      <c r="K27" s="787">
        <f>K26/K25</f>
        <v>0.86851873892650489</v>
      </c>
      <c r="L27" s="66">
        <f>L26/L25</f>
        <v>0.64879280267182993</v>
      </c>
      <c r="M27" s="788">
        <f>M26/M25</f>
        <v>0.86478764842244105</v>
      </c>
      <c r="N27" s="65">
        <f>N26/N25</f>
        <v>0.74578844744039552</v>
      </c>
      <c r="O27" s="139">
        <f>J27-K27</f>
        <v>-0.17482686499597955</v>
      </c>
      <c r="P27" s="140">
        <f>L27-N27</f>
        <v>-9.6995644768565592E-2</v>
      </c>
    </row>
    <row r="28" spans="1:16" ht="12" customHeight="1">
      <c r="A28" s="133"/>
      <c r="B28" s="133"/>
      <c r="C28" s="142"/>
      <c r="F28" s="113"/>
      <c r="G28" s="113" t="s">
        <v>112</v>
      </c>
      <c r="H28" s="113"/>
      <c r="I28" s="114"/>
      <c r="J28" s="306">
        <f>'Premium Income by D.C.(GA+SA)'!J28-'Premium Income by D.C.'!J57</f>
        <v>631.52202509899985</v>
      </c>
      <c r="K28" s="786">
        <f>'Premium Income by D.C.(GA+SA)'!K28-'Premium Income by D.C.'!K57</f>
        <v>108.531317053</v>
      </c>
      <c r="L28" s="32">
        <f>'Premium Income by D.C.(GA+SA)'!L28-'Premium Income by D.C.'!L57</f>
        <v>402.81584893800004</v>
      </c>
      <c r="M28" s="31">
        <f>'Premium Income by D.C.(GA+SA)'!M28-'Premium Income by D.C.'!M57</f>
        <v>62.618557391999992</v>
      </c>
      <c r="N28" s="62">
        <f>'Premium Income by D.C.(GA+SA)'!N28-'Premium Income by D.C.'!N57</f>
        <v>228.70617616099995</v>
      </c>
      <c r="O28" s="33">
        <f>IF(J28/K28&lt;0,"n.a.",IF(K28&gt;0,ROUND(J28,4)/ROUND(K28,4)-1,IF(K28&lt;0,"n.a.")))</f>
        <v>4.8188006593489625</v>
      </c>
      <c r="P28" s="34">
        <f>IF(L28/N28&lt;0,"n.a.",IF(N28&gt;0,ROUND(L28,4)/ROUND(N28,4)-1,IF(N28&lt;0,"n.a.")))</f>
        <v>0.76128062990859036</v>
      </c>
    </row>
    <row r="29" spans="1:16" ht="12" customHeight="1">
      <c r="A29" s="133"/>
      <c r="B29" s="133"/>
      <c r="C29" s="142"/>
      <c r="F29" s="118"/>
      <c r="G29" s="118" t="s">
        <v>113</v>
      </c>
      <c r="H29" s="118"/>
      <c r="I29" s="119"/>
      <c r="J29" s="308">
        <f>'Premium Income by D.C.(GA+SA)'!J29-'Premium Income by D.C.'!J58</f>
        <v>101.64688578799999</v>
      </c>
      <c r="K29" s="791">
        <f>'Premium Income by D.C.(GA+SA)'!K29-'Premium Income by D.C.'!K58</f>
        <v>131.89607945500001</v>
      </c>
      <c r="L29" s="35">
        <f>'Premium Income by D.C.(GA+SA)'!L29-'Premium Income by D.C.'!L58</f>
        <v>48.692572928000004</v>
      </c>
      <c r="M29" s="792">
        <f>'Premium Income by D.C.(GA+SA)'!M29-'Premium Income by D.C.'!M58</f>
        <v>62.951023117000013</v>
      </c>
      <c r="N29" s="59">
        <f>'Premium Income by D.C.(GA+SA)'!N29-'Premium Income by D.C.'!N58</f>
        <v>52.954312860000002</v>
      </c>
      <c r="O29" s="36">
        <f>IF(J29/K29&lt;0,"n.a.",IF(K29&gt;0,ROUND(J29,4)/ROUND(K29,4)-1,IF(K29&lt;0,"n.a.")))</f>
        <v>-0.22934112532516115</v>
      </c>
      <c r="P29" s="37">
        <f>IF(L29/N29&lt;0,"n.a.",IF(N29&gt;0,ROUND(L29,4)/ROUND(N29,4)-1,IF(N29&lt;0,"n.a.")))</f>
        <v>-8.0478827970533184E-2</v>
      </c>
    </row>
    <row r="30" spans="1:16" s="3" customFormat="1" ht="12" customHeight="1">
      <c r="A30" s="133"/>
      <c r="B30" s="133" t="s">
        <v>185</v>
      </c>
      <c r="C30" s="142"/>
      <c r="D30" s="1"/>
      <c r="E30" s="1"/>
      <c r="F30" s="537"/>
      <c r="G30" s="537"/>
      <c r="H30" s="537"/>
      <c r="I30" s="537"/>
      <c r="J30" s="538"/>
      <c r="K30" s="538"/>
      <c r="L30" s="605"/>
      <c r="M30" s="539"/>
      <c r="N30" s="539"/>
      <c r="O30" s="540"/>
      <c r="P30" s="39"/>
    </row>
    <row r="31" spans="1:16" ht="12" customHeight="1">
      <c r="A31" s="133"/>
      <c r="B31" s="133"/>
      <c r="C31" s="142" t="s">
        <v>147</v>
      </c>
      <c r="F31" s="104" t="s">
        <v>74</v>
      </c>
      <c r="G31" s="105"/>
      <c r="H31" s="105"/>
      <c r="I31" s="105"/>
    </row>
    <row r="32" spans="1:16" ht="12" customHeight="1">
      <c r="A32" s="133"/>
      <c r="B32" s="133"/>
      <c r="C32" s="142" t="s">
        <v>36</v>
      </c>
      <c r="F32" s="110"/>
      <c r="G32" s="106"/>
      <c r="H32" s="106"/>
      <c r="I32" s="107"/>
      <c r="J32" s="816" t="s">
        <v>82</v>
      </c>
      <c r="K32" s="815"/>
      <c r="L32" s="816" t="s">
        <v>83</v>
      </c>
      <c r="M32" s="814"/>
      <c r="N32" s="815"/>
      <c r="O32" s="106"/>
      <c r="P32" s="106"/>
    </row>
    <row r="33" spans="1:16" ht="12" customHeight="1">
      <c r="A33" s="133"/>
      <c r="B33" s="133"/>
      <c r="C33" s="142"/>
      <c r="F33" s="77" t="s">
        <v>81</v>
      </c>
      <c r="G33" s="108"/>
      <c r="H33" s="108"/>
      <c r="I33" s="109"/>
      <c r="J33" s="771" t="s">
        <v>381</v>
      </c>
      <c r="K33" s="178" t="s">
        <v>382</v>
      </c>
      <c r="L33" s="771" t="s">
        <v>381</v>
      </c>
      <c r="M33" s="248" t="s">
        <v>382</v>
      </c>
      <c r="N33" s="254">
        <v>46112</v>
      </c>
      <c r="O33" s="251" t="s">
        <v>23</v>
      </c>
      <c r="P33" s="103" t="s">
        <v>24</v>
      </c>
    </row>
    <row r="34" spans="1:16" ht="12" customHeight="1">
      <c r="A34" s="133"/>
      <c r="B34" s="133" t="s">
        <v>188</v>
      </c>
      <c r="C34" s="142"/>
      <c r="F34" s="111" t="s">
        <v>109</v>
      </c>
      <c r="G34" s="111"/>
      <c r="H34" s="111"/>
      <c r="I34" s="112"/>
      <c r="J34" s="305">
        <f>+SUM(J35,J37,J38)</f>
        <v>22.360189420999994</v>
      </c>
      <c r="K34" s="784">
        <f>+SUM(K35,K37,K38)</f>
        <v>16.760833029</v>
      </c>
      <c r="L34" s="28">
        <f>+SUM(L35,L37,L38)</f>
        <v>14.125863334999996</v>
      </c>
      <c r="M34" s="785">
        <f>+SUM(M35,M37,M38)</f>
        <v>7.9908941970000011</v>
      </c>
      <c r="N34" s="61">
        <f>+SUM(N35,N37,N38)</f>
        <v>8.2343260859999994</v>
      </c>
      <c r="O34" s="29">
        <f>IF(J34/K34&lt;0,"n.a.",IF(K34&gt;0,ROUND(J34,4)/ROUND(K34,4)-1,IF(K34&lt;0,"n.a.")))</f>
        <v>0.33407713235645065</v>
      </c>
      <c r="P34" s="30">
        <f>IF(L34/N34&lt;0,"n.a.",IF(N34&gt;0,ROUND(L34,4)/ROUND(N34,4)-1,IF(N34&lt;0,"n.a.")))</f>
        <v>0.71549494188941387</v>
      </c>
    </row>
    <row r="35" spans="1:16" ht="12" customHeight="1">
      <c r="A35" s="133"/>
      <c r="B35" s="133"/>
      <c r="C35" s="142" t="s">
        <v>37</v>
      </c>
      <c r="F35" s="113"/>
      <c r="G35" s="113" t="s">
        <v>110</v>
      </c>
      <c r="H35" s="113"/>
      <c r="I35" s="114"/>
      <c r="J35" s="360">
        <v>8.0305116859999988</v>
      </c>
      <c r="K35" s="786">
        <v>9.3743816389999992</v>
      </c>
      <c r="L35" s="32">
        <v>3.9204236479999985</v>
      </c>
      <c r="M35" s="31">
        <v>4.6739861590000018</v>
      </c>
      <c r="N35" s="62">
        <v>4.1100880379999998</v>
      </c>
      <c r="O35" s="33">
        <f>IF(J35/K35&lt;0,"n.a.",IF(K35&gt;0,ROUND(J35,4)/ROUND(K35,4)-1,IF(K35&lt;0,"n.a.")))</f>
        <v>-0.14335850827786312</v>
      </c>
      <c r="P35" s="15">
        <f>IF(L35/N35&lt;0,"n.a.",IF(N35&gt;0,ROUND(L35,4)/ROUND(N35,4)-1,IF(N35&lt;0,"n.a.")))</f>
        <v>-4.6154594778715863E-2</v>
      </c>
    </row>
    <row r="36" spans="1:16" ht="12" customHeight="1">
      <c r="A36" s="133"/>
      <c r="B36" s="133"/>
      <c r="C36" s="142" t="s">
        <v>38</v>
      </c>
      <c r="F36" s="115"/>
      <c r="G36" s="116" t="s">
        <v>111</v>
      </c>
      <c r="H36" s="116"/>
      <c r="I36" s="117"/>
      <c r="J36" s="307">
        <f>J35/J34</f>
        <v>0.3591432762397796</v>
      </c>
      <c r="K36" s="787">
        <f>K35/K34</f>
        <v>0.55930284746469439</v>
      </c>
      <c r="L36" s="66">
        <f>L35/L34</f>
        <v>0.27753515342926116</v>
      </c>
      <c r="M36" s="788">
        <f>M35/M34</f>
        <v>0.58491403387054519</v>
      </c>
      <c r="N36" s="65">
        <f>N35/N34</f>
        <v>0.49914079125284716</v>
      </c>
      <c r="O36" s="139">
        <f>J36-K36</f>
        <v>-0.20015957122491479</v>
      </c>
      <c r="P36" s="140">
        <f>L36-N36</f>
        <v>-0.221605637823586</v>
      </c>
    </row>
    <row r="37" spans="1:16" ht="12" customHeight="1">
      <c r="A37" s="25"/>
      <c r="F37" s="113"/>
      <c r="G37" s="113" t="s">
        <v>112</v>
      </c>
      <c r="H37" s="113"/>
      <c r="I37" s="114"/>
      <c r="J37" s="306">
        <v>2.6456636429999993</v>
      </c>
      <c r="K37" s="786">
        <v>3.9005962959999998</v>
      </c>
      <c r="L37" s="32">
        <v>1.2862347459999999</v>
      </c>
      <c r="M37" s="31">
        <v>1.8648704889999999</v>
      </c>
      <c r="N37" s="62">
        <v>1.3594288969999995</v>
      </c>
      <c r="O37" s="33">
        <f>IF(J37/K37&lt;0,"n.a.",IF(K37&gt;0,ROUND(J37,4)/ROUND(K37,4)-1,IF(K37&lt;0,"n.a.")))</f>
        <v>-0.32171973542531906</v>
      </c>
      <c r="P37" s="34">
        <f>IF(L37/N37&lt;0,"n.a.",IF(N37&gt;0,ROUND(L37,4)/ROUND(N37,4)-1,IF(N37&lt;0,"n.a.")))</f>
        <v>-5.3847285567161896E-2</v>
      </c>
    </row>
    <row r="38" spans="1:16" ht="12" customHeight="1">
      <c r="A38" s="25"/>
      <c r="F38" s="113"/>
      <c r="G38" s="113" t="s">
        <v>113</v>
      </c>
      <c r="H38" s="113"/>
      <c r="I38" s="114"/>
      <c r="J38" s="306">
        <v>11.684014091999998</v>
      </c>
      <c r="K38" s="786">
        <v>3.4858550940000006</v>
      </c>
      <c r="L38" s="32">
        <v>8.9192049409999985</v>
      </c>
      <c r="M38" s="31">
        <v>1.4520375490000001</v>
      </c>
      <c r="N38" s="62">
        <v>2.7648091509999988</v>
      </c>
      <c r="O38" s="33">
        <f>IF(J38/K38&lt;0,"n.a.",IF(K38&gt;0,ROUND(J38,4)/ROUND(K38,4)-1,IF(K38&lt;0,"n.a.")))</f>
        <v>2.3517886342121113</v>
      </c>
      <c r="P38" s="34">
        <f>IF(L38/N38&lt;0,"n.a.",IF(N38&gt;0,ROUND(L38,4)/ROUND(N38,4)-1,IF(N38&lt;0,"n.a.")))</f>
        <v>2.2259837962962963</v>
      </c>
    </row>
    <row r="39" spans="1:16" ht="12" customHeight="1">
      <c r="A39" s="25"/>
      <c r="F39" s="111" t="s">
        <v>114</v>
      </c>
      <c r="G39" s="111"/>
      <c r="H39" s="111"/>
      <c r="I39" s="112"/>
      <c r="J39" s="305">
        <f>+SUM(J40,J42,J43)</f>
        <v>1.1776032870000002</v>
      </c>
      <c r="K39" s="784">
        <f>+SUM(K40,K42,K43)</f>
        <v>0.95980877900000006</v>
      </c>
      <c r="L39" s="28">
        <f>+SUM(L40,L42,L43)</f>
        <v>0.58288178299999993</v>
      </c>
      <c r="M39" s="785">
        <f>+SUM(M40,M42,M43)</f>
        <v>0.47465456199999995</v>
      </c>
      <c r="N39" s="61">
        <f>+SUM(N40,N42,N43)</f>
        <v>0.59472150400000001</v>
      </c>
      <c r="O39" s="29">
        <f>IF(J39/K39&lt;0,"n.a.",IF(K39&gt;0,ROUND(J39,4)/ROUND(K39,4)-1,IF(K39&lt;0,"n.a.")))</f>
        <v>0.22692227547405719</v>
      </c>
      <c r="P39" s="30">
        <f>IF(L39/N39&lt;0,"n.a.",IF(N39&gt;0,ROUND(L39,4)/ROUND(N39,4)-1,IF(N39&lt;0,"n.a.")))</f>
        <v>-1.9841937111148567E-2</v>
      </c>
    </row>
    <row r="40" spans="1:16" ht="12" customHeight="1">
      <c r="A40" s="25"/>
      <c r="F40" s="113"/>
      <c r="G40" s="113" t="s">
        <v>110</v>
      </c>
      <c r="H40" s="113"/>
      <c r="I40" s="114"/>
      <c r="J40" s="360">
        <v>0.72508728100000008</v>
      </c>
      <c r="K40" s="789">
        <v>0.63637132200000002</v>
      </c>
      <c r="L40" s="32">
        <v>0.36751578600000001</v>
      </c>
      <c r="M40" s="31">
        <v>0.31410107399999992</v>
      </c>
      <c r="N40" s="62">
        <v>0.35757149500000002</v>
      </c>
      <c r="O40" s="33">
        <f>IF(J40/K40&lt;0,"n.a.",IF(K40&gt;0,ROUND(J40,4)/ROUND(K40,4)-1,IF(K40&lt;0,"n.a.")))</f>
        <v>0.13937774984286611</v>
      </c>
      <c r="P40" s="34">
        <f>IF(L40/N40&lt;0,"n.a.",IF(N40&gt;0,ROUND(L40,4)/ROUND(N40,4)-1,IF(N40&lt;0,"n.a.")))</f>
        <v>2.7684563758389347E-2</v>
      </c>
    </row>
    <row r="41" spans="1:16" ht="12" customHeight="1">
      <c r="A41" s="25"/>
      <c r="F41" s="115"/>
      <c r="G41" s="116" t="s">
        <v>111</v>
      </c>
      <c r="H41" s="116"/>
      <c r="I41" s="117"/>
      <c r="J41" s="307">
        <f>J40/J39</f>
        <v>0.61573136641558979</v>
      </c>
      <c r="K41" s="787">
        <f>K40/K39</f>
        <v>0.66301885950972317</v>
      </c>
      <c r="L41" s="66">
        <f>L40/L39</f>
        <v>0.6305151348330954</v>
      </c>
      <c r="M41" s="788">
        <f>M40/M39</f>
        <v>0.66174666619974454</v>
      </c>
      <c r="N41" s="65">
        <f>N40/N39</f>
        <v>0.6012419133914485</v>
      </c>
      <c r="O41" s="139">
        <f>J41-K41</f>
        <v>-4.7287493094133382E-2</v>
      </c>
      <c r="P41" s="140">
        <f>L41-N41</f>
        <v>2.9273221441646902E-2</v>
      </c>
    </row>
    <row r="42" spans="1:16" ht="12" customHeight="1">
      <c r="A42" s="25"/>
      <c r="F42" s="113"/>
      <c r="G42" s="113" t="s">
        <v>112</v>
      </c>
      <c r="H42" s="113"/>
      <c r="I42" s="114"/>
      <c r="J42" s="306">
        <v>0.25445566600000002</v>
      </c>
      <c r="K42" s="786">
        <v>0.15261735800000004</v>
      </c>
      <c r="L42" s="32">
        <v>0.10089645799999998</v>
      </c>
      <c r="M42" s="31">
        <v>7.1039953000000017E-2</v>
      </c>
      <c r="N42" s="62">
        <v>0.153559208</v>
      </c>
      <c r="O42" s="33">
        <f>IF(J42/K42&lt;0,"n.a.",IF(K42&gt;0,ROUND(J42,4)/ROUND(K42,4)-1,IF(K42&lt;0,"n.a.")))</f>
        <v>0.66775884665792917</v>
      </c>
      <c r="P42" s="34">
        <f>IF(L42/N42&lt;0,"n.a.",IF(N42&gt;0,ROUND(L42,4)/ROUND(N42,4)-1,IF(N42&lt;0,"n.a.")))</f>
        <v>-0.34309895833333326</v>
      </c>
    </row>
    <row r="43" spans="1:16" ht="12" customHeight="1">
      <c r="A43" s="25"/>
      <c r="F43" s="118"/>
      <c r="G43" s="113" t="s">
        <v>113</v>
      </c>
      <c r="H43" s="118"/>
      <c r="I43" s="119"/>
      <c r="J43" s="308">
        <v>0.19806034</v>
      </c>
      <c r="K43" s="786">
        <v>0.17082009899999998</v>
      </c>
      <c r="L43" s="35">
        <v>0.114469539</v>
      </c>
      <c r="M43" s="31">
        <v>8.9513534999999991E-2</v>
      </c>
      <c r="N43" s="62">
        <v>8.3590800999999992E-2</v>
      </c>
      <c r="O43" s="36">
        <f>IF(J43/K43&lt;0,"n.a.",IF(K43&gt;0,ROUND(J43,4)/ROUND(K43,4)-1,IF(K43&lt;0,"n.a.")))</f>
        <v>0.1598360655737705</v>
      </c>
      <c r="P43" s="37">
        <f>IF(L43/N43&lt;0,"n.a.",IF(N43&gt;0,ROUND(L43,4)/ROUND(N43,4)-1,IF(N43&lt;0,"n.a.")))</f>
        <v>0.36961722488038284</v>
      </c>
    </row>
    <row r="44" spans="1:16" ht="12" customHeight="1">
      <c r="A44" s="25"/>
      <c r="F44" s="111" t="s">
        <v>115</v>
      </c>
      <c r="G44" s="111"/>
      <c r="H44" s="111"/>
      <c r="I44" s="112"/>
      <c r="J44" s="305">
        <f>+SUM(J45,J47,J48)</f>
        <v>5.7799526559999999</v>
      </c>
      <c r="K44" s="784">
        <f>+SUM(K45,K47,K48)</f>
        <v>6.3037853200000002</v>
      </c>
      <c r="L44" s="28">
        <f>+SUM(L45,L47,L48)</f>
        <v>2.8717090590000001</v>
      </c>
      <c r="M44" s="785">
        <f>+SUM(M45,M47,M48)</f>
        <v>3.0939568639999999</v>
      </c>
      <c r="N44" s="61">
        <f>+SUM(N45,N47,N48)</f>
        <v>2.9082435969999998</v>
      </c>
      <c r="O44" s="29">
        <f>IF(J44/K44&lt;0,"n.a.",IF(K44&gt;0,ROUND(J44,4)/ROUND(K44,4)-1,IF(K44&lt;0,"n.a.")))</f>
        <v>-8.3092737713759912E-2</v>
      </c>
      <c r="P44" s="30">
        <f>IF(L44/N44&lt;0,"n.a.",IF(N44&gt;0,ROUND(L44,4)/ROUND(N44,4)-1,IF(N44&lt;0,"n.a.")))</f>
        <v>-1.2550718657588833E-2</v>
      </c>
    </row>
    <row r="45" spans="1:16" ht="12" customHeight="1">
      <c r="A45" s="25"/>
      <c r="F45" s="113"/>
      <c r="G45" s="113" t="s">
        <v>110</v>
      </c>
      <c r="H45" s="113"/>
      <c r="I45" s="114"/>
      <c r="J45" s="360">
        <v>3.2625181419999998</v>
      </c>
      <c r="K45" s="786">
        <v>3.5947920469999999</v>
      </c>
      <c r="L45" s="32">
        <v>1.627051539</v>
      </c>
      <c r="M45" s="31">
        <v>1.753787974</v>
      </c>
      <c r="N45" s="62">
        <v>1.6354666029999998</v>
      </c>
      <c r="O45" s="33">
        <f>IF(J45/K45&lt;0,"n.a.",IF(K45&gt;0,ROUND(J45,4)/ROUND(K45,4)-1,IF(K45&lt;0,"n.a.")))</f>
        <v>-9.2439078669188879E-2</v>
      </c>
      <c r="P45" s="34">
        <f>IF(L45/N45&lt;0,"n.a.",IF(N45&gt;0,ROUND(L45,4)/ROUND(N45,4)-1,IF(N45&lt;0,"n.a.")))</f>
        <v>-5.1360440232344207E-3</v>
      </c>
    </row>
    <row r="46" spans="1:16" ht="12" customHeight="1">
      <c r="A46" s="25"/>
      <c r="F46" s="115"/>
      <c r="G46" s="116" t="s">
        <v>111</v>
      </c>
      <c r="H46" s="116"/>
      <c r="I46" s="117"/>
      <c r="J46" s="307">
        <f>J45/J44</f>
        <v>0.56445412898205582</v>
      </c>
      <c r="K46" s="787">
        <f>K45/K44</f>
        <v>0.5702592751048825</v>
      </c>
      <c r="L46" s="66">
        <f>L45/L44</f>
        <v>0.56657951957242469</v>
      </c>
      <c r="M46" s="788">
        <f>M45/M44</f>
        <v>0.56684305925733813</v>
      </c>
      <c r="N46" s="65">
        <f>N45/N44</f>
        <v>0.56235543841205948</v>
      </c>
      <c r="O46" s="139">
        <f>J46-K46</f>
        <v>-5.8051461228266765E-3</v>
      </c>
      <c r="P46" s="140">
        <f>L46-N46</f>
        <v>4.2240811603652118E-3</v>
      </c>
    </row>
    <row r="47" spans="1:16" ht="12" customHeight="1">
      <c r="A47" s="25"/>
      <c r="F47" s="113"/>
      <c r="G47" s="113" t="s">
        <v>112</v>
      </c>
      <c r="H47" s="113"/>
      <c r="I47" s="114"/>
      <c r="J47" s="306">
        <v>1.4342055390000001</v>
      </c>
      <c r="K47" s="786">
        <v>1.6674913420000002</v>
      </c>
      <c r="L47" s="32">
        <v>0.707787096</v>
      </c>
      <c r="M47" s="31">
        <v>0.82546272900000017</v>
      </c>
      <c r="N47" s="62">
        <v>0.72641844300000014</v>
      </c>
      <c r="O47" s="33">
        <f>IF(J47/K47&lt;0,"n.a.",IF(K47&gt;0,ROUND(J47,4)/ROUND(K47,4)-1,IF(K47&lt;0,"n.a.")))</f>
        <v>-0.13991004497751125</v>
      </c>
      <c r="P47" s="34">
        <f>IF(L47/N47&lt;0,"n.a.",IF(N47&gt;0,ROUND(L47,4)/ROUND(N47,4)-1,IF(N47&lt;0,"n.a.")))</f>
        <v>-2.5605726872246826E-2</v>
      </c>
    </row>
    <row r="48" spans="1:16" ht="12" customHeight="1">
      <c r="A48" s="25"/>
      <c r="F48" s="118"/>
      <c r="G48" s="113" t="s">
        <v>113</v>
      </c>
      <c r="H48" s="118"/>
      <c r="I48" s="119"/>
      <c r="J48" s="308">
        <v>1.0832289749999999</v>
      </c>
      <c r="K48" s="786">
        <v>1.0415019309999998</v>
      </c>
      <c r="L48" s="35">
        <v>0.53687042400000007</v>
      </c>
      <c r="M48" s="31">
        <v>0.514706161</v>
      </c>
      <c r="N48" s="62">
        <v>0.54635855100000008</v>
      </c>
      <c r="O48" s="36">
        <f>IF(J48/K48&lt;0,"n.a.",IF(K48&gt;0,ROUND(J48,4)/ROUND(K48,4)-1,IF(K48&lt;0,"n.a.")))</f>
        <v>4.0038406144982996E-2</v>
      </c>
      <c r="P48" s="37">
        <f>IF(L48/N48&lt;0,"n.a.",IF(N48&gt;0,ROUND(L48,4)/ROUND(N48,4)-1,IF(N48&lt;0,"n.a.")))</f>
        <v>-1.7386530014641188E-2</v>
      </c>
    </row>
    <row r="49" spans="1:16" ht="12" customHeight="1">
      <c r="F49" s="111" t="s">
        <v>116</v>
      </c>
      <c r="G49" s="111"/>
      <c r="H49" s="111"/>
      <c r="I49" s="112"/>
      <c r="J49" s="305">
        <f>+SUM(J50,J52,J53)</f>
        <v>0.106505035</v>
      </c>
      <c r="K49" s="784">
        <f>+SUM(K50,K52,K53)</f>
        <v>0.12967601699999998</v>
      </c>
      <c r="L49" s="28">
        <f>+SUM(L50,L52,L53)</f>
        <v>4.9399183999999999E-2</v>
      </c>
      <c r="M49" s="785">
        <f>+SUM(M50,M52,M53)</f>
        <v>7.5453629999999994E-2</v>
      </c>
      <c r="N49" s="61">
        <f>+SUM(N50,N52,N53)</f>
        <v>5.7105850999999985E-2</v>
      </c>
      <c r="O49" s="29">
        <f>IF(J49/K49&lt;0,"n.a.",IF(K49&gt;0,ROUND(J49,4)/ROUND(K49,4)-1,IF(K49&lt;0,"n.a.")))</f>
        <v>-0.17887432536622982</v>
      </c>
      <c r="P49" s="30">
        <f>IF(L49/N49&lt;0,"n.a.",IF(N49&gt;0,ROUND(L49,4)/ROUND(N49,4)-1,IF(N49&lt;0,"n.a.")))</f>
        <v>-0.13485113835376528</v>
      </c>
    </row>
    <row r="50" spans="1:16" ht="12" customHeight="1">
      <c r="F50" s="113"/>
      <c r="G50" s="113" t="s">
        <v>110</v>
      </c>
      <c r="H50" s="113"/>
      <c r="I50" s="114"/>
      <c r="J50" s="360">
        <v>5.1170480000000008E-3</v>
      </c>
      <c r="K50" s="786">
        <v>3.862515E-3</v>
      </c>
      <c r="L50" s="32">
        <v>2.5050749999999998E-3</v>
      </c>
      <c r="M50" s="31">
        <v>1.795163E-3</v>
      </c>
      <c r="N50" s="62">
        <v>2.6119730000000009E-3</v>
      </c>
      <c r="O50" s="33">
        <f>IF(J50/K50&lt;0,"n.a.",IF(K50&gt;0,ROUND(J50,4)/ROUND(K50,4)-1,IF(K50&lt;0,"n.a.")))</f>
        <v>0.30769230769230793</v>
      </c>
      <c r="P50" s="34">
        <f>IF(L50/N50&lt;0,"n.a.",IF(N50&gt;0,ROUND(L50,4)/ROUND(N50,4)-1,IF(N50&lt;0,"n.a.")))</f>
        <v>-3.8461538461538436E-2</v>
      </c>
    </row>
    <row r="51" spans="1:16" ht="12" customHeight="1">
      <c r="F51" s="115"/>
      <c r="G51" s="116" t="s">
        <v>111</v>
      </c>
      <c r="H51" s="116"/>
      <c r="I51" s="117"/>
      <c r="J51" s="307">
        <f>J50/J49</f>
        <v>4.8045127631759388E-2</v>
      </c>
      <c r="K51" s="787">
        <f>K50/K49</f>
        <v>2.9785885542736871E-2</v>
      </c>
      <c r="L51" s="66">
        <f>L50/L49</f>
        <v>5.071085789595229E-2</v>
      </c>
      <c r="M51" s="788">
        <f>M50/M49</f>
        <v>2.3791605519840466E-2</v>
      </c>
      <c r="N51" s="65">
        <f>N50/N49</f>
        <v>4.5739148515622358E-2</v>
      </c>
      <c r="O51" s="139">
        <f>J51-K51</f>
        <v>1.8259242089022517E-2</v>
      </c>
      <c r="P51" s="140">
        <f>L51-N51</f>
        <v>4.971709380329932E-3</v>
      </c>
    </row>
    <row r="52" spans="1:16" ht="12" customHeight="1">
      <c r="F52" s="113"/>
      <c r="G52" s="113" t="s">
        <v>112</v>
      </c>
      <c r="H52" s="113"/>
      <c r="I52" s="114"/>
      <c r="J52" s="306">
        <v>8.1922439999999999E-2</v>
      </c>
      <c r="K52" s="786">
        <v>8.2200339999999983E-2</v>
      </c>
      <c r="L52" s="32">
        <v>3.8122969999999999E-2</v>
      </c>
      <c r="M52" s="31">
        <v>3.9879169999999992E-2</v>
      </c>
      <c r="N52" s="62">
        <v>4.3799469999999986E-2</v>
      </c>
      <c r="O52" s="33">
        <f>IF(J52/K52&lt;0,"n.a.",IF(K52&gt;0,ROUND(J52,4)/ROUND(K52,4)-1,IF(K52&lt;0,"n.a.")))</f>
        <v>-3.6496350364962904E-3</v>
      </c>
      <c r="P52" s="34">
        <f>IF(L52/N52&lt;0,"n.a.",IF(N52&gt;0,ROUND(L52,4)/ROUND(N52,4)-1,IF(N52&lt;0,"n.a.")))</f>
        <v>-0.13013698630136983</v>
      </c>
    </row>
    <row r="53" spans="1:16" ht="12" customHeight="1">
      <c r="F53" s="118"/>
      <c r="G53" s="118" t="s">
        <v>113</v>
      </c>
      <c r="H53" s="118"/>
      <c r="I53" s="119"/>
      <c r="J53" s="308">
        <v>1.9465546999999993E-2</v>
      </c>
      <c r="K53" s="786">
        <v>4.3613162000000004E-2</v>
      </c>
      <c r="L53" s="35">
        <v>8.7711389999999972E-3</v>
      </c>
      <c r="M53" s="31">
        <v>3.3779297000000007E-2</v>
      </c>
      <c r="N53" s="62">
        <v>1.0694407999999997E-2</v>
      </c>
      <c r="O53" s="36">
        <f>IF(J53/K53&lt;0,"n.a.",IF(K53&gt;0,ROUND(J53,4)/ROUND(K53,4)-1,IF(K53&lt;0,"n.a.")))</f>
        <v>-0.55275229357798161</v>
      </c>
      <c r="P53" s="37">
        <f>IF(L53/N53&lt;0,"n.a.",IF(N53&gt;0,ROUND(L53,4)/ROUND(N53,4)-1,IF(N53&lt;0,"n.a.")))</f>
        <v>-0.17757009345794383</v>
      </c>
    </row>
    <row r="54" spans="1:16" ht="12" customHeight="1">
      <c r="F54" s="120" t="s">
        <v>117</v>
      </c>
      <c r="G54" s="120"/>
      <c r="H54" s="120"/>
      <c r="I54" s="121"/>
      <c r="J54" s="305">
        <f>SUM(J55,J57:J58)</f>
        <v>29.424250398999995</v>
      </c>
      <c r="K54" s="784">
        <f>SUM(K55,K57:K58)</f>
        <v>24.154103145000001</v>
      </c>
      <c r="L54" s="28">
        <f>SUM(L55,L57:L58)</f>
        <v>17.629853360999995</v>
      </c>
      <c r="M54" s="785">
        <f>SUM(M55,M57:M58)</f>
        <v>11.634959253000002</v>
      </c>
      <c r="N54" s="61">
        <f>SUM(N55,N57:N58)</f>
        <v>11.794397037999998</v>
      </c>
      <c r="O54" s="26">
        <f>IF(J54/K54&lt;0,"n.a.",IF(K54&gt;0,ROUND(J54,4)/ROUND(K54,4)-1,IF(K54&lt;0,"n.a.")))</f>
        <v>0.21819070054359302</v>
      </c>
      <c r="P54" s="27">
        <f>IF(L54/N54&lt;0,"n.a.",IF(N54&gt;0,ROUND(L54,4)/ROUND(N54,4)-1,IF(N54&lt;0,"n.a.")))</f>
        <v>0.49476870379162996</v>
      </c>
    </row>
    <row r="55" spans="1:16" ht="12" customHeight="1">
      <c r="F55" s="113"/>
      <c r="G55" s="113" t="s">
        <v>110</v>
      </c>
      <c r="H55" s="113"/>
      <c r="I55" s="114"/>
      <c r="J55" s="360">
        <f>SUM(J35,J40,J45,J50)</f>
        <v>12.023234156999999</v>
      </c>
      <c r="K55" s="786">
        <f>SUM(K35,K40,K45,K50)</f>
        <v>13.609407523</v>
      </c>
      <c r="L55" s="32">
        <f>SUM(L35,L40,L45,L50)</f>
        <v>5.9174960479999985</v>
      </c>
      <c r="M55" s="31">
        <f>SUM(M35,M40,M45,M50)</f>
        <v>6.7436703700000011</v>
      </c>
      <c r="N55" s="62">
        <f>SUM(N35,N40,N45,N50)</f>
        <v>6.1057381089999998</v>
      </c>
      <c r="O55" s="33">
        <f>IF(J55/K55&lt;0,"n.a.",IF(K55&gt;0,ROUND(J55,4)/ROUND(K55,4)-1,IF(K55&lt;0,"n.a.")))</f>
        <v>-0.11655179508281055</v>
      </c>
      <c r="P55" s="34">
        <f>IF(L55/N55&lt;0,"n.a.",IF(N55&gt;0,ROUND(L55,4)/ROUND(N55,4)-1,IF(N55&lt;0,"n.a.")))</f>
        <v>-3.0823656583192638E-2</v>
      </c>
    </row>
    <row r="56" spans="1:16" ht="12" customHeight="1">
      <c r="F56" s="113"/>
      <c r="G56" s="116" t="s">
        <v>111</v>
      </c>
      <c r="H56" s="116"/>
      <c r="I56" s="117"/>
      <c r="J56" s="307">
        <f>J55/J54</f>
        <v>0.40861649809126888</v>
      </c>
      <c r="K56" s="787">
        <f>K55/K54</f>
        <v>0.56344081340139529</v>
      </c>
      <c r="L56" s="66">
        <f>L55/L54</f>
        <v>0.33565202879624795</v>
      </c>
      <c r="M56" s="788">
        <f>M55/M54</f>
        <v>0.57960412437724596</v>
      </c>
      <c r="N56" s="65">
        <f>N55/N54</f>
        <v>0.51768124214642885</v>
      </c>
      <c r="O56" s="139">
        <f>J56-K56</f>
        <v>-0.15482431531012641</v>
      </c>
      <c r="P56" s="140">
        <f>L56-N56</f>
        <v>-0.18202921335018091</v>
      </c>
    </row>
    <row r="57" spans="1:16" ht="12" customHeight="1">
      <c r="F57" s="113"/>
      <c r="G57" s="113" t="s">
        <v>112</v>
      </c>
      <c r="H57" s="113"/>
      <c r="I57" s="114"/>
      <c r="J57" s="306">
        <f t="shared" ref="J57:N58" si="0">SUM(J37,J42,J47,J52)</f>
        <v>4.4162472879999992</v>
      </c>
      <c r="K57" s="786">
        <f t="shared" si="0"/>
        <v>5.8029053359999994</v>
      </c>
      <c r="L57" s="32">
        <f t="shared" si="0"/>
        <v>2.1330412699999997</v>
      </c>
      <c r="M57" s="31">
        <f t="shared" si="0"/>
        <v>2.8012523410000001</v>
      </c>
      <c r="N57" s="62">
        <f t="shared" si="0"/>
        <v>2.2832060179999996</v>
      </c>
      <c r="O57" s="33">
        <f>IF(J57/K57&lt;0,"n.a.",IF(K57&gt;0,ROUND(J57,4)/ROUND(K57,4)-1,IF(K57&lt;0,"n.a.")))</f>
        <v>-0.23896672353478432</v>
      </c>
      <c r="P57" s="34">
        <f>IF(L57/N57&lt;0,"n.a.",IF(N57&gt;0,ROUND(L57,4)/ROUND(N57,4)-1,IF(N57&lt;0,"n.a.")))</f>
        <v>-6.5784863349684586E-2</v>
      </c>
    </row>
    <row r="58" spans="1:16" ht="12" customHeight="1">
      <c r="F58" s="118"/>
      <c r="G58" s="118" t="s">
        <v>113</v>
      </c>
      <c r="H58" s="118"/>
      <c r="I58" s="119"/>
      <c r="J58" s="308">
        <f t="shared" si="0"/>
        <v>12.984768953999996</v>
      </c>
      <c r="K58" s="791">
        <f t="shared" si="0"/>
        <v>4.7417902860000005</v>
      </c>
      <c r="L58" s="35">
        <f t="shared" si="0"/>
        <v>9.5793160429999986</v>
      </c>
      <c r="M58" s="792">
        <f t="shared" si="0"/>
        <v>2.0900365420000004</v>
      </c>
      <c r="N58" s="59">
        <f t="shared" si="0"/>
        <v>3.4054529109999989</v>
      </c>
      <c r="O58" s="36">
        <f>IF(J58/K58&lt;0,"n.a.",IF(K58&gt;0,ROUND(J58,4)/ROUND(K58,4)-1,IF(K58&lt;0,"n.a.")))</f>
        <v>1.7383693955881734</v>
      </c>
      <c r="P58" s="37">
        <f>IF(L58/N58&lt;0,"n.a.",IF(N58&gt;0,ROUND(L58,4)/ROUND(N58,4)-1,IF(N58&lt;0,"n.a.")))</f>
        <v>1.8128909117603875</v>
      </c>
    </row>
    <row r="59" spans="1:16" ht="12" customHeight="1">
      <c r="F59" s="1" t="s">
        <v>238</v>
      </c>
      <c r="J59" s="63"/>
      <c r="K59" s="63"/>
      <c r="L59" s="63"/>
      <c r="M59" s="63"/>
      <c r="N59" s="63"/>
    </row>
    <row r="60" spans="1:16" ht="12" customHeight="1">
      <c r="J60" s="63"/>
      <c r="K60" s="63"/>
      <c r="L60" s="63"/>
      <c r="M60" s="63"/>
      <c r="N60" s="63"/>
    </row>
    <row r="61" spans="1:16" s="473" customFormat="1" ht="12" customHeight="1">
      <c r="A61" s="5"/>
      <c r="B61" s="1"/>
      <c r="C61" s="1"/>
      <c r="J61" s="603"/>
      <c r="K61" s="603"/>
    </row>
    <row r="62" spans="1:16" s="473" customFormat="1" ht="12" customHeight="1">
      <c r="A62" s="5"/>
      <c r="B62" s="1"/>
      <c r="C62" s="1"/>
      <c r="I62" s="613"/>
      <c r="J62" s="611"/>
      <c r="K62" s="611"/>
      <c r="L62" s="611"/>
      <c r="M62" s="611"/>
      <c r="N62" s="611"/>
    </row>
    <row r="63" spans="1:16" s="473" customFormat="1" ht="12" customHeight="1">
      <c r="A63" s="5"/>
      <c r="B63" s="1"/>
      <c r="C63" s="1"/>
      <c r="J63" s="611"/>
      <c r="K63" s="611"/>
      <c r="L63" s="611"/>
      <c r="M63" s="611"/>
      <c r="N63" s="611"/>
    </row>
    <row r="64" spans="1:16" s="473" customFormat="1" ht="12" customHeight="1">
      <c r="A64" s="1"/>
      <c r="B64" s="1"/>
      <c r="C64" s="1"/>
      <c r="J64" s="612"/>
      <c r="K64" s="612"/>
      <c r="L64" s="612"/>
      <c r="M64" s="612"/>
      <c r="N64" s="612"/>
    </row>
    <row r="65" spans="1:10" s="473" customFormat="1" ht="12" customHeight="1">
      <c r="A65" s="1"/>
      <c r="B65" s="1"/>
      <c r="C65" s="1"/>
    </row>
    <row r="66" spans="1:10" s="473" customFormat="1" ht="12" customHeight="1">
      <c r="A66" s="1"/>
      <c r="B66" s="1"/>
      <c r="C66" s="1"/>
    </row>
    <row r="67" spans="1:10" s="473" customFormat="1" ht="12" customHeight="1">
      <c r="A67" s="1"/>
      <c r="B67" s="1"/>
      <c r="C67" s="1"/>
    </row>
    <row r="68" spans="1:10" s="473" customFormat="1" ht="12" customHeight="1">
      <c r="A68" s="1"/>
      <c r="B68" s="1"/>
      <c r="C68" s="1"/>
      <c r="J68" s="603"/>
    </row>
    <row r="69" spans="1:10" s="473" customFormat="1" ht="12" customHeight="1">
      <c r="A69" s="1"/>
      <c r="B69" s="1"/>
      <c r="C69" s="1"/>
      <c r="J69" s="603"/>
    </row>
    <row r="70" spans="1:10" s="473" customFormat="1" ht="12" customHeight="1">
      <c r="A70" s="1"/>
      <c r="B70" s="1"/>
      <c r="C70" s="1"/>
      <c r="J70" s="603"/>
    </row>
    <row r="71" spans="1:10" ht="12" customHeight="1">
      <c r="A71" s="1"/>
      <c r="J71" s="63"/>
    </row>
    <row r="72" spans="1:10" ht="12" customHeight="1">
      <c r="A72" s="1"/>
      <c r="J72" s="63"/>
    </row>
    <row r="73" spans="1:10" ht="12" customHeight="1">
      <c r="A73" s="1"/>
    </row>
    <row r="74" spans="1:10" ht="12" customHeight="1">
      <c r="A74" s="1"/>
    </row>
    <row r="75" spans="1:10" ht="12" customHeight="1">
      <c r="A75" s="1"/>
    </row>
    <row r="76" spans="1:10" ht="12" customHeight="1">
      <c r="A76" s="1"/>
    </row>
  </sheetData>
  <mergeCells count="4">
    <mergeCell ref="J3:K3"/>
    <mergeCell ref="L3:N3"/>
    <mergeCell ref="J32:K32"/>
    <mergeCell ref="L32:N32"/>
  </mergeCells>
  <phoneticPr fontId="7" type="noConversion"/>
  <hyperlinks>
    <hyperlink ref="B5" location="FH!A1" display="재무현황" xr:uid="{00000000-0004-0000-0D00-000000000000}"/>
    <hyperlink ref="B7" location="FS!A1" display="요약재무상태표 (Selected Balance sheet)" xr:uid="{00000000-0004-0000-0D00-000001000000}"/>
    <hyperlink ref="C15" location="Stability!A1" display="재무 안정성 (Financial Stability)" xr:uid="{00000000-0004-0000-0D00-000002000000}"/>
    <hyperlink ref="C16" location="Productivity!A1" display="생산성 / 경영효율 (Productivity / Operating Efficiency)" xr:uid="{00000000-0004-0000-0D00-000003000000}"/>
    <hyperlink ref="C20" location="'Premium Income by P.T.(GA+SA)'!A1" display="상품별 수입보험료 (Premium Income)" xr:uid="{00000000-0004-0000-0D00-000004000000}"/>
    <hyperlink ref="C21" location="'Initial P. by P.T.'!A1" display="상품별 초회보험료 (Initial Premium)" xr:uid="{00000000-0004-0000-0D00-000005000000}"/>
    <hyperlink ref="C22" location="'First-year P. by P.T.'!A1" display="상품별 초년도보험료 (First Year Premium)" xr:uid="{00000000-0004-0000-0D00-000006000000}"/>
    <hyperlink ref="C26" location="'Premium Income by D.C.(GA+SA)'!A1" display="채널별 수입보험료 (Premium Income)" xr:uid="{00000000-0004-0000-0D00-000007000000}"/>
    <hyperlink ref="C27" location="'First-year P. by D.C'!A1" display="채널별 초년도보험료 (First Year Premium)" xr:uid="{00000000-0004-0000-0D00-000008000000}"/>
    <hyperlink ref="C31" location="'&gt;Loan'!A1" display="대출 (Loan)/ 자산건전성 (Asset Quality of Loan)" xr:uid="{00000000-0004-0000-0D00-000009000000}"/>
    <hyperlink ref="C32" location="'&gt;Bond'!A1" display="채권 (Bond)" xr:uid="{00000000-0004-0000-0D00-00000A000000}"/>
    <hyperlink ref="C35" location="'BS  K-IFRS'!A1" display="재무상태표 (Balance Sheet - KIFRS)" xr:uid="{00000000-0004-0000-0D00-00000B000000}"/>
    <hyperlink ref="C36" location="'IS  K-IFRS'!A1" display="손익계산서 (Income Statement - KIFRS)" xr:uid="{00000000-0004-0000-0D00-00000C000000}"/>
    <hyperlink ref="B8" location="FS!A1" display="요약손익계산서 (Selected Income Statement)" xr:uid="{00000000-0004-0000-0D00-00000D000000}"/>
    <hyperlink ref="B10" location="CSM!A1" display="RA, CSM, BEL Movement" xr:uid="{00000000-0004-0000-0D00-00000E000000}"/>
    <hyperlink ref="B11" location="CSM!A1" display="신계약 CSM (New Business CSM)" xr:uid="{00000000-0004-0000-0D00-00000F000000}"/>
    <hyperlink ref="B13" location="'Sources of Margin'!A1" display="이원별손익" xr:uid="{00000000-0004-0000-0D00-000010000000}"/>
    <hyperlink ref="B12" location="CSM!A1" display="신계약 CSM 배수 (New Business CSM Margin)" xr:uid="{00000000-0004-0000-0D00-000011000000}"/>
    <hyperlink ref="C19" location="'APE by P.T'!A1" display="상품별 APE (Annualized Premium Equivalent (APE))" xr:uid="{00000000-0004-0000-0D00-000012000000}"/>
    <hyperlink ref="C25" location="'APE by D.C'!A1" display="채널별 APE (Annualized Premium Equivalent (APE))" xr:uid="{00000000-0004-0000-0D00-000013000000}"/>
  </hyperlinks>
  <pageMargins left="0.19685039370078741" right="0.19685039370078741" top="0.74803149606299213" bottom="0.74803149606299213" header="0.31496062992125984" footer="0.31496062992125984"/>
  <pageSetup paperSize="9" scale="6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fitToPage="1"/>
  </sheetPr>
  <dimension ref="A1:V100"/>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20.7109375" style="1" customWidth="1"/>
    <col min="10" max="14" width="10.7109375" style="1" customWidth="1"/>
    <col min="15" max="16" width="8.7109375" style="1" customWidth="1"/>
    <col min="17" max="16384" width="9.140625" style="1"/>
  </cols>
  <sheetData>
    <row r="1" spans="1:18" s="3" customFormat="1" ht="24" customHeight="1">
      <c r="A1" s="6"/>
      <c r="F1" s="85" t="s">
        <v>119</v>
      </c>
      <c r="G1" s="4"/>
    </row>
    <row r="2" spans="1:18" ht="12" customHeight="1">
      <c r="A2" s="133"/>
      <c r="B2" s="134"/>
      <c r="C2" s="134"/>
      <c r="F2" s="104" t="s">
        <v>80</v>
      </c>
    </row>
    <row r="3" spans="1:18" ht="12" customHeight="1">
      <c r="A3" s="133" t="s">
        <v>27</v>
      </c>
      <c r="B3" s="134"/>
      <c r="C3" s="134"/>
      <c r="F3" s="55"/>
      <c r="G3" s="56"/>
      <c r="H3" s="56"/>
      <c r="I3" s="57"/>
      <c r="J3" s="814" t="s">
        <v>82</v>
      </c>
      <c r="K3" s="815"/>
      <c r="L3" s="816" t="s">
        <v>83</v>
      </c>
      <c r="M3" s="814"/>
      <c r="N3" s="815"/>
      <c r="O3" s="106"/>
      <c r="P3" s="106"/>
    </row>
    <row r="4" spans="1:18" ht="12" customHeight="1">
      <c r="A4" s="133"/>
      <c r="B4" s="134"/>
      <c r="C4" s="134"/>
      <c r="F4" s="77" t="s">
        <v>81</v>
      </c>
      <c r="G4" s="108"/>
      <c r="H4" s="108"/>
      <c r="I4" s="109"/>
      <c r="J4" s="771" t="s">
        <v>381</v>
      </c>
      <c r="K4" s="178" t="s">
        <v>382</v>
      </c>
      <c r="L4" s="771" t="s">
        <v>381</v>
      </c>
      <c r="M4" s="248" t="s">
        <v>382</v>
      </c>
      <c r="N4" s="254">
        <v>46112</v>
      </c>
      <c r="O4" s="251" t="s">
        <v>23</v>
      </c>
      <c r="P4" s="103" t="s">
        <v>24</v>
      </c>
    </row>
    <row r="5" spans="1:18" ht="12" customHeight="1">
      <c r="A5" s="143"/>
      <c r="B5" s="133" t="s">
        <v>155</v>
      </c>
      <c r="C5" s="133"/>
      <c r="F5" s="122" t="s">
        <v>109</v>
      </c>
      <c r="G5" s="122"/>
      <c r="H5" s="122"/>
      <c r="I5" s="123"/>
      <c r="J5" s="68">
        <v>70.04078424799998</v>
      </c>
      <c r="K5" s="69">
        <v>75.851502926000009</v>
      </c>
      <c r="L5" s="136">
        <v>34.577131598999991</v>
      </c>
      <c r="M5" s="68">
        <v>37.750268795000004</v>
      </c>
      <c r="N5" s="69">
        <v>35.463652648999982</v>
      </c>
      <c r="O5" s="70">
        <f>IF(J5/K5&lt;0,"n.a.",IF(K5&gt;0,ROUND(J5,4)/ROUND(K5,4)-1,IF(K5&lt;0,"n.a.")))</f>
        <v>-7.6606263554445109E-2</v>
      </c>
      <c r="P5" s="70">
        <f>IF(L5/N5&lt;0,"n.a.",IF(N5&gt;0,ROUND(L5,4)/ROUND(N5,4)-1,IF(N5&lt;0,"n.a.")))</f>
        <v>-2.5000211483855339E-2</v>
      </c>
      <c r="Q5" s="31"/>
    </row>
    <row r="6" spans="1:18" ht="12" customHeight="1">
      <c r="A6" s="143"/>
      <c r="B6" s="142"/>
      <c r="C6" s="134"/>
      <c r="F6" s="122" t="s">
        <v>114</v>
      </c>
      <c r="G6" s="122"/>
      <c r="H6" s="122"/>
      <c r="I6" s="123"/>
      <c r="J6" s="68">
        <v>12.149488369</v>
      </c>
      <c r="K6" s="69">
        <v>14.849150738000001</v>
      </c>
      <c r="L6" s="136">
        <v>5.9633130670000005</v>
      </c>
      <c r="M6" s="68">
        <v>7.2857800800000003</v>
      </c>
      <c r="N6" s="69">
        <v>6.1861753019999988</v>
      </c>
      <c r="O6" s="70">
        <f>IF(J6/K6&lt;0,"n.a.",IF(K6&gt;0,ROUND(J6,4)/ROUND(K6,4)-1,IF(K6&lt;0,"n.a.")))</f>
        <v>-0.18180777415618354</v>
      </c>
      <c r="P6" s="70">
        <f>IF(L6/N6&lt;0,"n.a.",IF(N6&gt;0,ROUND(L6,4)/ROUND(N6,4)-1,IF(N6&lt;0,"n.a.")))</f>
        <v>-3.603181274449585E-2</v>
      </c>
      <c r="Q6" s="31"/>
    </row>
    <row r="7" spans="1:18" ht="12" customHeight="1">
      <c r="A7" s="143"/>
      <c r="B7" s="142" t="s">
        <v>212</v>
      </c>
      <c r="C7" s="134"/>
      <c r="F7" s="122" t="s">
        <v>115</v>
      </c>
      <c r="G7" s="122"/>
      <c r="H7" s="122"/>
      <c r="I7" s="123"/>
      <c r="J7" s="68">
        <v>137.38495850999999</v>
      </c>
      <c r="K7" s="69">
        <v>227.68305913899997</v>
      </c>
      <c r="L7" s="136">
        <v>67.790209755999996</v>
      </c>
      <c r="M7" s="68">
        <v>111.57234214299999</v>
      </c>
      <c r="N7" s="69">
        <v>69.594748753999994</v>
      </c>
      <c r="O7" s="70">
        <f>IF(J7/K7&lt;0,"n.a.",IF(K7&gt;0,ROUND(J7,4)/ROUND(K7,4)-1,IF(K7&lt;0,"n.a.")))</f>
        <v>-0.39659553124496283</v>
      </c>
      <c r="P7" s="70">
        <f>IF(L7/N7&lt;0,"n.a.",IF(N7&gt;0,ROUND(L7,4)/ROUND(N7,4)-1,IF(N7&lt;0,"n.a.")))</f>
        <v>-2.5928698593427391E-2</v>
      </c>
      <c r="Q7" s="31"/>
    </row>
    <row r="8" spans="1:18" ht="12" customHeight="1">
      <c r="A8" s="143"/>
      <c r="B8" s="142" t="s">
        <v>213</v>
      </c>
      <c r="C8" s="134"/>
      <c r="F8" s="122" t="s">
        <v>116</v>
      </c>
      <c r="G8" s="122"/>
      <c r="H8" s="122"/>
      <c r="I8" s="123"/>
      <c r="J8" s="68">
        <v>613.69794631199989</v>
      </c>
      <c r="K8" s="69">
        <v>100.05069530699998</v>
      </c>
      <c r="L8" s="136">
        <v>392.544879874</v>
      </c>
      <c r="M8" s="68">
        <v>64.039958485999989</v>
      </c>
      <c r="N8" s="69">
        <v>221.15306643799997</v>
      </c>
      <c r="O8" s="70">
        <f>IF(J8/K8&lt;0,"n.a.",IF(K8&gt;0,ROUND(J8,4)/ROUND(K8,4)-1,IF(K8&lt;0,"n.a.")))</f>
        <v>5.1338691283519253</v>
      </c>
      <c r="P8" s="70">
        <f>IF(L8/N8&lt;0,"n.a.",IF(N8&gt;0,ROUND(L8,4)/ROUND(N8,4)-1,IF(N8&lt;0,"n.a.")))</f>
        <v>0.77499162344999917</v>
      </c>
      <c r="Q8" s="205"/>
    </row>
    <row r="9" spans="1:18" ht="12" customHeight="1">
      <c r="A9" s="143"/>
      <c r="B9" s="142"/>
      <c r="C9" s="134"/>
      <c r="F9" s="124" t="s">
        <v>117</v>
      </c>
      <c r="G9" s="124"/>
      <c r="H9" s="124"/>
      <c r="I9" s="125"/>
      <c r="J9" s="71">
        <f>SUM(J5:J8)</f>
        <v>833.27317743899982</v>
      </c>
      <c r="K9" s="164">
        <f>SUM(K5:K8)</f>
        <v>418.43440810999994</v>
      </c>
      <c r="L9" s="137">
        <f>SUM(L5:L8)</f>
        <v>500.87553429599996</v>
      </c>
      <c r="M9" s="71">
        <f>SUM(M5:M8)</f>
        <v>220.64834950399998</v>
      </c>
      <c r="N9" s="164">
        <f>SUM(N5:N8)</f>
        <v>332.39764314299993</v>
      </c>
      <c r="O9" s="72">
        <f>IF(J9/K9&lt;0,"n.a.",IF(K9&gt;0,ROUND(J9,4)/ROUND(K9,4)-1,IF(K9&lt;0,"n.a.")))</f>
        <v>0.99140701624914196</v>
      </c>
      <c r="P9" s="72">
        <f>IF(L9/N9&lt;0,"n.a.",IF(N9&gt;0,ROUND(L9,4)/ROUND(N9,4)-1,IF(N9&lt;0,"n.a.")))</f>
        <v>0.50685654770070543</v>
      </c>
      <c r="Q9" s="205"/>
      <c r="R9" s="205"/>
    </row>
    <row r="10" spans="1:18" ht="12" customHeight="1">
      <c r="A10" s="133"/>
      <c r="B10" s="142" t="s">
        <v>171</v>
      </c>
      <c r="C10" s="134"/>
      <c r="F10" s="7"/>
      <c r="G10" s="7"/>
      <c r="H10" s="7"/>
      <c r="I10" s="7"/>
      <c r="J10" s="21"/>
      <c r="K10" s="21"/>
      <c r="O10" s="22"/>
      <c r="P10" s="23"/>
    </row>
    <row r="11" spans="1:18" ht="12" customHeight="1">
      <c r="A11" s="133"/>
      <c r="B11" s="142" t="s">
        <v>166</v>
      </c>
      <c r="C11" s="134"/>
      <c r="F11" s="2" t="s">
        <v>120</v>
      </c>
      <c r="Q11" s="31"/>
    </row>
    <row r="12" spans="1:18" ht="12" customHeight="1">
      <c r="A12" s="133"/>
      <c r="B12" s="142" t="s">
        <v>219</v>
      </c>
      <c r="C12" s="134"/>
      <c r="F12" s="2"/>
    </row>
    <row r="13" spans="1:18" ht="12" customHeight="1">
      <c r="A13" s="133"/>
      <c r="B13" s="142"/>
      <c r="C13" s="134"/>
      <c r="F13" s="55"/>
      <c r="G13" s="56"/>
      <c r="H13" s="56"/>
      <c r="I13" s="57"/>
      <c r="J13" s="814" t="s">
        <v>82</v>
      </c>
      <c r="K13" s="815"/>
      <c r="L13" s="816" t="s">
        <v>83</v>
      </c>
      <c r="M13" s="814"/>
      <c r="N13" s="815"/>
      <c r="O13" s="106"/>
      <c r="P13" s="106"/>
    </row>
    <row r="14" spans="1:18" ht="12" customHeight="1">
      <c r="A14" s="133"/>
      <c r="B14" s="133" t="s">
        <v>173</v>
      </c>
      <c r="C14" s="134"/>
      <c r="F14" s="77" t="s">
        <v>81</v>
      </c>
      <c r="G14" s="108"/>
      <c r="H14" s="108"/>
      <c r="I14" s="109"/>
      <c r="J14" s="771" t="s">
        <v>381</v>
      </c>
      <c r="K14" s="178" t="s">
        <v>382</v>
      </c>
      <c r="L14" s="771" t="s">
        <v>381</v>
      </c>
      <c r="M14" s="248" t="s">
        <v>382</v>
      </c>
      <c r="N14" s="254">
        <v>46112</v>
      </c>
      <c r="O14" s="251" t="s">
        <v>23</v>
      </c>
      <c r="P14" s="103" t="s">
        <v>24</v>
      </c>
      <c r="Q14" s="206"/>
    </row>
    <row r="15" spans="1:18" ht="12" customHeight="1">
      <c r="A15" s="133"/>
      <c r="B15" s="135"/>
      <c r="C15" s="142" t="s">
        <v>40</v>
      </c>
      <c r="F15" s="122" t="s">
        <v>109</v>
      </c>
      <c r="G15" s="122"/>
      <c r="H15" s="122"/>
      <c r="I15" s="123"/>
      <c r="J15" s="68">
        <v>4.9284122479999999</v>
      </c>
      <c r="K15" s="69">
        <v>2.5153037519999999</v>
      </c>
      <c r="L15" s="136">
        <v>2.6140487490000002</v>
      </c>
      <c r="M15" s="68">
        <v>1.3242863250000001</v>
      </c>
      <c r="N15" s="69">
        <v>2.3143634989999997</v>
      </c>
      <c r="O15" s="70">
        <f>IF(J15/K15&lt;0,"n.a.",IF(K15&gt;0,ROUND(J15,4)/ROUND(K15,4)-1,IF(K15&lt;0,"n.a.")))</f>
        <v>0.9593686637776806</v>
      </c>
      <c r="P15" s="70">
        <f>IF(L15/N15&lt;0,"n.a.",IF(N15&gt;0,ROUND(L15,4)/ROUND(N15,4)-1,IF(N15&lt;0,"n.a.")))</f>
        <v>0.12945039751123399</v>
      </c>
      <c r="Q15" s="31" ph="1"/>
    </row>
    <row r="16" spans="1:18" ht="12" customHeight="1">
      <c r="A16" s="133"/>
      <c r="B16" s="133"/>
      <c r="C16" s="142" t="s">
        <v>41</v>
      </c>
      <c r="F16" s="122" t="s">
        <v>114</v>
      </c>
      <c r="G16" s="122"/>
      <c r="H16" s="122"/>
      <c r="I16" s="123"/>
      <c r="J16" s="68">
        <v>0.18887251299999999</v>
      </c>
      <c r="K16" s="793">
        <v>0.16579274799999999</v>
      </c>
      <c r="L16" s="136">
        <v>0.125814596</v>
      </c>
      <c r="M16" s="794">
        <v>7.6896037E-2</v>
      </c>
      <c r="N16" s="69">
        <v>6.3057917000000005E-2</v>
      </c>
      <c r="O16" s="243">
        <f>IF(J16/K16&lt;0,"n.a.",IF(K16&gt;0,ROUND(J16,4)/ROUND(K16,4)-1,IF(K16&lt;0,"n.a.")))</f>
        <v>0.13932448733413749</v>
      </c>
      <c r="P16" s="243">
        <f>IF(L16/N16&lt;0,"n.a.",IF(N16&gt;0,ROUND(L16,4)/ROUND(N16,4)-1,IF(N16&lt;0,"n.a.")))</f>
        <v>0.99366085578446883</v>
      </c>
      <c r="Q16" s="31"/>
    </row>
    <row r="17" spans="1:22" ht="12" customHeight="1">
      <c r="A17" s="133"/>
      <c r="B17" s="133"/>
      <c r="C17" s="142"/>
      <c r="F17" s="122" t="s">
        <v>115</v>
      </c>
      <c r="G17" s="122"/>
      <c r="H17" s="122"/>
      <c r="I17" s="123"/>
      <c r="J17" s="68">
        <v>0.80244044199999998</v>
      </c>
      <c r="K17" s="793">
        <v>1.4105716549999998</v>
      </c>
      <c r="L17" s="136">
        <v>0.34289234699999999</v>
      </c>
      <c r="M17" s="794">
        <v>0.69915938099999997</v>
      </c>
      <c r="N17" s="69">
        <v>0.45954809499999999</v>
      </c>
      <c r="O17" s="243">
        <f>IF(J17/K17&lt;0,"n.a.",IF(K17&gt;0,ROUND(J17,4)/ROUND(K17,4)-1,IF(K17&lt;0,"n.a.")))</f>
        <v>-0.43116404366936056</v>
      </c>
      <c r="P17" s="243">
        <f>IF(L17/N17&lt;0,"n.a.",IF(N17&gt;0,ROUND(L17,4)/ROUND(N17,4)-1,IF(N17&lt;0,"n.a.")))</f>
        <v>-0.25375408052230697</v>
      </c>
      <c r="Q17" s="31"/>
    </row>
    <row r="18" spans="1:22" s="38" customFormat="1" ht="12" customHeight="1">
      <c r="A18" s="133"/>
      <c r="B18" s="133" t="s">
        <v>176</v>
      </c>
      <c r="C18" s="142"/>
      <c r="D18" s="1"/>
      <c r="E18" s="1"/>
      <c r="F18" s="122" t="s">
        <v>116</v>
      </c>
      <c r="G18" s="122"/>
      <c r="H18" s="122"/>
      <c r="I18" s="123"/>
      <c r="J18" s="68">
        <v>567.24689346299999</v>
      </c>
      <c r="K18" s="69">
        <v>25.823445519</v>
      </c>
      <c r="L18" s="136">
        <v>371.64908677400001</v>
      </c>
      <c r="M18" s="68">
        <v>24.098742510000001</v>
      </c>
      <c r="N18" s="69">
        <v>195.59780668899998</v>
      </c>
      <c r="O18" s="70">
        <f>IF(J18/K18&lt;0,"n.a.",IF(K18&gt;0,ROUND(J18,4)/ROUND(K18,4)-1,IF(K18&lt;0,"n.a.")))</f>
        <v>20.966390947745069</v>
      </c>
      <c r="P18" s="70">
        <f>IF(L18/N18&lt;0,"n.a.",IF(N18&gt;0,ROUND(L18,4)/ROUND(N18,4)-1,IF(N18&lt;0,"n.a.")))</f>
        <v>0.90006789442417023</v>
      </c>
      <c r="Q18" s="31"/>
    </row>
    <row r="19" spans="1:22" ht="12" customHeight="1">
      <c r="A19" s="133"/>
      <c r="B19" s="133"/>
      <c r="C19" s="142" t="s">
        <v>33</v>
      </c>
      <c r="F19" s="124" t="s">
        <v>117</v>
      </c>
      <c r="G19" s="124"/>
      <c r="H19" s="124"/>
      <c r="I19" s="125"/>
      <c r="J19" s="71">
        <f>SUM(J15:J18)</f>
        <v>573.16661866599998</v>
      </c>
      <c r="K19" s="164">
        <f>SUM(K15:K18)</f>
        <v>29.915113674000001</v>
      </c>
      <c r="L19" s="137">
        <f>SUM(L15:L18)</f>
        <v>374.73184246599999</v>
      </c>
      <c r="M19" s="71">
        <f>SUM(M15:M18)</f>
        <v>26.199084253000002</v>
      </c>
      <c r="N19" s="164">
        <f>SUM(N15:N18)</f>
        <v>198.43477619999999</v>
      </c>
      <c r="O19" s="72">
        <f>IF(J19/K19&lt;0,"n.a.",IF(K19&gt;0,ROUND(J19,4)/ROUND(K19,4)-1,IF(K19&lt;0,"n.a.")))</f>
        <v>18.159775497992655</v>
      </c>
      <c r="P19" s="72">
        <f>IF(L19/N19&lt;0,"n.a.",IF(N19&gt;0,ROUND(L19,4)/ROUND(N19,4)-1,IF(N19&lt;0,"n.a.")))</f>
        <v>0.88843791512375869</v>
      </c>
      <c r="Q19" s="205"/>
    </row>
    <row r="20" spans="1:22" ht="12" customHeight="1">
      <c r="A20" s="133"/>
      <c r="B20" s="133"/>
      <c r="C20" s="142" t="s">
        <v>29</v>
      </c>
    </row>
    <row r="21" spans="1:22" ht="12" customHeight="1">
      <c r="A21" s="133"/>
      <c r="B21" s="133"/>
      <c r="C21" s="142" t="s">
        <v>30</v>
      </c>
      <c r="F21" s="2" t="s">
        <v>121</v>
      </c>
    </row>
    <row r="22" spans="1:22" ht="12" customHeight="1">
      <c r="A22" s="133"/>
      <c r="B22" s="133"/>
      <c r="C22" s="142" t="s">
        <v>31</v>
      </c>
      <c r="F22" s="2"/>
    </row>
    <row r="23" spans="1:22" ht="12" customHeight="1">
      <c r="A23" s="133"/>
      <c r="B23" s="133"/>
      <c r="C23" s="142"/>
      <c r="F23" s="55"/>
      <c r="G23" s="56"/>
      <c r="H23" s="56"/>
      <c r="I23" s="57"/>
      <c r="J23" s="814" t="s">
        <v>82</v>
      </c>
      <c r="K23" s="815"/>
      <c r="L23" s="816" t="s">
        <v>83</v>
      </c>
      <c r="M23" s="814"/>
      <c r="N23" s="815"/>
      <c r="O23" s="106"/>
      <c r="P23" s="106"/>
      <c r="Q23" s="280"/>
    </row>
    <row r="24" spans="1:22" ht="12" customHeight="1">
      <c r="A24" s="133"/>
      <c r="B24" s="133" t="s">
        <v>181</v>
      </c>
      <c r="C24" s="142"/>
      <c r="F24" s="77" t="s">
        <v>81</v>
      </c>
      <c r="G24" s="108"/>
      <c r="H24" s="108"/>
      <c r="I24" s="109"/>
      <c r="J24" s="771" t="s">
        <v>381</v>
      </c>
      <c r="K24" s="178" t="s">
        <v>382</v>
      </c>
      <c r="L24" s="771" t="s">
        <v>381</v>
      </c>
      <c r="M24" s="248" t="s">
        <v>382</v>
      </c>
      <c r="N24" s="254">
        <v>46112</v>
      </c>
      <c r="O24" s="251" t="s">
        <v>23</v>
      </c>
      <c r="P24" s="103" t="s">
        <v>24</v>
      </c>
      <c r="Q24" s="206"/>
    </row>
    <row r="25" spans="1:22" ht="12" customHeight="1">
      <c r="A25" s="133"/>
      <c r="B25" s="133"/>
      <c r="C25" s="142" t="s">
        <v>32</v>
      </c>
      <c r="F25" s="122" t="s">
        <v>109</v>
      </c>
      <c r="G25" s="122"/>
      <c r="H25" s="122"/>
      <c r="I25" s="123"/>
      <c r="J25" s="68">
        <v>65.112371999999979</v>
      </c>
      <c r="K25" s="69">
        <v>73.336199174000043</v>
      </c>
      <c r="L25" s="136">
        <v>31.963082849999992</v>
      </c>
      <c r="M25" s="68">
        <v>36.425982470000008</v>
      </c>
      <c r="N25" s="69">
        <v>33.14928914999998</v>
      </c>
      <c r="O25" s="70">
        <f>IF(J25/K25&lt;0,"n.a.",IF(K25&gt;0,ROUND(J25,4)/ROUND(K25,4)-1,IF(K25&lt;0,"n.a.")))</f>
        <v>-0.11213834368292885</v>
      </c>
      <c r="P25" s="70">
        <f>IF(L25/N25&lt;0,"n.a.",IF(N25&gt;0,ROUND(L25,4)/ROUND(N25,4)-1,IF(N25&lt;0,"n.a.")))</f>
        <v>-3.5783561040504508E-2</v>
      </c>
      <c r="Q25" s="31"/>
      <c r="S25" s="548"/>
      <c r="T25" s="548"/>
      <c r="U25" s="548"/>
      <c r="V25" s="548"/>
    </row>
    <row r="26" spans="1:22" ht="12" customHeight="1">
      <c r="A26" s="133"/>
      <c r="B26" s="133"/>
      <c r="C26" s="142" t="s">
        <v>34</v>
      </c>
      <c r="F26" s="122" t="s">
        <v>114</v>
      </c>
      <c r="G26" s="122"/>
      <c r="H26" s="122"/>
      <c r="I26" s="123"/>
      <c r="J26" s="68">
        <v>11.960615856</v>
      </c>
      <c r="K26" s="69">
        <v>14.683357989999999</v>
      </c>
      <c r="L26" s="136">
        <v>5.8374984710000009</v>
      </c>
      <c r="M26" s="68">
        <v>7.2088840430000012</v>
      </c>
      <c r="N26" s="69">
        <v>6.1231173849999987</v>
      </c>
      <c r="O26" s="70">
        <f>IF(J26/K26&lt;0,"n.a.",IF(K26&gt;0,ROUND(J26,4)/ROUND(K26,4)-1,IF(K26&lt;0,"n.a.")))</f>
        <v>-0.18543389133307009</v>
      </c>
      <c r="P26" s="70">
        <f>IF(L26/N26&lt;0,"n.a.",IF(N26&gt;0,ROUND(L26,4)/ROUND(N26,4)-1,IF(N26&lt;0,"n.a.")))</f>
        <v>-4.6643040290049065E-2</v>
      </c>
      <c r="Q26" s="31"/>
      <c r="S26" s="627"/>
      <c r="T26" s="548"/>
      <c r="U26" s="627"/>
      <c r="V26" s="548"/>
    </row>
    <row r="27" spans="1:22" ht="12" customHeight="1">
      <c r="A27" s="133"/>
      <c r="B27" s="133"/>
      <c r="C27" s="142" t="s">
        <v>35</v>
      </c>
      <c r="F27" s="122" t="s">
        <v>115</v>
      </c>
      <c r="G27" s="122"/>
      <c r="H27" s="122"/>
      <c r="I27" s="123"/>
      <c r="J27" s="68">
        <v>136.58251806800001</v>
      </c>
      <c r="K27" s="69">
        <v>226.27248748399998</v>
      </c>
      <c r="L27" s="136">
        <v>67.447317408999993</v>
      </c>
      <c r="M27" s="68">
        <v>110.87318276199998</v>
      </c>
      <c r="N27" s="69">
        <v>69.135200659000006</v>
      </c>
      <c r="O27" s="70">
        <f>IF(J27/K27&lt;0,"n.a.",IF(K27&gt;0,ROUND(J27,4)/ROUND(K27,4)-1,IF(K27&lt;0,"n.a.")))</f>
        <v>-0.39638047045045244</v>
      </c>
      <c r="P27" s="70">
        <f>IF(L27/N27&lt;0,"n.a.",IF(N27&gt;0,ROUND(L27,4)/ROUND(N27,4)-1,IF(N27&lt;0,"n.a.")))</f>
        <v>-2.4414480611902434E-2</v>
      </c>
      <c r="Q27" s="31"/>
      <c r="S27" s="627"/>
      <c r="T27" s="548"/>
      <c r="U27" s="627"/>
      <c r="V27" s="548"/>
    </row>
    <row r="28" spans="1:22" ht="12" customHeight="1">
      <c r="A28" s="133"/>
      <c r="B28" s="133"/>
      <c r="C28" s="142"/>
      <c r="F28" s="122" t="s">
        <v>116</v>
      </c>
      <c r="G28" s="122"/>
      <c r="H28" s="122"/>
      <c r="I28" s="123"/>
      <c r="J28" s="68">
        <v>46.451052849</v>
      </c>
      <c r="K28" s="69">
        <v>74.227249787999995</v>
      </c>
      <c r="L28" s="136">
        <v>20.895793099999999</v>
      </c>
      <c r="M28" s="68">
        <v>39.941215975999995</v>
      </c>
      <c r="N28" s="69">
        <v>25.555259748999998</v>
      </c>
      <c r="O28" s="70">
        <f>IF(J28/K28&lt;0,"n.a.",IF(K28&gt;0,ROUND(J28,4)/ROUND(K28,4)-1,IF(K28&lt;0,"n.a.")))</f>
        <v>-0.3742037959130885</v>
      </c>
      <c r="P28" s="70">
        <f>IF(L28/N28&lt;0,"n.a.",IF(N28&gt;0,ROUND(L28,4)/ROUND(N28,4)-1,IF(N28&lt;0,"n.a.")))</f>
        <v>-0.18233008417040686</v>
      </c>
      <c r="Q28" s="31"/>
      <c r="S28" s="627"/>
      <c r="T28" s="548"/>
      <c r="U28" s="627"/>
      <c r="V28" s="548"/>
    </row>
    <row r="29" spans="1:22" ht="12" customHeight="1">
      <c r="A29" s="133"/>
      <c r="B29" s="133"/>
      <c r="C29" s="142"/>
      <c r="F29" s="124" t="s">
        <v>117</v>
      </c>
      <c r="G29" s="124"/>
      <c r="H29" s="124"/>
      <c r="I29" s="125"/>
      <c r="J29" s="71">
        <f>SUM(J25:J28)</f>
        <v>260.10655877300002</v>
      </c>
      <c r="K29" s="164">
        <f>SUM(K25:K28)</f>
        <v>388.519294436</v>
      </c>
      <c r="L29" s="137">
        <f>SUM(L25:L28)</f>
        <v>126.14369182999999</v>
      </c>
      <c r="M29" s="71">
        <f>SUM(M25:M28)</f>
        <v>194.44926525099999</v>
      </c>
      <c r="N29" s="164">
        <f>SUM(N25:N28)</f>
        <v>133.96286694299997</v>
      </c>
      <c r="O29" s="72">
        <f>IF(J29/K29&lt;0,"n.a.",IF(K29&gt;0,ROUND(J29,4)/ROUND(K29,4)-1,IF(K29&lt;0,"n.a.")))</f>
        <v>-0.33051820076891925</v>
      </c>
      <c r="P29" s="72">
        <f>IF(L29/N29&lt;0,"n.a.",IF(N29&gt;0,ROUND(L29,4)/ROUND(N29,4)-1,IF(N29&lt;0,"n.a.")))</f>
        <v>-5.8368399011965222E-2</v>
      </c>
      <c r="Q29" s="205"/>
      <c r="S29" s="627"/>
      <c r="T29" s="548"/>
      <c r="U29" s="627"/>
      <c r="V29" s="548"/>
    </row>
    <row r="30" spans="1:22" s="3" customFormat="1" ht="12" customHeight="1">
      <c r="A30" s="133"/>
      <c r="B30" s="133" t="s">
        <v>185</v>
      </c>
      <c r="C30" s="142"/>
      <c r="D30" s="1"/>
      <c r="E30" s="1"/>
      <c r="F30" s="7"/>
      <c r="G30" s="7"/>
      <c r="H30" s="7"/>
      <c r="I30" s="7"/>
      <c r="J30" s="21"/>
      <c r="K30" s="21"/>
      <c r="L30" s="21"/>
      <c r="M30" s="21"/>
      <c r="N30" s="21"/>
      <c r="O30" s="22"/>
      <c r="P30" s="23"/>
      <c r="S30" s="627"/>
      <c r="T30" s="597"/>
      <c r="U30" s="627"/>
      <c r="V30" s="597"/>
    </row>
    <row r="31" spans="1:22" ht="12" customHeight="1">
      <c r="A31" s="133"/>
      <c r="B31" s="133"/>
      <c r="C31" s="142" t="s">
        <v>147</v>
      </c>
      <c r="F31" s="1" t="s">
        <v>238</v>
      </c>
      <c r="H31" s="230"/>
      <c r="S31" s="627"/>
      <c r="T31" s="548"/>
      <c r="U31" s="627"/>
      <c r="V31" s="548"/>
    </row>
    <row r="32" spans="1:22" ht="12" customHeight="1">
      <c r="A32" s="133"/>
      <c r="B32" s="133"/>
      <c r="C32" s="142" t="s">
        <v>36</v>
      </c>
      <c r="S32" s="627"/>
      <c r="T32" s="548"/>
      <c r="U32" s="627"/>
      <c r="V32" s="548"/>
    </row>
    <row r="33" spans="1:22" ht="12" customHeight="1">
      <c r="A33" s="133"/>
      <c r="B33" s="133"/>
      <c r="C33" s="142"/>
      <c r="F33" s="7"/>
      <c r="S33" s="628"/>
      <c r="T33" s="548"/>
      <c r="U33" s="628"/>
      <c r="V33" s="548"/>
    </row>
    <row r="34" spans="1:22" ht="12" customHeight="1">
      <c r="A34" s="133"/>
      <c r="B34" s="133" t="s">
        <v>188</v>
      </c>
      <c r="C34" s="142"/>
      <c r="F34" s="7"/>
      <c r="I34" s="535"/>
      <c r="J34" s="541"/>
      <c r="K34" s="541"/>
      <c r="L34" s="541"/>
      <c r="M34" s="541"/>
      <c r="N34" s="541"/>
      <c r="O34" s="536"/>
      <c r="P34" s="536"/>
      <c r="S34" s="548"/>
      <c r="T34" s="548"/>
      <c r="U34" s="548"/>
      <c r="V34" s="548"/>
    </row>
    <row r="35" spans="1:22" ht="12" customHeight="1">
      <c r="A35" s="133"/>
      <c r="B35" s="133"/>
      <c r="C35" s="142" t="s">
        <v>37</v>
      </c>
      <c r="F35" s="7"/>
      <c r="J35" s="541"/>
      <c r="K35" s="541"/>
      <c r="L35" s="541"/>
      <c r="M35" s="541"/>
      <c r="N35" s="541"/>
      <c r="O35" s="536"/>
      <c r="P35" s="536"/>
      <c r="S35" s="548"/>
      <c r="T35" s="548"/>
      <c r="U35" s="548"/>
      <c r="V35" s="548"/>
    </row>
    <row r="36" spans="1:22" ht="12" customHeight="1">
      <c r="A36" s="133"/>
      <c r="B36" s="133"/>
      <c r="C36" s="142" t="s">
        <v>38</v>
      </c>
      <c r="F36" s="7"/>
      <c r="I36" s="535"/>
      <c r="J36" s="541"/>
      <c r="K36" s="541"/>
      <c r="L36" s="541"/>
      <c r="M36" s="541"/>
      <c r="N36" s="541"/>
      <c r="O36" s="536"/>
      <c r="P36" s="536"/>
    </row>
    <row r="37" spans="1:22" ht="12" customHeight="1">
      <c r="A37" s="25"/>
      <c r="J37" s="541"/>
      <c r="K37" s="541"/>
      <c r="L37" s="541"/>
      <c r="M37" s="541"/>
      <c r="N37" s="541"/>
      <c r="O37" s="536"/>
      <c r="P37" s="536"/>
    </row>
    <row r="38" spans="1:22" ht="12" customHeight="1">
      <c r="A38" s="25"/>
      <c r="F38" s="7"/>
      <c r="J38" s="541"/>
      <c r="K38" s="541"/>
      <c r="L38" s="541"/>
      <c r="M38" s="541"/>
      <c r="N38" s="541"/>
      <c r="O38" s="536"/>
      <c r="P38" s="536"/>
    </row>
    <row r="39" spans="1:22" ht="12" customHeight="1">
      <c r="A39" s="25"/>
      <c r="F39" s="7"/>
      <c r="J39" s="541"/>
      <c r="K39" s="541"/>
      <c r="L39" s="541"/>
      <c r="M39" s="541"/>
      <c r="N39" s="541"/>
      <c r="O39" s="536"/>
      <c r="P39" s="536"/>
    </row>
    <row r="40" spans="1:22" ht="12" customHeight="1">
      <c r="A40" s="25"/>
      <c r="F40" s="7"/>
      <c r="I40" s="535"/>
      <c r="J40" s="541"/>
      <c r="K40" s="541"/>
      <c r="L40" s="541"/>
      <c r="M40" s="541"/>
      <c r="N40" s="541"/>
      <c r="O40" s="536"/>
      <c r="P40" s="536"/>
    </row>
    <row r="41" spans="1:22" ht="12" customHeight="1">
      <c r="A41" s="25"/>
      <c r="F41" s="7"/>
      <c r="J41" s="541"/>
      <c r="K41" s="541"/>
      <c r="L41" s="541"/>
      <c r="M41" s="541"/>
      <c r="N41" s="541"/>
      <c r="O41" s="536"/>
      <c r="P41" s="536"/>
    </row>
    <row r="42" spans="1:22" ht="14.25">
      <c r="A42" s="25"/>
      <c r="F42" s="7"/>
      <c r="I42" s="535"/>
      <c r="J42" s="541"/>
      <c r="K42" s="541"/>
      <c r="L42" s="541"/>
      <c r="M42" s="541"/>
      <c r="N42" s="541"/>
      <c r="O42" s="536"/>
      <c r="P42" s="536"/>
    </row>
    <row r="43" spans="1:22" ht="14.25">
      <c r="A43" s="25"/>
      <c r="F43" s="7"/>
      <c r="J43" s="541"/>
      <c r="K43" s="541"/>
      <c r="L43" s="541"/>
      <c r="M43" s="541"/>
      <c r="N43" s="541"/>
      <c r="O43" s="536"/>
      <c r="P43" s="536"/>
    </row>
    <row r="44" spans="1:22" ht="14.25">
      <c r="A44" s="25"/>
      <c r="F44" s="7"/>
      <c r="J44" s="541"/>
      <c r="K44" s="541"/>
      <c r="L44" s="541"/>
      <c r="M44" s="541"/>
      <c r="N44" s="541"/>
      <c r="O44" s="536"/>
      <c r="P44" s="536"/>
    </row>
    <row r="45" spans="1:22" ht="14.25">
      <c r="A45" s="25"/>
      <c r="F45" s="7"/>
      <c r="J45" s="541"/>
      <c r="K45" s="541"/>
      <c r="L45" s="541"/>
      <c r="M45" s="541"/>
      <c r="N45" s="541"/>
      <c r="O45" s="536"/>
      <c r="P45" s="536"/>
    </row>
    <row r="46" spans="1:22" ht="14.25">
      <c r="A46" s="25"/>
      <c r="F46" s="7"/>
      <c r="J46" s="541"/>
      <c r="K46" s="541"/>
      <c r="L46" s="541"/>
      <c r="M46" s="541"/>
      <c r="N46" s="541"/>
      <c r="O46" s="536"/>
      <c r="P46" s="536"/>
    </row>
    <row r="47" spans="1:22" ht="14.25">
      <c r="A47" s="25"/>
      <c r="F47" s="7"/>
      <c r="I47" s="535"/>
      <c r="J47" s="541"/>
      <c r="K47" s="541"/>
      <c r="L47" s="541"/>
      <c r="M47" s="541"/>
      <c r="N47" s="541"/>
      <c r="O47" s="536"/>
      <c r="P47" s="536"/>
    </row>
    <row r="48" spans="1:22" ht="14.25">
      <c r="A48" s="25"/>
      <c r="F48" s="7"/>
      <c r="J48" s="541"/>
      <c r="K48" s="541"/>
      <c r="L48" s="541"/>
      <c r="M48" s="541"/>
      <c r="N48" s="541"/>
      <c r="O48" s="536"/>
      <c r="P48" s="536"/>
    </row>
    <row r="49" spans="1:16">
      <c r="F49" s="7"/>
      <c r="I49" s="535"/>
      <c r="J49" s="541"/>
      <c r="K49" s="541"/>
      <c r="L49" s="541"/>
      <c r="M49" s="541"/>
      <c r="N49" s="541"/>
      <c r="O49" s="536"/>
      <c r="P49" s="536"/>
    </row>
    <row r="50" spans="1:16">
      <c r="F50" s="7"/>
      <c r="J50" s="541"/>
      <c r="K50" s="541"/>
      <c r="L50" s="541"/>
      <c r="M50" s="541"/>
      <c r="N50" s="541"/>
      <c r="O50" s="536"/>
      <c r="P50" s="536"/>
    </row>
    <row r="51" spans="1:16">
      <c r="F51" s="7"/>
      <c r="J51" s="541"/>
      <c r="K51" s="541"/>
      <c r="L51" s="541"/>
      <c r="M51" s="541"/>
      <c r="N51" s="541"/>
      <c r="O51" s="536"/>
      <c r="P51" s="536"/>
    </row>
    <row r="52" spans="1:16">
      <c r="F52" s="7"/>
      <c r="J52" s="541"/>
      <c r="K52" s="541"/>
      <c r="L52" s="541"/>
      <c r="M52" s="541"/>
      <c r="N52" s="541"/>
      <c r="O52" s="536"/>
      <c r="P52" s="536"/>
    </row>
    <row r="53" spans="1:16">
      <c r="F53" s="7"/>
      <c r="J53" s="541"/>
      <c r="K53" s="541"/>
      <c r="L53" s="541"/>
      <c r="M53" s="541"/>
      <c r="N53" s="541"/>
      <c r="O53" s="536"/>
      <c r="P53" s="536"/>
    </row>
    <row r="54" spans="1:16">
      <c r="F54" s="7"/>
      <c r="J54" s="67"/>
      <c r="K54" s="67"/>
      <c r="L54" s="67"/>
      <c r="M54" s="67"/>
      <c r="N54" s="67"/>
    </row>
    <row r="55" spans="1:16">
      <c r="F55" s="7"/>
    </row>
    <row r="56" spans="1:16">
      <c r="F56" s="7"/>
    </row>
    <row r="57" spans="1:16">
      <c r="F57" s="7"/>
    </row>
    <row r="58" spans="1:16">
      <c r="F58" s="7"/>
    </row>
    <row r="59" spans="1:16">
      <c r="F59" s="7"/>
    </row>
    <row r="60" spans="1:16">
      <c r="F60" s="7"/>
    </row>
    <row r="61" spans="1:16">
      <c r="F61" s="7"/>
    </row>
    <row r="62" spans="1:16">
      <c r="F62" s="7"/>
    </row>
    <row r="63" spans="1:16">
      <c r="F63" s="7"/>
    </row>
    <row r="64" spans="1:16" ht="12">
      <c r="A64" s="1"/>
      <c r="F64" s="7"/>
    </row>
    <row r="65" spans="1:6" ht="12">
      <c r="A65" s="1"/>
      <c r="F65" s="7"/>
    </row>
    <row r="66" spans="1:6" ht="12">
      <c r="A66" s="1"/>
      <c r="F66" s="7"/>
    </row>
    <row r="67" spans="1:6" ht="12">
      <c r="A67" s="1"/>
      <c r="F67" s="7"/>
    </row>
    <row r="68" spans="1:6" ht="12">
      <c r="A68" s="1"/>
      <c r="F68" s="7"/>
    </row>
    <row r="69" spans="1:6" ht="12">
      <c r="A69" s="1"/>
      <c r="F69" s="7"/>
    </row>
    <row r="70" spans="1:6" ht="12">
      <c r="A70" s="1"/>
    </row>
    <row r="71" spans="1:6" ht="12">
      <c r="A71" s="1"/>
    </row>
    <row r="72" spans="1:6" ht="12">
      <c r="A72" s="1"/>
    </row>
    <row r="73" spans="1:6" ht="12">
      <c r="A73" s="1"/>
      <c r="F73" s="7"/>
    </row>
    <row r="74" spans="1:6" ht="12">
      <c r="A74" s="1"/>
      <c r="F74" s="7"/>
    </row>
    <row r="75" spans="1:6" ht="12">
      <c r="A75" s="1"/>
      <c r="F75" s="7"/>
    </row>
    <row r="76" spans="1:6" ht="12">
      <c r="A76" s="1"/>
      <c r="F76" s="7"/>
    </row>
    <row r="77" spans="1:6">
      <c r="F77" s="7"/>
    </row>
    <row r="78" spans="1:6">
      <c r="F78" s="7"/>
    </row>
    <row r="79" spans="1:6">
      <c r="F79" s="7"/>
    </row>
    <row r="80" spans="1:6">
      <c r="F80" s="7"/>
    </row>
    <row r="81" spans="6:6">
      <c r="F81" s="7"/>
    </row>
    <row r="82" spans="6:6">
      <c r="F82" s="7"/>
    </row>
    <row r="83" spans="6:6">
      <c r="F83" s="7"/>
    </row>
    <row r="84" spans="6:6">
      <c r="F84" s="7"/>
    </row>
    <row r="85" spans="6:6">
      <c r="F85" s="7"/>
    </row>
    <row r="86" spans="6:6">
      <c r="F86" s="7"/>
    </row>
    <row r="87" spans="6:6">
      <c r="F87" s="7"/>
    </row>
    <row r="88" spans="6:6">
      <c r="F88" s="7"/>
    </row>
    <row r="89" spans="6:6">
      <c r="F89" s="7"/>
    </row>
    <row r="90" spans="6:6">
      <c r="F90" s="7"/>
    </row>
    <row r="91" spans="6:6">
      <c r="F91" s="7"/>
    </row>
    <row r="92" spans="6:6">
      <c r="F92" s="7"/>
    </row>
    <row r="93" spans="6:6">
      <c r="F93" s="7"/>
    </row>
    <row r="94" spans="6:6">
      <c r="F94" s="7"/>
    </row>
    <row r="95" spans="6:6">
      <c r="F95" s="7"/>
    </row>
    <row r="96" spans="6:6">
      <c r="F96" s="7"/>
    </row>
    <row r="97" spans="6:6">
      <c r="F97" s="7"/>
    </row>
    <row r="98" spans="6:6">
      <c r="F98" s="7"/>
    </row>
    <row r="99" spans="6:6">
      <c r="F99" s="7"/>
    </row>
    <row r="100" spans="6:6">
      <c r="F100" s="7"/>
    </row>
  </sheetData>
  <mergeCells count="6">
    <mergeCell ref="J3:K3"/>
    <mergeCell ref="L3:N3"/>
    <mergeCell ref="J13:K13"/>
    <mergeCell ref="L13:N13"/>
    <mergeCell ref="J23:K23"/>
    <mergeCell ref="L23:N23"/>
  </mergeCells>
  <phoneticPr fontId="7" type="noConversion"/>
  <hyperlinks>
    <hyperlink ref="B5" location="FH!A1" display="재무현황" xr:uid="{00000000-0004-0000-0E00-000000000000}"/>
    <hyperlink ref="B7" location="FS!A1" display="요약재무상태표 (Selected Balance sheet)" xr:uid="{00000000-0004-0000-0E00-000001000000}"/>
    <hyperlink ref="C15" location="Stability!A1" display="재무 안정성 (Financial Stability)" xr:uid="{00000000-0004-0000-0E00-000002000000}"/>
    <hyperlink ref="C16" location="Productivity!A1" display="생산성 / 경영효율 (Productivity / Operating Efficiency)" xr:uid="{00000000-0004-0000-0E00-000003000000}"/>
    <hyperlink ref="C20" location="'Premium Income by P.T.(GA+SA)'!A1" display="상품별 수입보험료 (Premium Income)" xr:uid="{00000000-0004-0000-0E00-000004000000}"/>
    <hyperlink ref="C21" location="'Initial P. by P.T.'!A1" display="상품별 초회보험료 (Initial Premium)" xr:uid="{00000000-0004-0000-0E00-000005000000}"/>
    <hyperlink ref="C22" location="'First-year P. by P.T.'!A1" display="상품별 초년도보험료 (First Year Premium)" xr:uid="{00000000-0004-0000-0E00-000006000000}"/>
    <hyperlink ref="C26" location="'Premium Income by D.C.(GA+SA)'!A1" display="채널별 수입보험료 (Premium Income)" xr:uid="{00000000-0004-0000-0E00-000007000000}"/>
    <hyperlink ref="C27" location="'First-year P. by D.C'!A1" display="채널별 초년도보험료 (First Year Premium)" xr:uid="{00000000-0004-0000-0E00-000008000000}"/>
    <hyperlink ref="C31" location="'&gt;Loan'!A1" display="대출 (Loan)/ 자산건전성 (Asset Quality of Loan)" xr:uid="{00000000-0004-0000-0E00-000009000000}"/>
    <hyperlink ref="C32" location="'&gt;Bond'!A1" display="채권 (Bond)" xr:uid="{00000000-0004-0000-0E00-00000A000000}"/>
    <hyperlink ref="C35" location="'BS  K-IFRS'!A1" display="재무상태표 (Balance Sheet - KIFRS)" xr:uid="{00000000-0004-0000-0E00-00000B000000}"/>
    <hyperlink ref="C36" location="'IS  K-IFRS'!A1" display="손익계산서 (Income Statement - KIFRS)" xr:uid="{00000000-0004-0000-0E00-00000C000000}"/>
    <hyperlink ref="B8" location="FS!A1" display="요약손익계산서 (Selected Income Statement)" xr:uid="{00000000-0004-0000-0E00-00000D000000}"/>
    <hyperlink ref="B10" location="CSM!A1" display="RA, CSM, BEL Movement" xr:uid="{00000000-0004-0000-0E00-00000E000000}"/>
    <hyperlink ref="B11" location="CSM!A1" display="신계약 CSM (New Business CSM)" xr:uid="{00000000-0004-0000-0E00-00000F000000}"/>
    <hyperlink ref="B13" location="'Sources of Margin'!A1" display="이원별손익" xr:uid="{00000000-0004-0000-0E00-000010000000}"/>
    <hyperlink ref="B12" location="CSM!A1" display="신계약 CSM 배수 (New Business CSM Margin)" xr:uid="{00000000-0004-0000-0E00-000011000000}"/>
    <hyperlink ref="C19" location="'APE by P.T'!A1" display="상품별 APE (Annualized Premium Equivalent (APE))" xr:uid="{00000000-0004-0000-0E00-000012000000}"/>
    <hyperlink ref="C25" location="'APE by D.C'!A1" display="채널별 APE (Annualized Premium Equivalent (APE))" xr:uid="{00000000-0004-0000-0E00-000013000000}"/>
  </hyperlinks>
  <pageMargins left="0.19685039370078741" right="0.19685039370078741" top="0.74803149606299213" bottom="0.74803149606299213" header="0.31496062992125984" footer="0.31496062992125984"/>
  <pageSetup paperSize="9" orientation="landscape" r:id="rId1"/>
  <colBreaks count="1" manualBreakCount="1">
    <brk id="1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W76"/>
  <sheetViews>
    <sheetView showGridLines="0" zoomScale="93" zoomScaleNormal="93"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8" width="1.7109375" style="1" customWidth="1"/>
    <col min="9" max="9" width="40.42578125" style="1" customWidth="1"/>
    <col min="10" max="15" width="11" style="1" customWidth="1"/>
    <col min="16" max="17" width="11" style="1" hidden="1" customWidth="1"/>
    <col min="18" max="18" width="7.7109375" style="1" customWidth="1"/>
    <col min="19" max="20" width="11" style="1" customWidth="1"/>
    <col min="21" max="22" width="9.140625" style="1"/>
    <col min="23" max="23" width="11.85546875" style="1" bestFit="1" customWidth="1"/>
    <col min="24" max="16384" width="9.140625" style="1"/>
  </cols>
  <sheetData>
    <row r="1" spans="1:23" s="3" customFormat="1" ht="24" customHeight="1">
      <c r="A1" s="6"/>
      <c r="F1" s="126" t="s">
        <v>123</v>
      </c>
      <c r="G1" s="85"/>
      <c r="H1" s="86"/>
      <c r="I1" s="86"/>
    </row>
    <row r="2" spans="1:23" ht="12" customHeight="1">
      <c r="A2" s="133"/>
      <c r="B2" s="134"/>
      <c r="C2" s="134"/>
      <c r="F2" s="88"/>
      <c r="G2" s="87"/>
      <c r="H2" s="87"/>
      <c r="I2" s="87"/>
      <c r="J2" s="801" t="s">
        <v>234</v>
      </c>
      <c r="K2" s="801"/>
      <c r="L2" s="801"/>
      <c r="M2" s="801"/>
      <c r="N2" s="811" t="s">
        <v>374</v>
      </c>
      <c r="O2" s="812"/>
      <c r="P2" s="812"/>
      <c r="Q2" s="813"/>
      <c r="R2" s="3"/>
      <c r="S2" s="812" t="s">
        <v>216</v>
      </c>
      <c r="T2" s="812"/>
    </row>
    <row r="3" spans="1:23" ht="12" customHeight="1">
      <c r="A3" s="133" t="s">
        <v>27</v>
      </c>
      <c r="B3" s="134"/>
      <c r="C3" s="134"/>
      <c r="F3" s="88" t="s">
        <v>57</v>
      </c>
      <c r="G3" s="108"/>
      <c r="H3" s="108"/>
      <c r="I3" s="108"/>
      <c r="J3" s="795">
        <v>45747</v>
      </c>
      <c r="K3" s="287">
        <v>45838</v>
      </c>
      <c r="L3" s="287">
        <v>45930</v>
      </c>
      <c r="M3" s="302">
        <v>46022</v>
      </c>
      <c r="N3" s="287">
        <v>46112</v>
      </c>
      <c r="O3" s="287">
        <v>46203</v>
      </c>
      <c r="P3" s="287">
        <v>46295</v>
      </c>
      <c r="Q3" s="302">
        <v>46387</v>
      </c>
      <c r="R3" s="3"/>
      <c r="S3" s="289" t="s">
        <v>23</v>
      </c>
      <c r="T3" s="289" t="s">
        <v>24</v>
      </c>
      <c r="V3" s="222"/>
    </row>
    <row r="4" spans="1:23" ht="12" customHeight="1">
      <c r="A4" s="133"/>
      <c r="B4" s="134"/>
      <c r="C4" s="134"/>
      <c r="F4" s="129" t="s">
        <v>125</v>
      </c>
      <c r="G4" s="129"/>
      <c r="H4" s="129"/>
      <c r="I4" s="129"/>
      <c r="J4" s="313">
        <v>5744.8871732419993</v>
      </c>
      <c r="K4" s="313">
        <v>5538.520354626</v>
      </c>
      <c r="L4" s="313">
        <v>4819.3819533999995</v>
      </c>
      <c r="M4" s="349">
        <v>4722.6409539139995</v>
      </c>
      <c r="N4" s="313">
        <v>4531.7502588669995</v>
      </c>
      <c r="O4" s="556">
        <v>4293.74641135</v>
      </c>
      <c r="P4" s="556"/>
      <c r="Q4" s="556"/>
      <c r="R4" s="3"/>
      <c r="S4" s="286">
        <f>IF(O4/K4&lt;0,"n.a.",IF(K4&gt;0,ROUND(O4,4)/ROUND(K4,4)-1,IF(K4&lt;0,"n.a.")))</f>
        <v>-0.2247484725342892</v>
      </c>
      <c r="T4" s="286">
        <f>IF(O4/N4&lt;0,"n.a.",IF(N4&gt;0,ROUND(O4,4)/ROUND(N4,4)-1,IF(N4&lt;0,"n.a.")))</f>
        <v>-5.2519199921496007E-2</v>
      </c>
    </row>
    <row r="5" spans="1:23" ht="12" customHeight="1">
      <c r="A5" s="143"/>
      <c r="B5" s="133" t="s">
        <v>155</v>
      </c>
      <c r="C5" s="133"/>
      <c r="F5" s="113"/>
      <c r="G5" s="113"/>
      <c r="H5" s="113"/>
      <c r="I5" s="130" t="s">
        <v>135</v>
      </c>
      <c r="J5" s="298">
        <v>0</v>
      </c>
      <c r="K5" s="298">
        <v>0</v>
      </c>
      <c r="L5" s="298">
        <v>0</v>
      </c>
      <c r="M5" s="350">
        <v>0</v>
      </c>
      <c r="N5" s="298">
        <v>0</v>
      </c>
      <c r="O5" s="557">
        <v>0</v>
      </c>
      <c r="P5" s="557"/>
      <c r="Q5" s="557"/>
      <c r="R5" s="3"/>
      <c r="S5" s="39">
        <v>0</v>
      </c>
      <c r="T5" s="39">
        <v>0</v>
      </c>
    </row>
    <row r="6" spans="1:23" ht="12" customHeight="1">
      <c r="A6" s="143"/>
      <c r="B6" s="142"/>
      <c r="C6" s="134"/>
      <c r="F6" s="113"/>
      <c r="G6" s="113"/>
      <c r="H6" s="113"/>
      <c r="I6" s="130" t="s">
        <v>134</v>
      </c>
      <c r="J6" s="298">
        <v>0</v>
      </c>
      <c r="K6" s="298">
        <v>0</v>
      </c>
      <c r="L6" s="298">
        <v>0</v>
      </c>
      <c r="M6" s="350">
        <v>0</v>
      </c>
      <c r="N6" s="298">
        <v>0</v>
      </c>
      <c r="O6" s="557">
        <v>0</v>
      </c>
      <c r="P6" s="557"/>
      <c r="Q6" s="557"/>
      <c r="R6" s="3"/>
      <c r="S6" s="39">
        <v>0</v>
      </c>
      <c r="T6" s="39">
        <v>0</v>
      </c>
    </row>
    <row r="7" spans="1:23" ht="12" customHeight="1">
      <c r="A7" s="143"/>
      <c r="B7" s="142" t="s">
        <v>212</v>
      </c>
      <c r="C7" s="134"/>
      <c r="F7" s="113"/>
      <c r="G7" s="113"/>
      <c r="H7" s="113"/>
      <c r="I7" s="354" t="s">
        <v>136</v>
      </c>
      <c r="J7" s="299">
        <v>0</v>
      </c>
      <c r="K7" s="299">
        <v>0</v>
      </c>
      <c r="L7" s="299">
        <v>0</v>
      </c>
      <c r="M7" s="351">
        <v>0</v>
      </c>
      <c r="N7" s="299">
        <v>0</v>
      </c>
      <c r="O7" s="558">
        <v>0</v>
      </c>
      <c r="P7" s="558"/>
      <c r="Q7" s="558"/>
      <c r="R7" s="3"/>
      <c r="S7" s="39">
        <v>0</v>
      </c>
      <c r="T7" s="39">
        <v>0</v>
      </c>
    </row>
    <row r="8" spans="1:23" ht="12" customHeight="1">
      <c r="A8" s="143"/>
      <c r="B8" s="142" t="s">
        <v>213</v>
      </c>
      <c r="C8" s="134"/>
      <c r="F8" s="113"/>
      <c r="G8" s="113"/>
      <c r="H8" s="113"/>
      <c r="I8" s="130" t="s">
        <v>140</v>
      </c>
      <c r="J8" s="298">
        <v>1896.6635576040001</v>
      </c>
      <c r="K8" s="299">
        <v>1928.551437998</v>
      </c>
      <c r="L8" s="299">
        <v>1643.2136930950001</v>
      </c>
      <c r="M8" s="351">
        <v>1632.4537110209999</v>
      </c>
      <c r="N8" s="299">
        <v>1486.0726432439999</v>
      </c>
      <c r="O8" s="558">
        <v>1427.65183288</v>
      </c>
      <c r="P8" s="558"/>
      <c r="Q8" s="558"/>
      <c r="R8" s="3"/>
      <c r="S8" s="39">
        <f>IF(O8/K8&lt;0,"n.a.",IF(K8&gt;0,ROUND(O8,4)/ROUND(K8,4)-1,IF(K8&lt;0,"n.a.")))</f>
        <v>-0.25972841584621487</v>
      </c>
      <c r="T8" s="39">
        <f>IF(O8/N8&lt;0,"n.a.",IF(N8&gt;0,ROUND(O8,4)/ROUND(N8,4)-1,IF(N8&lt;0,"n.a.")))</f>
        <v>-3.9312211260741803E-2</v>
      </c>
    </row>
    <row r="9" spans="1:23" ht="12" customHeight="1">
      <c r="A9" s="143"/>
      <c r="B9" s="142"/>
      <c r="C9" s="134"/>
      <c r="F9" s="113"/>
      <c r="G9" s="113"/>
      <c r="H9" s="113"/>
      <c r="I9" s="130" t="s">
        <v>137</v>
      </c>
      <c r="J9" s="298">
        <v>44.090354902000001</v>
      </c>
      <c r="K9" s="298">
        <v>41.739145870999998</v>
      </c>
      <c r="L9" s="298">
        <v>38.802642759999998</v>
      </c>
      <c r="M9" s="350">
        <v>35.950251051000002</v>
      </c>
      <c r="N9" s="298">
        <v>33.384269904999996</v>
      </c>
      <c r="O9" s="557">
        <v>31.365073864999999</v>
      </c>
      <c r="P9" s="557"/>
      <c r="Q9" s="557"/>
      <c r="R9" s="3"/>
      <c r="S9" s="39">
        <f>IF(O9/K9&lt;0,"n.a.",IF(K9&gt;0,ROUND(O9,4)/ROUND(K9,4)-1,IF(K9&lt;0,"n.a.")))</f>
        <v>-0.24854393122994978</v>
      </c>
      <c r="T9" s="39">
        <f>IF(O9/N9&lt;0,"n.a.",IF(N9&gt;0,ROUND(O9,4)/ROUND(N9,4)-1,IF(N9&lt;0,"n.a.")))</f>
        <v>-6.0483520696854587E-2</v>
      </c>
    </row>
    <row r="10" spans="1:23" ht="12" customHeight="1">
      <c r="A10" s="133"/>
      <c r="B10" s="142" t="s">
        <v>171</v>
      </c>
      <c r="C10" s="134"/>
      <c r="F10" s="113"/>
      <c r="G10" s="113"/>
      <c r="H10" s="113"/>
      <c r="I10" s="130" t="s">
        <v>138</v>
      </c>
      <c r="J10" s="298">
        <v>797.47915306599998</v>
      </c>
      <c r="K10" s="298">
        <v>805.17502445800005</v>
      </c>
      <c r="L10" s="298">
        <v>852.53836897999997</v>
      </c>
      <c r="M10" s="350">
        <v>904.53983146899998</v>
      </c>
      <c r="N10" s="298">
        <v>964.28335402200003</v>
      </c>
      <c r="O10" s="557">
        <v>1001.769382488</v>
      </c>
      <c r="P10" s="557"/>
      <c r="Q10" s="557"/>
      <c r="R10" s="3"/>
      <c r="S10" s="39">
        <f>IF(O10/K10&lt;0,"n.a.",IF(K10&gt;0,ROUND(O10,4)/ROUND(K10,4)-1,IF(K10&lt;0,"n.a.")))</f>
        <v>0.24416356692644459</v>
      </c>
      <c r="T10" s="39">
        <f>IF(O10/N10&lt;0,"n.a.",IF(N10&gt;0,ROUND(O10,4)/ROUND(N10,4)-1,IF(N10&lt;0,"n.a.")))</f>
        <v>3.8874463669083203E-2</v>
      </c>
    </row>
    <row r="11" spans="1:23" ht="12" customHeight="1">
      <c r="A11" s="133"/>
      <c r="B11" s="142" t="s">
        <v>166</v>
      </c>
      <c r="C11" s="134"/>
      <c r="F11" s="118"/>
      <c r="G11" s="118"/>
      <c r="H11" s="118"/>
      <c r="I11" s="131" t="s">
        <v>139</v>
      </c>
      <c r="J11" s="770">
        <v>3006.65410767</v>
      </c>
      <c r="K11" s="526">
        <v>2763.0547462989998</v>
      </c>
      <c r="L11" s="526">
        <v>2284.827248565</v>
      </c>
      <c r="M11" s="723">
        <v>2149.6971603729999</v>
      </c>
      <c r="N11" s="526">
        <v>2048.0099916959998</v>
      </c>
      <c r="O11" s="559">
        <v>1832.9601221170001</v>
      </c>
      <c r="P11" s="559"/>
      <c r="Q11" s="559"/>
      <c r="R11" s="3"/>
      <c r="S11" s="54">
        <f>IF(O11/K11&lt;0,"n.a.",IF(K11&gt;0,ROUND(O11,4)/ROUND(K11,4)-1,IF(K11&lt;0,"n.a.")))</f>
        <v>-0.33661823633097099</v>
      </c>
      <c r="T11" s="54">
        <f>IF(O11/N11&lt;0,"n.a.",IF(N11&gt;0,ROUND(O11,4)/ROUND(N11,4)-1,IF(N11&lt;0,"n.a.")))</f>
        <v>-0.10500432126796266</v>
      </c>
    </row>
    <row r="12" spans="1:23" ht="12" customHeight="1">
      <c r="A12" s="133"/>
      <c r="B12" s="142" t="s">
        <v>219</v>
      </c>
      <c r="C12" s="134"/>
      <c r="F12" s="231" t="s">
        <v>217</v>
      </c>
      <c r="G12" s="89"/>
      <c r="H12" s="89"/>
      <c r="I12" s="89"/>
      <c r="R12" s="3"/>
    </row>
    <row r="13" spans="1:23" ht="12" customHeight="1">
      <c r="A13" s="133"/>
      <c r="B13" s="142"/>
      <c r="C13" s="134"/>
      <c r="F13" s="231"/>
      <c r="G13" s="89"/>
      <c r="H13" s="89"/>
      <c r="I13" s="89"/>
      <c r="J13" s="67"/>
      <c r="K13" s="554"/>
      <c r="L13" s="67"/>
      <c r="M13" s="67"/>
      <c r="N13" s="67"/>
      <c r="O13" s="67"/>
      <c r="P13" s="67"/>
      <c r="Q13" s="67"/>
      <c r="R13" s="67"/>
      <c r="W13" s="222"/>
    </row>
    <row r="14" spans="1:23" ht="21.75" customHeight="1">
      <c r="A14" s="133"/>
      <c r="B14" s="133" t="s">
        <v>173</v>
      </c>
      <c r="C14" s="134"/>
      <c r="F14" s="86"/>
      <c r="G14" s="86"/>
      <c r="H14" s="86"/>
      <c r="I14" s="86"/>
      <c r="K14" s="67"/>
      <c r="L14" s="67"/>
      <c r="R14" s="3"/>
    </row>
    <row r="15" spans="1:23" s="7" customFormat="1" ht="19.5" customHeight="1">
      <c r="A15" s="133"/>
      <c r="B15" s="135"/>
      <c r="C15" s="142" t="s">
        <v>40</v>
      </c>
      <c r="D15" s="1"/>
      <c r="F15" s="126" t="s">
        <v>124</v>
      </c>
      <c r="G15" s="85"/>
      <c r="H15" s="86"/>
      <c r="I15" s="86"/>
      <c r="J15" s="1"/>
      <c r="K15" s="1"/>
      <c r="L15" s="1"/>
      <c r="M15" s="1"/>
      <c r="N15" s="1"/>
      <c r="O15" s="1"/>
      <c r="P15" s="1"/>
      <c r="Q15" s="1"/>
      <c r="R15" s="3"/>
      <c r="S15" s="1"/>
      <c r="T15" s="1"/>
    </row>
    <row r="16" spans="1:23" s="7" customFormat="1" ht="12" customHeight="1">
      <c r="A16" s="133"/>
      <c r="B16" s="133"/>
      <c r="C16" s="142" t="s">
        <v>41</v>
      </c>
      <c r="D16" s="1"/>
      <c r="F16" s="88"/>
      <c r="G16" s="87"/>
      <c r="H16" s="87"/>
      <c r="I16" s="87"/>
      <c r="J16" s="801" t="s">
        <v>234</v>
      </c>
      <c r="K16" s="801"/>
      <c r="L16" s="801"/>
      <c r="M16" s="801"/>
      <c r="N16" s="811" t="s">
        <v>374</v>
      </c>
      <c r="O16" s="812"/>
      <c r="P16" s="812"/>
      <c r="Q16" s="813"/>
      <c r="R16" s="3"/>
      <c r="S16" s="812" t="s">
        <v>216</v>
      </c>
      <c r="T16" s="812"/>
    </row>
    <row r="17" spans="1:22" s="3" customFormat="1" ht="13.5" customHeight="1">
      <c r="A17" s="133"/>
      <c r="B17" s="133"/>
      <c r="C17" s="142"/>
      <c r="D17" s="1"/>
      <c r="F17" s="88" t="s">
        <v>122</v>
      </c>
      <c r="G17" s="108"/>
      <c r="H17" s="108"/>
      <c r="I17" s="108"/>
      <c r="J17" s="795">
        <v>45747</v>
      </c>
      <c r="K17" s="287">
        <v>45838</v>
      </c>
      <c r="L17" s="287">
        <v>45930</v>
      </c>
      <c r="M17" s="302">
        <v>46022</v>
      </c>
      <c r="N17" s="287">
        <v>46112</v>
      </c>
      <c r="O17" s="287">
        <v>46203</v>
      </c>
      <c r="P17" s="287">
        <v>46295</v>
      </c>
      <c r="Q17" s="302">
        <v>46387</v>
      </c>
      <c r="S17" s="264" t="s">
        <v>23</v>
      </c>
      <c r="T17" s="264" t="s">
        <v>24</v>
      </c>
      <c r="V17" s="222"/>
    </row>
    <row r="18" spans="1:22" ht="12" customHeight="1">
      <c r="A18" s="133"/>
      <c r="B18" s="133" t="s">
        <v>176</v>
      </c>
      <c r="C18" s="142"/>
      <c r="F18" s="129" t="s">
        <v>125</v>
      </c>
      <c r="G18" s="129"/>
      <c r="H18" s="129"/>
      <c r="I18" s="129"/>
      <c r="J18" s="300">
        <v>5744.8871732420002</v>
      </c>
      <c r="K18" s="300">
        <v>5538.5203546260009</v>
      </c>
      <c r="L18" s="300">
        <v>4789.3818629870002</v>
      </c>
      <c r="M18" s="352">
        <v>4722.6409539139995</v>
      </c>
      <c r="N18" s="300">
        <v>4531.7502588669995</v>
      </c>
      <c r="O18" s="560">
        <v>4293.74641135</v>
      </c>
      <c r="P18" s="560"/>
      <c r="Q18" s="560"/>
      <c r="R18" s="3"/>
      <c r="S18" s="286">
        <f t="shared" ref="S18:S24" si="0">IF(O18/K18&lt;0,"n.a.",IF(K18&gt;0,ROUND(O18,4)/ROUND(K18,4)-1,IF(K18&lt;0,"n.a.")))</f>
        <v>-0.2247484725342892</v>
      </c>
      <c r="T18" s="286">
        <f t="shared" ref="T18:T24" si="1">IF(O18/N18&lt;0,"n.a.",IF(N18&gt;0,ROUND(O18,4)/ROUND(N18,4)-1,IF(N18&lt;0,"n.a.")))</f>
        <v>-5.2519199921496007E-2</v>
      </c>
    </row>
    <row r="19" spans="1:22" ht="12" customHeight="1">
      <c r="A19" s="133"/>
      <c r="B19" s="133"/>
      <c r="C19" s="142" t="s">
        <v>33</v>
      </c>
      <c r="F19" s="113"/>
      <c r="G19" s="113" t="s">
        <v>126</v>
      </c>
      <c r="H19" s="113"/>
      <c r="I19" s="113"/>
      <c r="J19" s="298">
        <v>5647.6523493530003</v>
      </c>
      <c r="K19" s="298">
        <v>5203.3007926890004</v>
      </c>
      <c r="L19" s="298">
        <v>4220.751739581</v>
      </c>
      <c r="M19" s="350">
        <v>4349.5473046309999</v>
      </c>
      <c r="N19" s="298">
        <v>4169.5997830750002</v>
      </c>
      <c r="O19" s="557">
        <v>4066.970242504</v>
      </c>
      <c r="P19" s="557"/>
      <c r="Q19" s="557"/>
      <c r="R19" s="368"/>
      <c r="S19" s="39">
        <f t="shared" si="0"/>
        <v>-0.21838649036011903</v>
      </c>
      <c r="T19" s="39">
        <f t="shared" si="1"/>
        <v>-2.4613777082395205E-2</v>
      </c>
      <c r="V19" s="182"/>
    </row>
    <row r="20" spans="1:22" ht="12" customHeight="1">
      <c r="A20" s="133"/>
      <c r="B20" s="133"/>
      <c r="C20" s="142" t="s">
        <v>29</v>
      </c>
      <c r="F20" s="113"/>
      <c r="G20" s="113" t="s">
        <v>127</v>
      </c>
      <c r="H20" s="113"/>
      <c r="I20" s="113"/>
      <c r="J20" s="298">
        <v>50.452538959000002</v>
      </c>
      <c r="K20" s="298">
        <v>240.213621093</v>
      </c>
      <c r="L20" s="298">
        <v>503.94519875499998</v>
      </c>
      <c r="M20" s="350">
        <v>307.46337602699998</v>
      </c>
      <c r="N20" s="298">
        <v>273.18348636399998</v>
      </c>
      <c r="O20" s="557">
        <v>177.45539938900001</v>
      </c>
      <c r="P20" s="557"/>
      <c r="Q20" s="557"/>
      <c r="R20" s="368"/>
      <c r="S20" s="39">
        <f t="shared" si="0"/>
        <v>-0.26125997861902917</v>
      </c>
      <c r="T20" s="39">
        <f t="shared" si="1"/>
        <v>-0.35041684435553389</v>
      </c>
      <c r="V20" s="182"/>
    </row>
    <row r="21" spans="1:22" ht="12" customHeight="1">
      <c r="A21" s="133"/>
      <c r="B21" s="133"/>
      <c r="C21" s="142" t="s">
        <v>30</v>
      </c>
      <c r="F21" s="113"/>
      <c r="G21" s="113" t="s">
        <v>128</v>
      </c>
      <c r="H21" s="113"/>
      <c r="I21" s="113"/>
      <c r="J21" s="298">
        <v>46.782284930000003</v>
      </c>
      <c r="K21" s="298">
        <v>95.005940844000008</v>
      </c>
      <c r="L21" s="298">
        <v>64.684924651000003</v>
      </c>
      <c r="M21" s="350">
        <v>65.630273255999995</v>
      </c>
      <c r="N21" s="298">
        <v>88.966989428000005</v>
      </c>
      <c r="O21" s="557">
        <v>49.320769456999997</v>
      </c>
      <c r="P21" s="557"/>
      <c r="Q21" s="557"/>
      <c r="R21" s="368"/>
      <c r="S21" s="39">
        <f t="shared" si="0"/>
        <v>-0.48086592516885796</v>
      </c>
      <c r="T21" s="39">
        <f t="shared" si="1"/>
        <v>-0.44562815425944458</v>
      </c>
      <c r="V21" s="182"/>
    </row>
    <row r="22" spans="1:22" ht="12" customHeight="1">
      <c r="A22" s="133"/>
      <c r="B22" s="133"/>
      <c r="C22" s="142" t="s">
        <v>31</v>
      </c>
      <c r="F22" s="115"/>
      <c r="G22" s="115"/>
      <c r="H22" s="115" t="s">
        <v>129</v>
      </c>
      <c r="I22" s="115"/>
      <c r="J22" s="301">
        <v>32.213760563000001</v>
      </c>
      <c r="K22" s="301">
        <v>80.770809658000005</v>
      </c>
      <c r="L22" s="301">
        <v>50.396541593000002</v>
      </c>
      <c r="M22" s="353">
        <v>42.934192211999999</v>
      </c>
      <c r="N22" s="301">
        <v>77.838935738000004</v>
      </c>
      <c r="O22" s="561">
        <v>46.345099224999998</v>
      </c>
      <c r="P22" s="561"/>
      <c r="Q22" s="561"/>
      <c r="R22" s="389"/>
      <c r="S22" s="390">
        <f t="shared" si="0"/>
        <v>-0.42621467163876048</v>
      </c>
      <c r="T22" s="390">
        <f t="shared" si="1"/>
        <v>-0.40460232608631408</v>
      </c>
    </row>
    <row r="23" spans="1:22" ht="12" customHeight="1">
      <c r="A23" s="133"/>
      <c r="B23" s="133"/>
      <c r="C23" s="142"/>
      <c r="F23" s="115"/>
      <c r="G23" s="115"/>
      <c r="H23" s="115" t="s">
        <v>130</v>
      </c>
      <c r="I23" s="115"/>
      <c r="J23" s="301">
        <v>2.1137483449999999</v>
      </c>
      <c r="K23" s="301">
        <v>2.1705784349999999</v>
      </c>
      <c r="L23" s="301">
        <v>2.0958632060000002</v>
      </c>
      <c r="M23" s="353">
        <v>2.2642219639999999</v>
      </c>
      <c r="N23" s="301">
        <v>2.356455543</v>
      </c>
      <c r="O23" s="561">
        <v>2.1546611850000001</v>
      </c>
      <c r="P23" s="561"/>
      <c r="Q23" s="561"/>
      <c r="R23" s="389"/>
      <c r="S23" s="390">
        <f t="shared" si="0"/>
        <v>-7.3251635492489475E-3</v>
      </c>
      <c r="T23" s="390">
        <f t="shared" si="1"/>
        <v>-8.5635476342032613E-2</v>
      </c>
    </row>
    <row r="24" spans="1:22" ht="12" customHeight="1">
      <c r="A24" s="133"/>
      <c r="B24" s="133" t="s">
        <v>181</v>
      </c>
      <c r="C24" s="142"/>
      <c r="F24" s="132"/>
      <c r="G24" s="132"/>
      <c r="H24" s="132" t="s">
        <v>131</v>
      </c>
      <c r="I24" s="132"/>
      <c r="J24" s="301">
        <v>12.454776022000001</v>
      </c>
      <c r="K24" s="301">
        <v>12.064552751000001</v>
      </c>
      <c r="L24" s="301">
        <v>12.192519852</v>
      </c>
      <c r="M24" s="353">
        <v>20.431859079999999</v>
      </c>
      <c r="N24" s="301">
        <v>8.7715981470000006</v>
      </c>
      <c r="O24" s="561">
        <v>0.82100904699999999</v>
      </c>
      <c r="P24" s="561"/>
      <c r="Q24" s="561"/>
      <c r="R24" s="389"/>
      <c r="S24" s="391">
        <f t="shared" si="0"/>
        <v>-0.93194967093811654</v>
      </c>
      <c r="T24" s="391">
        <f t="shared" si="1"/>
        <v>-0.90640248073327556</v>
      </c>
    </row>
    <row r="25" spans="1:22" ht="12" customHeight="1">
      <c r="A25" s="133"/>
      <c r="B25" s="133"/>
      <c r="C25" s="142" t="s">
        <v>32</v>
      </c>
      <c r="F25" s="180" t="s">
        <v>132</v>
      </c>
      <c r="G25" s="180"/>
      <c r="H25" s="180"/>
      <c r="I25" s="180"/>
      <c r="J25" s="527">
        <v>8.1432904631962427E-3</v>
      </c>
      <c r="K25" s="527">
        <v>1.7153668265324173E-2</v>
      </c>
      <c r="L25" s="527">
        <v>1.3505902536378227E-2</v>
      </c>
      <c r="M25" s="724">
        <v>1.3896943235036185E-2</v>
      </c>
      <c r="N25" s="527">
        <v>1.9631926815455843E-2</v>
      </c>
      <c r="O25" s="562">
        <v>1.1486651686421559E-2</v>
      </c>
      <c r="P25" s="562"/>
      <c r="Q25" s="562"/>
      <c r="R25" s="3"/>
      <c r="S25" s="409">
        <f>O25-K25</f>
        <v>-5.6670165789026138E-3</v>
      </c>
      <c r="T25" s="409">
        <f>O25-N25</f>
        <v>-8.1452751290342837E-3</v>
      </c>
    </row>
    <row r="26" spans="1:22" ht="12" customHeight="1">
      <c r="A26" s="133"/>
      <c r="B26" s="133"/>
      <c r="C26" s="142" t="s">
        <v>34</v>
      </c>
      <c r="F26" s="231"/>
      <c r="S26" s="3"/>
      <c r="T26" s="3"/>
    </row>
    <row r="27" spans="1:22" ht="12" customHeight="1">
      <c r="A27" s="133"/>
      <c r="B27" s="133"/>
      <c r="C27" s="142" t="s">
        <v>35</v>
      </c>
      <c r="F27" s="146"/>
      <c r="S27" s="3"/>
      <c r="T27" s="3"/>
    </row>
    <row r="28" spans="1:22" ht="12" customHeight="1">
      <c r="A28" s="133"/>
      <c r="B28" s="133"/>
      <c r="C28" s="142"/>
      <c r="F28" s="146"/>
      <c r="S28" s="3"/>
      <c r="T28" s="3"/>
    </row>
    <row r="29" spans="1:22" ht="12" customHeight="1">
      <c r="A29" s="133"/>
      <c r="B29" s="133"/>
      <c r="C29" s="142"/>
      <c r="F29" s="146"/>
      <c r="G29" s="7"/>
      <c r="H29" s="7"/>
      <c r="I29" s="7"/>
      <c r="S29" s="3"/>
      <c r="T29" s="3"/>
    </row>
    <row r="30" spans="1:22" ht="12" customHeight="1">
      <c r="A30" s="133"/>
      <c r="B30" s="133" t="s">
        <v>185</v>
      </c>
      <c r="C30" s="142"/>
      <c r="F30" s="7"/>
      <c r="G30" s="7"/>
      <c r="H30" s="7"/>
      <c r="I30" s="7"/>
      <c r="J30" s="182"/>
      <c r="S30" s="3"/>
      <c r="T30" s="3"/>
    </row>
    <row r="31" spans="1:22" s="7" customFormat="1" ht="12" customHeight="1">
      <c r="A31" s="133"/>
      <c r="B31" s="133"/>
      <c r="C31" s="142" t="s">
        <v>147</v>
      </c>
      <c r="D31" s="1"/>
      <c r="J31" s="182"/>
      <c r="K31" s="1"/>
      <c r="L31" s="1"/>
      <c r="M31" s="1"/>
      <c r="N31" s="1"/>
      <c r="O31" s="1"/>
      <c r="P31" s="1"/>
      <c r="Q31" s="1"/>
      <c r="S31" s="3"/>
      <c r="T31" s="3"/>
    </row>
    <row r="32" spans="1:22" s="7" customFormat="1" ht="12" customHeight="1">
      <c r="A32" s="133"/>
      <c r="B32" s="133"/>
      <c r="C32" s="142" t="s">
        <v>36</v>
      </c>
      <c r="D32" s="1"/>
      <c r="F32" s="1"/>
      <c r="G32" s="1"/>
      <c r="H32" s="1"/>
      <c r="I32" s="1"/>
      <c r="J32" s="182"/>
      <c r="K32" s="1"/>
      <c r="L32" s="1"/>
      <c r="M32" s="1"/>
      <c r="N32" s="1"/>
      <c r="O32" s="1"/>
      <c r="P32" s="1"/>
      <c r="Q32" s="1"/>
      <c r="S32" s="3"/>
      <c r="T32" s="323"/>
    </row>
    <row r="33" spans="1:17" s="7" customFormat="1" ht="12" customHeight="1">
      <c r="A33" s="133"/>
      <c r="B33" s="133"/>
      <c r="C33" s="142"/>
      <c r="D33" s="1"/>
      <c r="F33" s="1"/>
      <c r="G33" s="1"/>
      <c r="H33" s="1"/>
      <c r="I33" s="1"/>
      <c r="J33" s="1"/>
      <c r="K33" s="1"/>
      <c r="L33" s="1"/>
      <c r="M33" s="1"/>
      <c r="N33" s="1"/>
      <c r="O33" s="67"/>
      <c r="P33" s="1"/>
      <c r="Q33" s="1"/>
    </row>
    <row r="34" spans="1:17" s="7" customFormat="1" ht="12" customHeight="1">
      <c r="A34" s="133"/>
      <c r="B34" s="133" t="s">
        <v>188</v>
      </c>
      <c r="C34" s="142"/>
      <c r="D34" s="1"/>
      <c r="F34" s="1"/>
      <c r="G34" s="1"/>
      <c r="H34" s="1"/>
      <c r="I34" s="1"/>
      <c r="J34" s="462"/>
      <c r="K34" s="1"/>
      <c r="L34" s="1"/>
      <c r="M34" s="1"/>
      <c r="N34" s="1"/>
      <c r="O34" s="1"/>
      <c r="P34" s="1"/>
      <c r="Q34" s="1"/>
    </row>
    <row r="35" spans="1:17" s="7" customFormat="1" ht="12" customHeight="1">
      <c r="A35" s="133"/>
      <c r="B35" s="133"/>
      <c r="C35" s="142" t="s">
        <v>37</v>
      </c>
      <c r="D35" s="1"/>
      <c r="F35" s="1"/>
      <c r="G35" s="1"/>
      <c r="H35" s="1"/>
      <c r="I35" s="1"/>
    </row>
    <row r="36" spans="1:17" s="7" customFormat="1" ht="12" customHeight="1">
      <c r="A36" s="133"/>
      <c r="B36" s="133"/>
      <c r="C36" s="142" t="s">
        <v>38</v>
      </c>
      <c r="D36" s="1"/>
      <c r="F36" s="1"/>
      <c r="G36" s="1"/>
      <c r="H36" s="1"/>
      <c r="I36" s="1"/>
    </row>
    <row r="37" spans="1:17" s="7" customFormat="1" ht="12" customHeight="1">
      <c r="A37" s="25"/>
      <c r="B37" s="1"/>
      <c r="C37" s="1"/>
      <c r="D37" s="1"/>
      <c r="F37" s="1"/>
      <c r="G37" s="1"/>
      <c r="H37" s="1"/>
      <c r="I37" s="1"/>
    </row>
    <row r="38" spans="1:17" s="7" customFormat="1" ht="12" customHeight="1">
      <c r="A38" s="25"/>
      <c r="B38" s="1"/>
      <c r="C38" s="1"/>
      <c r="D38" s="1"/>
      <c r="F38" s="1"/>
      <c r="G38" s="1"/>
      <c r="H38" s="1"/>
      <c r="I38" s="1"/>
    </row>
    <row r="39" spans="1:17" s="7" customFormat="1" ht="12" customHeight="1">
      <c r="A39" s="25"/>
      <c r="B39" s="1"/>
      <c r="C39" s="1"/>
      <c r="D39" s="1"/>
      <c r="F39" s="1"/>
      <c r="G39" s="1"/>
      <c r="H39" s="1"/>
      <c r="I39" s="1"/>
    </row>
    <row r="40" spans="1:17" s="7" customFormat="1" ht="12" customHeight="1">
      <c r="A40" s="25"/>
      <c r="B40" s="1"/>
      <c r="C40" s="1"/>
      <c r="D40" s="1"/>
      <c r="F40" s="1"/>
      <c r="G40" s="1"/>
      <c r="H40" s="1"/>
      <c r="I40" s="1"/>
    </row>
    <row r="41" spans="1:17" s="7" customFormat="1" ht="12" customHeight="1">
      <c r="A41" s="25"/>
      <c r="B41" s="1"/>
      <c r="C41" s="1"/>
      <c r="D41" s="1"/>
      <c r="F41" s="1"/>
      <c r="G41" s="1"/>
      <c r="H41" s="1"/>
      <c r="I41" s="1"/>
    </row>
    <row r="42" spans="1:17" ht="14.25">
      <c r="A42" s="25"/>
    </row>
    <row r="43" spans="1:17" ht="14.25">
      <c r="A43" s="25"/>
    </row>
    <row r="44" spans="1:17" ht="14.25">
      <c r="A44" s="25"/>
    </row>
    <row r="45" spans="1:17" ht="14.25">
      <c r="A45" s="25"/>
    </row>
    <row r="46" spans="1:17" ht="14.25">
      <c r="A46" s="25"/>
    </row>
    <row r="47" spans="1:17" ht="14.25">
      <c r="A47" s="25"/>
    </row>
    <row r="48" spans="1:17" ht="14.25">
      <c r="A48" s="25"/>
    </row>
    <row r="64" spans="1:1"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6">
    <mergeCell ref="S2:T2"/>
    <mergeCell ref="S16:T16"/>
    <mergeCell ref="J2:M2"/>
    <mergeCell ref="J16:M16"/>
    <mergeCell ref="N2:Q2"/>
    <mergeCell ref="N16:Q16"/>
  </mergeCells>
  <phoneticPr fontId="7" type="noConversion"/>
  <hyperlinks>
    <hyperlink ref="B5" location="FH!A1" display="재무현황" xr:uid="{00000000-0004-0000-0F00-000000000000}"/>
    <hyperlink ref="B7" location="FS!A1" display="요약재무상태표 (Selected Balance sheet)" xr:uid="{00000000-0004-0000-0F00-000001000000}"/>
    <hyperlink ref="C15" location="Stability!A1" display="재무 안정성 (Financial Stability)" xr:uid="{00000000-0004-0000-0F00-000002000000}"/>
    <hyperlink ref="C16" location="Productivity!A1" display="생산성 / 경영효율 (Productivity / Operating Efficiency)" xr:uid="{00000000-0004-0000-0F00-000003000000}"/>
    <hyperlink ref="C20" location="'Premium Income by P.T.(GA+SA)'!A1" display="상품별 수입보험료 (Premium Income)" xr:uid="{00000000-0004-0000-0F00-000004000000}"/>
    <hyperlink ref="C21" location="'Initial P. by P.T.'!A1" display="상품별 초회보험료 (Initial Premium)" xr:uid="{00000000-0004-0000-0F00-000005000000}"/>
    <hyperlink ref="C22" location="'First-year P. by P.T.'!A1" display="상품별 초년도보험료 (First Year Premium)" xr:uid="{00000000-0004-0000-0F00-000006000000}"/>
    <hyperlink ref="C26" location="'Premium Income by D.C.(GA+SA)'!A1" display="채널별 수입보험료 (Premium Income)" xr:uid="{00000000-0004-0000-0F00-000007000000}"/>
    <hyperlink ref="C27" location="'First-year P. by D.C'!A1" display="채널별 초년도보험료 (First Year Premium)" xr:uid="{00000000-0004-0000-0F00-000008000000}"/>
    <hyperlink ref="C31" location="'&gt;Loan'!A1" display="대출 (Loan)/ 자산건전성 (Asset Quality of Loan)" xr:uid="{00000000-0004-0000-0F00-000009000000}"/>
    <hyperlink ref="C32" location="'&gt;Bond'!A1" display="채권 (Bond)" xr:uid="{00000000-0004-0000-0F00-00000A000000}"/>
    <hyperlink ref="C35" location="'BS  K-IFRS'!A1" display="재무상태표 (Balance Sheet - KIFRS)" xr:uid="{00000000-0004-0000-0F00-00000B000000}"/>
    <hyperlink ref="C36" location="'IS  K-IFRS'!A1" display="손익계산서 (Income Statement - KIFRS)" xr:uid="{00000000-0004-0000-0F00-00000C000000}"/>
    <hyperlink ref="B8" location="FS!A1" display="요약손익계산서 (Selected Income Statement)" xr:uid="{00000000-0004-0000-0F00-00000D000000}"/>
    <hyperlink ref="B10" location="CSM!A1" display="RA, CSM, BEL Movement" xr:uid="{00000000-0004-0000-0F00-00000E000000}"/>
    <hyperlink ref="B11" location="CSM!A1" display="신계약 CSM (New Business CSM)" xr:uid="{00000000-0004-0000-0F00-00000F000000}"/>
    <hyperlink ref="B13" location="'Sources of Margin'!A1" display="이원별손익" xr:uid="{00000000-0004-0000-0F00-000010000000}"/>
    <hyperlink ref="B12" location="CSM!A1" display="신계약 CSM 배수 (New Business CSM Margin)" xr:uid="{00000000-0004-0000-0F00-000011000000}"/>
    <hyperlink ref="C19" location="'APE by P.T'!A1" display="상품별 APE (Annualized Premium Equivalent (APE))" xr:uid="{00000000-0004-0000-0F00-000012000000}"/>
    <hyperlink ref="C25" location="'APE by D.C'!A1" display="채널별 APE (Annualized Premium Equivalent (APE))" xr:uid="{00000000-0004-0000-0F00-000013000000}"/>
  </hyperlinks>
  <pageMargins left="0.19685039370078741" right="0.19685039370078741" top="0.74803149606299213" bottom="0.74803149606299213" header="0.31496062992125984" footer="0.31496062992125984"/>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76"/>
  <sheetViews>
    <sheetView showGridLines="0" zoomScale="85" zoomScaleNormal="85" zoomScaleSheetLayoutView="85" workbookViewId="0"/>
  </sheetViews>
  <sheetFormatPr defaultColWidth="9.140625" defaultRowHeight="18.75"/>
  <cols>
    <col min="1" max="1" width="1.7109375" style="5" customWidth="1"/>
    <col min="2" max="2" width="1.7109375" style="1" customWidth="1"/>
    <col min="3" max="3" width="54.7109375" style="1" customWidth="1"/>
    <col min="4" max="4" width="0.85546875" style="1" customWidth="1"/>
    <col min="5" max="5" width="1.7109375" style="1" customWidth="1"/>
    <col min="6" max="7" width="2.7109375" style="1" customWidth="1"/>
    <col min="8" max="8" width="29.7109375" style="1" customWidth="1"/>
    <col min="9" max="14" width="10.7109375" style="1" customWidth="1"/>
    <col min="15" max="16" width="10.7109375" style="1" hidden="1" customWidth="1"/>
    <col min="17" max="17" width="4.85546875" style="1" customWidth="1"/>
    <col min="18" max="19" width="10.7109375" style="1" customWidth="1"/>
    <col min="20" max="21" width="11.85546875" style="1" bestFit="1" customWidth="1"/>
    <col min="22" max="16384" width="9.140625" style="1"/>
  </cols>
  <sheetData>
    <row r="1" spans="1:21" s="3" customFormat="1" ht="24" customHeight="1">
      <c r="A1" s="6"/>
      <c r="F1" s="85" t="s">
        <v>133</v>
      </c>
      <c r="L1" s="447"/>
      <c r="M1" s="447"/>
      <c r="N1" s="447"/>
      <c r="O1" s="447"/>
      <c r="P1" s="447"/>
    </row>
    <row r="2" spans="1:21" ht="19.5" customHeight="1">
      <c r="A2" s="133"/>
      <c r="B2" s="134"/>
      <c r="C2" s="134"/>
      <c r="F2" s="126" t="s">
        <v>144</v>
      </c>
      <c r="G2" s="85"/>
      <c r="H2" s="85"/>
      <c r="I2" s="3"/>
      <c r="J2" s="3"/>
      <c r="K2" s="3"/>
      <c r="L2" s="3"/>
      <c r="M2" s="3"/>
      <c r="N2" s="3"/>
      <c r="O2" s="3"/>
      <c r="P2" s="3"/>
      <c r="Q2" s="3"/>
    </row>
    <row r="3" spans="1:21" ht="12" customHeight="1">
      <c r="A3" s="133" t="s">
        <v>27</v>
      </c>
      <c r="B3" s="134"/>
      <c r="C3" s="134"/>
      <c r="F3" s="87" t="s">
        <v>205</v>
      </c>
      <c r="G3" s="87"/>
      <c r="H3" s="87"/>
      <c r="I3" s="801" t="s">
        <v>383</v>
      </c>
      <c r="J3" s="801"/>
      <c r="K3" s="801"/>
      <c r="L3" s="801"/>
      <c r="M3" s="811" t="s">
        <v>374</v>
      </c>
      <c r="N3" s="812"/>
      <c r="O3" s="812"/>
      <c r="P3" s="813"/>
      <c r="Q3" s="3"/>
      <c r="R3" s="812" t="s">
        <v>216</v>
      </c>
      <c r="S3" s="812"/>
    </row>
    <row r="4" spans="1:21" ht="12" customHeight="1">
      <c r="A4" s="133"/>
      <c r="B4" s="134"/>
      <c r="C4" s="134"/>
      <c r="F4" s="241" t="s">
        <v>168</v>
      </c>
      <c r="G4" s="241"/>
      <c r="H4" s="241"/>
      <c r="I4" s="795">
        <v>45747</v>
      </c>
      <c r="J4" s="287">
        <v>45838</v>
      </c>
      <c r="K4" s="287">
        <v>45930</v>
      </c>
      <c r="L4" s="302">
        <v>46022</v>
      </c>
      <c r="M4" s="287">
        <v>46112</v>
      </c>
      <c r="N4" s="287">
        <v>46203</v>
      </c>
      <c r="O4" s="287">
        <v>46295</v>
      </c>
      <c r="P4" s="302">
        <v>46387</v>
      </c>
      <c r="Q4" s="3"/>
      <c r="R4" s="289" t="s">
        <v>23</v>
      </c>
      <c r="S4" s="289" t="s">
        <v>24</v>
      </c>
      <c r="T4" s="113"/>
      <c r="U4" s="222"/>
    </row>
    <row r="5" spans="1:21" ht="12" customHeight="1">
      <c r="A5" s="143"/>
      <c r="B5" s="133" t="s">
        <v>155</v>
      </c>
      <c r="C5" s="133"/>
      <c r="F5" s="268" t="s">
        <v>154</v>
      </c>
      <c r="G5" s="269"/>
      <c r="H5" s="269"/>
      <c r="I5" s="293">
        <f t="shared" ref="I5:M5" si="0">SUM(I6:I10)</f>
        <v>1145.219631149</v>
      </c>
      <c r="J5" s="293">
        <f t="shared" si="0"/>
        <v>771.97100234300001</v>
      </c>
      <c r="K5" s="293">
        <f t="shared" si="0"/>
        <v>765.87848636299998</v>
      </c>
      <c r="L5" s="355">
        <f t="shared" si="0"/>
        <v>756.088823381</v>
      </c>
      <c r="M5" s="293">
        <f t="shared" si="0"/>
        <v>773.89541740699997</v>
      </c>
      <c r="N5" s="513">
        <f t="shared" ref="N5" si="1">SUM(N6:N10)</f>
        <v>781.81110137299993</v>
      </c>
      <c r="O5" s="513"/>
      <c r="P5" s="513"/>
      <c r="Q5" s="3"/>
      <c r="R5" s="286">
        <f>IF(N5/J5&lt;0,"n.a.",IF(J5&gt;0,ROUND(N5,4)/ROUND(J5,4)-1,IF(J5&lt;0,"n.a.")))</f>
        <v>1.2746722350969186E-2</v>
      </c>
      <c r="S5" s="324">
        <f>IF(N5/M5&lt;0,"n.a.",IF(M5&gt;0,ROUND(N5,4)/ROUND(M5,4)-1,IF(M5&lt;0,"n.a.")))</f>
        <v>1.0228384869583218E-2</v>
      </c>
      <c r="T5" s="113"/>
    </row>
    <row r="6" spans="1:21" ht="12" customHeight="1">
      <c r="A6" s="143"/>
      <c r="B6" s="142"/>
      <c r="C6" s="134"/>
      <c r="F6" s="270"/>
      <c r="G6" s="271" t="s">
        <v>206</v>
      </c>
      <c r="H6" s="271"/>
      <c r="I6" s="294">
        <v>0</v>
      </c>
      <c r="J6" s="294">
        <v>0</v>
      </c>
      <c r="K6" s="294">
        <v>0</v>
      </c>
      <c r="L6" s="356">
        <v>0</v>
      </c>
      <c r="M6" s="294">
        <v>0</v>
      </c>
      <c r="N6" s="514">
        <v>0</v>
      </c>
      <c r="O6" s="514"/>
      <c r="P6" s="514"/>
      <c r="Q6" s="3"/>
      <c r="R6" s="145">
        <v>0</v>
      </c>
      <c r="S6" s="145">
        <v>0</v>
      </c>
      <c r="T6" s="113"/>
    </row>
    <row r="7" spans="1:21" ht="12" customHeight="1">
      <c r="A7" s="143"/>
      <c r="B7" s="142" t="s">
        <v>212</v>
      </c>
      <c r="C7" s="134"/>
      <c r="F7" s="270"/>
      <c r="G7" s="271" t="s">
        <v>207</v>
      </c>
      <c r="H7" s="271"/>
      <c r="I7" s="294">
        <v>50.185481500000002</v>
      </c>
      <c r="J7" s="294">
        <v>0</v>
      </c>
      <c r="K7" s="294">
        <v>0</v>
      </c>
      <c r="L7" s="356">
        <v>0</v>
      </c>
      <c r="M7" s="294">
        <v>0</v>
      </c>
      <c r="N7" s="514">
        <v>0</v>
      </c>
      <c r="O7" s="514"/>
      <c r="P7" s="514"/>
      <c r="Q7" s="3"/>
      <c r="R7" s="145">
        <v>0</v>
      </c>
      <c r="S7" s="145">
        <v>0</v>
      </c>
      <c r="T7" s="113"/>
    </row>
    <row r="8" spans="1:21" ht="12" customHeight="1">
      <c r="A8" s="143"/>
      <c r="B8" s="142" t="s">
        <v>213</v>
      </c>
      <c r="C8" s="134"/>
      <c r="F8" s="270"/>
      <c r="G8" s="271" t="s">
        <v>208</v>
      </c>
      <c r="H8" s="271"/>
      <c r="I8" s="294">
        <v>234.44564389999999</v>
      </c>
      <c r="J8" s="294">
        <v>117.6827608</v>
      </c>
      <c r="K8" s="294">
        <v>107.52411410000001</v>
      </c>
      <c r="L8" s="356">
        <v>85.610374800000002</v>
      </c>
      <c r="M8" s="294">
        <v>83.672681900000001</v>
      </c>
      <c r="N8" s="514">
        <v>73.245134899999996</v>
      </c>
      <c r="O8" s="514"/>
      <c r="P8" s="514"/>
      <c r="Q8" s="3"/>
      <c r="R8" s="145">
        <f t="shared" ref="R8:R14" si="2">IF(N8/J8&lt;0,"n.a.",IF(J8&gt;0,ROUND(N8,4)/ROUND(J8,4)-1,IF(J8&lt;0,"n.a.")))</f>
        <v>-0.3776057333781998</v>
      </c>
      <c r="S8" s="145">
        <f t="shared" ref="S8:S16" si="3">IF(N8/M8&lt;0,"n.a.",IF(M8&gt;0,ROUND(N8,4)/ROUND(M8,4)-1,IF(M8&lt;0,"n.a.")))</f>
        <v>-0.12462368251532474</v>
      </c>
    </row>
    <row r="9" spans="1:21" ht="12" customHeight="1">
      <c r="A9" s="143"/>
      <c r="B9" s="142"/>
      <c r="C9" s="134"/>
      <c r="F9" s="270"/>
      <c r="G9" s="271" t="s">
        <v>209</v>
      </c>
      <c r="H9" s="271"/>
      <c r="I9" s="294">
        <v>90.182146500000002</v>
      </c>
      <c r="J9" s="294">
        <v>50.087048500000002</v>
      </c>
      <c r="K9" s="294">
        <v>50.130216500000003</v>
      </c>
      <c r="L9" s="356">
        <v>50.113340000000001</v>
      </c>
      <c r="M9" s="294">
        <v>50.115908500000003</v>
      </c>
      <c r="N9" s="514">
        <v>50.101813499999999</v>
      </c>
      <c r="O9" s="514"/>
      <c r="P9" s="514"/>
      <c r="Q9" s="3"/>
      <c r="R9" s="145">
        <f t="shared" si="2"/>
        <v>2.9548585461292021E-4</v>
      </c>
      <c r="S9" s="145">
        <f t="shared" si="3"/>
        <v>-2.8134783571698296E-4</v>
      </c>
    </row>
    <row r="10" spans="1:21" ht="12" customHeight="1">
      <c r="A10" s="133"/>
      <c r="B10" s="142" t="s">
        <v>171</v>
      </c>
      <c r="C10" s="134"/>
      <c r="F10" s="272"/>
      <c r="G10" s="273" t="s">
        <v>210</v>
      </c>
      <c r="H10" s="273"/>
      <c r="I10" s="295">
        <v>770.40635924900005</v>
      </c>
      <c r="J10" s="295">
        <v>604.20119304299999</v>
      </c>
      <c r="K10" s="295">
        <v>608.224155763</v>
      </c>
      <c r="L10" s="357">
        <v>620.36510858099996</v>
      </c>
      <c r="M10" s="295">
        <v>640.10682700699999</v>
      </c>
      <c r="N10" s="515">
        <v>658.46415297299995</v>
      </c>
      <c r="O10" s="515"/>
      <c r="P10" s="515"/>
      <c r="Q10" s="3"/>
      <c r="R10" s="325">
        <f t="shared" si="2"/>
        <v>8.9809487303236235E-2</v>
      </c>
      <c r="S10" s="325">
        <f t="shared" si="3"/>
        <v>2.8678651749989292E-2</v>
      </c>
    </row>
    <row r="11" spans="1:21" ht="12" customHeight="1">
      <c r="A11" s="133"/>
      <c r="B11" s="142" t="s">
        <v>166</v>
      </c>
      <c r="C11" s="134"/>
      <c r="F11" s="270" t="s">
        <v>153</v>
      </c>
      <c r="G11" s="271"/>
      <c r="H11" s="271"/>
      <c r="I11" s="296">
        <f t="shared" ref="I11:M11" si="4">SUM(I12:I16)</f>
        <v>20436.131553473999</v>
      </c>
      <c r="J11" s="296">
        <f t="shared" si="4"/>
        <v>21214.100765717001</v>
      </c>
      <c r="K11" s="296">
        <f t="shared" si="4"/>
        <v>22569.502652649004</v>
      </c>
      <c r="L11" s="358">
        <f t="shared" si="4"/>
        <v>22432.214164041001</v>
      </c>
      <c r="M11" s="296">
        <f t="shared" si="4"/>
        <v>22022.422984716999</v>
      </c>
      <c r="N11" s="516">
        <f t="shared" ref="N11" si="5">SUM(N12:N16)</f>
        <v>21894.383214090001</v>
      </c>
      <c r="O11" s="516"/>
      <c r="P11" s="516"/>
      <c r="Q11" s="3"/>
      <c r="R11" s="145">
        <f t="shared" si="2"/>
        <v>3.206746335437427E-2</v>
      </c>
      <c r="S11" s="145">
        <f t="shared" si="3"/>
        <v>-5.814065055420925E-3</v>
      </c>
    </row>
    <row r="12" spans="1:21" ht="12" customHeight="1">
      <c r="A12" s="133"/>
      <c r="B12" s="142" t="s">
        <v>219</v>
      </c>
      <c r="C12" s="134"/>
      <c r="F12" s="270" t="s">
        <v>21</v>
      </c>
      <c r="G12" s="271" t="s">
        <v>206</v>
      </c>
      <c r="H12" s="271"/>
      <c r="I12" s="294">
        <v>9200.7860448859992</v>
      </c>
      <c r="J12" s="294">
        <v>9358.9754559699995</v>
      </c>
      <c r="K12" s="294">
        <v>9581.8805071030001</v>
      </c>
      <c r="L12" s="356">
        <v>9063.9458270270006</v>
      </c>
      <c r="M12" s="294">
        <v>8397.4999645520002</v>
      </c>
      <c r="N12" s="514">
        <v>8001.9418451069996</v>
      </c>
      <c r="O12" s="514"/>
      <c r="P12" s="514"/>
      <c r="Q12" s="3"/>
      <c r="R12" s="145">
        <f t="shared" si="2"/>
        <v>-0.14499810369201205</v>
      </c>
      <c r="S12" s="145">
        <f t="shared" si="3"/>
        <v>-4.710428103602271E-2</v>
      </c>
    </row>
    <row r="13" spans="1:21" ht="12" customHeight="1">
      <c r="A13" s="133"/>
      <c r="B13" s="142"/>
      <c r="C13" s="134"/>
      <c r="F13" s="270"/>
      <c r="G13" s="271" t="s">
        <v>207</v>
      </c>
      <c r="H13" s="271"/>
      <c r="I13" s="294">
        <v>3042.5845528280001</v>
      </c>
      <c r="J13" s="294">
        <v>2916.1841018240002</v>
      </c>
      <c r="K13" s="294">
        <v>2958.221197669</v>
      </c>
      <c r="L13" s="356">
        <v>2943.2980745619998</v>
      </c>
      <c r="M13" s="294">
        <v>2937.1741630219999</v>
      </c>
      <c r="N13" s="514">
        <v>3059.5164036860001</v>
      </c>
      <c r="O13" s="514"/>
      <c r="P13" s="514"/>
      <c r="Q13" s="3"/>
      <c r="R13" s="145">
        <f t="shared" si="2"/>
        <v>4.9150634899902235E-2</v>
      </c>
      <c r="S13" s="145">
        <f t="shared" si="3"/>
        <v>4.1653028274591275E-2</v>
      </c>
    </row>
    <row r="14" spans="1:21" ht="12" customHeight="1">
      <c r="A14" s="133"/>
      <c r="B14" s="133" t="s">
        <v>173</v>
      </c>
      <c r="C14" s="134"/>
      <c r="F14" s="270"/>
      <c r="G14" s="271" t="s">
        <v>208</v>
      </c>
      <c r="H14" s="271"/>
      <c r="I14" s="294">
        <v>2382.7671123</v>
      </c>
      <c r="J14" s="294">
        <v>2400.0527132000002</v>
      </c>
      <c r="K14" s="294">
        <v>2305.5588406000002</v>
      </c>
      <c r="L14" s="356">
        <v>2297.5740056100003</v>
      </c>
      <c r="M14" s="294">
        <v>2226.72614961</v>
      </c>
      <c r="N14" s="514">
        <v>2132.4974193100002</v>
      </c>
      <c r="O14" s="514"/>
      <c r="P14" s="514"/>
      <c r="Q14" s="3"/>
      <c r="R14" s="145">
        <f t="shared" si="2"/>
        <v>-0.11147892710855889</v>
      </c>
      <c r="S14" s="145">
        <f t="shared" si="3"/>
        <v>-4.2317148929991721E-2</v>
      </c>
    </row>
    <row r="15" spans="1:21" ht="12" customHeight="1">
      <c r="A15" s="133"/>
      <c r="B15" s="135"/>
      <c r="C15" s="142" t="s">
        <v>40</v>
      </c>
      <c r="F15" s="270"/>
      <c r="G15" s="271" t="s">
        <v>209</v>
      </c>
      <c r="H15" s="271"/>
      <c r="I15" s="294">
        <v>1962.387414201</v>
      </c>
      <c r="J15" s="294">
        <v>1593.668016785</v>
      </c>
      <c r="K15" s="294">
        <v>1538.71461591</v>
      </c>
      <c r="L15" s="356">
        <v>1499.6577988680001</v>
      </c>
      <c r="M15" s="294">
        <v>1628.4493595739998</v>
      </c>
      <c r="N15" s="514">
        <v>1529.0899941759999</v>
      </c>
      <c r="O15" s="514"/>
      <c r="P15" s="514"/>
      <c r="Q15" s="3"/>
      <c r="R15" s="145">
        <f t="shared" ref="R15" si="6">IF(N15/J15&lt;0,"n.a.",IF(J15&gt;0,ROUND(N15,4)/ROUND(J15,4)-1,IF(J15&lt;0,"n.a.")))</f>
        <v>-4.0521614288546948E-2</v>
      </c>
      <c r="S15" s="145">
        <f t="shared" si="3"/>
        <v>-6.1014729717730254E-2</v>
      </c>
    </row>
    <row r="16" spans="1:21" ht="12" customHeight="1">
      <c r="A16" s="133"/>
      <c r="B16" s="133"/>
      <c r="C16" s="142" t="s">
        <v>41</v>
      </c>
      <c r="F16" s="272"/>
      <c r="G16" s="273" t="s">
        <v>210</v>
      </c>
      <c r="H16" s="273"/>
      <c r="I16" s="295">
        <v>3847.6064292589999</v>
      </c>
      <c r="J16" s="295">
        <v>4945.2204779379999</v>
      </c>
      <c r="K16" s="295">
        <v>6185.1274913670004</v>
      </c>
      <c r="L16" s="357">
        <v>6627.7384579740001</v>
      </c>
      <c r="M16" s="295">
        <v>6832.5733479589999</v>
      </c>
      <c r="N16" s="515">
        <v>7171.3375518109997</v>
      </c>
      <c r="O16" s="515"/>
      <c r="P16" s="515"/>
      <c r="Q16" s="3"/>
      <c r="R16" s="325">
        <f>IF(N16/J16&lt;0,"n.a.",IF(J16&gt;0,ROUND(N16,4)/ROUND(J16,4)-1,IF(J16&lt;0,"n.a.")))</f>
        <v>0.4501552761904144</v>
      </c>
      <c r="S16" s="325">
        <f t="shared" si="3"/>
        <v>4.9580778006435677E-2</v>
      </c>
    </row>
    <row r="17" spans="1:19" ht="12" customHeight="1">
      <c r="A17" s="133"/>
      <c r="B17" s="133"/>
      <c r="C17" s="142"/>
      <c r="F17" s="270" t="s">
        <v>152</v>
      </c>
      <c r="G17" s="271"/>
      <c r="H17" s="271"/>
      <c r="I17" s="296">
        <f t="shared" ref="I17:M17" si="7">SUM(I18:I22)</f>
        <v>0</v>
      </c>
      <c r="J17" s="296">
        <f t="shared" si="7"/>
        <v>0</v>
      </c>
      <c r="K17" s="296">
        <f t="shared" si="7"/>
        <v>0</v>
      </c>
      <c r="L17" s="358">
        <f t="shared" si="7"/>
        <v>0</v>
      </c>
      <c r="M17" s="296">
        <f t="shared" si="7"/>
        <v>0</v>
      </c>
      <c r="N17" s="516">
        <f t="shared" ref="N17" si="8">SUM(N18:N22)</f>
        <v>0</v>
      </c>
      <c r="O17" s="516"/>
      <c r="P17" s="516"/>
      <c r="Q17" s="3"/>
      <c r="R17" s="326">
        <v>0</v>
      </c>
      <c r="S17" s="326">
        <v>0</v>
      </c>
    </row>
    <row r="18" spans="1:19" ht="12" customHeight="1">
      <c r="A18" s="133"/>
      <c r="B18" s="133" t="s">
        <v>176</v>
      </c>
      <c r="C18" s="142"/>
      <c r="F18" s="270"/>
      <c r="G18" s="271" t="s">
        <v>206</v>
      </c>
      <c r="H18" s="271"/>
      <c r="I18" s="294">
        <v>0</v>
      </c>
      <c r="J18" s="294">
        <v>0</v>
      </c>
      <c r="K18" s="294">
        <v>0</v>
      </c>
      <c r="L18" s="356">
        <v>0</v>
      </c>
      <c r="M18" s="294">
        <v>0</v>
      </c>
      <c r="N18" s="514">
        <v>0</v>
      </c>
      <c r="O18" s="514"/>
      <c r="P18" s="514"/>
      <c r="Q18" s="3"/>
      <c r="R18" s="145">
        <v>0</v>
      </c>
      <c r="S18" s="145">
        <v>0</v>
      </c>
    </row>
    <row r="19" spans="1:19" ht="12" customHeight="1">
      <c r="A19" s="133"/>
      <c r="B19" s="133"/>
      <c r="C19" s="142" t="s">
        <v>33</v>
      </c>
      <c r="F19" s="270"/>
      <c r="G19" s="271" t="s">
        <v>207</v>
      </c>
      <c r="H19" s="271"/>
      <c r="I19" s="294">
        <v>0</v>
      </c>
      <c r="J19" s="294">
        <v>0</v>
      </c>
      <c r="K19" s="294">
        <v>0</v>
      </c>
      <c r="L19" s="356">
        <v>0</v>
      </c>
      <c r="M19" s="294">
        <v>0</v>
      </c>
      <c r="N19" s="514">
        <v>0</v>
      </c>
      <c r="O19" s="514"/>
      <c r="P19" s="514"/>
      <c r="Q19" s="3"/>
      <c r="R19" s="145">
        <v>0</v>
      </c>
      <c r="S19" s="145">
        <v>0</v>
      </c>
    </row>
    <row r="20" spans="1:19" ht="12" customHeight="1">
      <c r="A20" s="133"/>
      <c r="B20" s="133"/>
      <c r="C20" s="142" t="s">
        <v>29</v>
      </c>
      <c r="F20" s="270"/>
      <c r="G20" s="271" t="s">
        <v>208</v>
      </c>
      <c r="H20" s="271"/>
      <c r="I20" s="294">
        <v>0</v>
      </c>
      <c r="J20" s="294">
        <v>0</v>
      </c>
      <c r="K20" s="294">
        <v>0</v>
      </c>
      <c r="L20" s="356">
        <v>0</v>
      </c>
      <c r="M20" s="294">
        <v>0</v>
      </c>
      <c r="N20" s="514">
        <v>0</v>
      </c>
      <c r="O20" s="514"/>
      <c r="P20" s="514"/>
      <c r="Q20" s="3"/>
      <c r="R20" s="145">
        <v>0</v>
      </c>
      <c r="S20" s="145">
        <v>0</v>
      </c>
    </row>
    <row r="21" spans="1:19" ht="12" customHeight="1">
      <c r="A21" s="133"/>
      <c r="B21" s="133"/>
      <c r="C21" s="142" t="s">
        <v>30</v>
      </c>
      <c r="F21" s="270"/>
      <c r="G21" s="271" t="s">
        <v>209</v>
      </c>
      <c r="H21" s="271"/>
      <c r="I21" s="294">
        <v>0</v>
      </c>
      <c r="J21" s="294">
        <v>0</v>
      </c>
      <c r="K21" s="294">
        <v>0</v>
      </c>
      <c r="L21" s="356">
        <v>0</v>
      </c>
      <c r="M21" s="294">
        <v>0</v>
      </c>
      <c r="N21" s="514">
        <v>0</v>
      </c>
      <c r="O21" s="514"/>
      <c r="P21" s="514"/>
      <c r="Q21" s="3"/>
      <c r="R21" s="145">
        <v>0</v>
      </c>
      <c r="S21" s="145">
        <v>0</v>
      </c>
    </row>
    <row r="22" spans="1:19" ht="12" customHeight="1">
      <c r="A22" s="133"/>
      <c r="B22" s="133"/>
      <c r="C22" s="142" t="s">
        <v>31</v>
      </c>
      <c r="F22" s="274"/>
      <c r="G22" s="275" t="s">
        <v>210</v>
      </c>
      <c r="H22" s="275"/>
      <c r="I22" s="297">
        <v>0</v>
      </c>
      <c r="J22" s="297">
        <v>0</v>
      </c>
      <c r="K22" s="297">
        <v>0</v>
      </c>
      <c r="L22" s="359">
        <v>0</v>
      </c>
      <c r="M22" s="297">
        <v>0</v>
      </c>
      <c r="N22" s="517">
        <v>0</v>
      </c>
      <c r="O22" s="517"/>
      <c r="P22" s="517"/>
      <c r="Q22" s="3"/>
      <c r="R22" s="292">
        <v>0</v>
      </c>
      <c r="S22" s="292">
        <v>0</v>
      </c>
    </row>
    <row r="23" spans="1:19" ht="12" customHeight="1">
      <c r="A23" s="133"/>
      <c r="B23" s="133"/>
      <c r="C23" s="142"/>
      <c r="F23" s="274" t="s">
        <v>117</v>
      </c>
      <c r="G23" s="275"/>
      <c r="H23" s="275"/>
      <c r="I23" s="512">
        <f t="shared" ref="I23:M23" si="9">SUM(I17,I11,I5)</f>
        <v>21581.351184622999</v>
      </c>
      <c r="J23" s="512">
        <f t="shared" si="9"/>
        <v>21986.071768060003</v>
      </c>
      <c r="K23" s="512">
        <f t="shared" si="9"/>
        <v>23335.381139012003</v>
      </c>
      <c r="L23" s="748">
        <f t="shared" si="9"/>
        <v>23188.302987422001</v>
      </c>
      <c r="M23" s="512">
        <f t="shared" si="9"/>
        <v>22796.318402123998</v>
      </c>
      <c r="N23" s="518">
        <f t="shared" ref="N23" si="10">SUM(N17,N11,N5)</f>
        <v>22676.194315463003</v>
      </c>
      <c r="O23" s="518"/>
      <c r="P23" s="518"/>
      <c r="Q23" s="3"/>
      <c r="R23" s="327">
        <f>IF(N23/J23&lt;0,"n.a.",IF(J23&gt;0,ROUND(N23,4)/ROUND(J23,4)-1,IF(J23&lt;0,"n.a.")))</f>
        <v>3.1389076970084195E-2</v>
      </c>
      <c r="S23" s="327">
        <f>IF(N23/M23&lt;0,"n.a.",IF(M23&gt;0,ROUND(N23,4)/ROUND(M23,4)-1,IF(M23&lt;0,"n.a.")))</f>
        <v>-5.2694517549816133E-3</v>
      </c>
    </row>
    <row r="24" spans="1:19" ht="12" customHeight="1">
      <c r="A24" s="133"/>
      <c r="B24" s="133" t="s">
        <v>181</v>
      </c>
      <c r="C24" s="142"/>
      <c r="F24" s="545"/>
      <c r="G24" s="529"/>
      <c r="H24" s="529"/>
      <c r="Q24" s="3"/>
    </row>
    <row r="25" spans="1:19" ht="12" customHeight="1">
      <c r="A25" s="133"/>
      <c r="B25" s="133"/>
      <c r="C25" s="142" t="s">
        <v>32</v>
      </c>
      <c r="F25" s="615"/>
      <c r="G25" s="616"/>
      <c r="H25" s="473"/>
      <c r="Q25" s="3"/>
    </row>
    <row r="26" spans="1:19" ht="12" customHeight="1">
      <c r="A26" s="133"/>
      <c r="B26" s="133"/>
      <c r="C26" s="142" t="s">
        <v>34</v>
      </c>
      <c r="F26" s="181"/>
      <c r="G26" s="7"/>
      <c r="Q26" s="3"/>
    </row>
    <row r="27" spans="1:19" ht="12" customHeight="1">
      <c r="A27" s="133"/>
      <c r="B27" s="133"/>
      <c r="C27" s="142" t="s">
        <v>35</v>
      </c>
      <c r="F27" s="181"/>
      <c r="G27" s="7"/>
      <c r="Q27" s="3"/>
    </row>
    <row r="28" spans="1:19" ht="12" customHeight="1">
      <c r="A28" s="133"/>
      <c r="B28" s="133"/>
      <c r="C28" s="142"/>
      <c r="F28" s="181"/>
      <c r="G28" s="7"/>
    </row>
    <row r="29" spans="1:19" s="7" customFormat="1" ht="12" customHeight="1">
      <c r="A29" s="133"/>
      <c r="B29" s="133"/>
      <c r="C29" s="142"/>
      <c r="D29" s="1"/>
      <c r="F29" s="1"/>
      <c r="H29" s="1"/>
      <c r="J29" s="1"/>
      <c r="K29" s="1"/>
    </row>
    <row r="30" spans="1:19" s="7" customFormat="1" ht="12" customHeight="1">
      <c r="A30" s="133"/>
      <c r="B30" s="133" t="s">
        <v>185</v>
      </c>
      <c r="C30" s="142"/>
      <c r="D30" s="1"/>
      <c r="F30" s="1"/>
      <c r="H30" s="1"/>
      <c r="J30" s="1"/>
      <c r="K30" s="1"/>
    </row>
    <row r="31" spans="1:19" ht="14.25">
      <c r="A31" s="133"/>
      <c r="B31" s="133"/>
      <c r="C31" s="142" t="s">
        <v>147</v>
      </c>
      <c r="G31" s="7"/>
      <c r="L31" s="7"/>
      <c r="M31" s="7"/>
      <c r="N31" s="7"/>
      <c r="O31" s="7"/>
      <c r="P31" s="7"/>
    </row>
    <row r="32" spans="1:19" ht="14.25">
      <c r="A32" s="133"/>
      <c r="B32" s="133"/>
      <c r="C32" s="142" t="s">
        <v>36</v>
      </c>
      <c r="G32" s="7"/>
      <c r="L32" s="7"/>
      <c r="M32" s="7"/>
      <c r="N32" s="7"/>
      <c r="O32" s="7"/>
      <c r="P32" s="7"/>
    </row>
    <row r="33" spans="1:16" ht="14.25">
      <c r="A33" s="133"/>
      <c r="B33" s="133"/>
      <c r="C33" s="142"/>
      <c r="G33" s="7"/>
      <c r="L33" s="7"/>
      <c r="M33" s="7"/>
      <c r="N33" s="7"/>
      <c r="O33" s="7"/>
      <c r="P33" s="7"/>
    </row>
    <row r="34" spans="1:16" ht="14.25">
      <c r="A34" s="133"/>
      <c r="B34" s="133" t="s">
        <v>188</v>
      </c>
      <c r="C34" s="142"/>
      <c r="G34" s="7"/>
    </row>
    <row r="35" spans="1:16" ht="14.25">
      <c r="A35" s="133"/>
      <c r="B35" s="133"/>
      <c r="C35" s="142" t="s">
        <v>37</v>
      </c>
      <c r="G35" s="7"/>
    </row>
    <row r="36" spans="1:16" ht="14.25">
      <c r="A36" s="133"/>
      <c r="B36" s="133"/>
      <c r="C36" s="142" t="s">
        <v>38</v>
      </c>
      <c r="L36" s="7"/>
      <c r="M36" s="7"/>
      <c r="N36" s="7"/>
      <c r="O36" s="7"/>
      <c r="P36" s="7"/>
    </row>
    <row r="37" spans="1:16" ht="14.25">
      <c r="A37" s="25"/>
      <c r="L37" s="7"/>
      <c r="M37" s="7"/>
      <c r="N37" s="7"/>
      <c r="O37" s="7"/>
      <c r="P37" s="7"/>
    </row>
    <row r="38" spans="1:16" ht="14.25">
      <c r="A38" s="25"/>
      <c r="L38" s="7"/>
      <c r="M38" s="7"/>
      <c r="N38" s="7"/>
      <c r="O38" s="7"/>
      <c r="P38" s="7"/>
    </row>
    <row r="39" spans="1:16" ht="14.25">
      <c r="A39" s="25"/>
      <c r="L39" s="7"/>
      <c r="M39" s="7"/>
      <c r="N39" s="7"/>
      <c r="O39" s="7"/>
      <c r="P39" s="7"/>
    </row>
    <row r="40" spans="1:16" ht="14.25">
      <c r="A40" s="25"/>
      <c r="L40" s="7"/>
      <c r="M40" s="7"/>
      <c r="N40" s="7"/>
      <c r="O40" s="7"/>
      <c r="P40" s="7"/>
    </row>
    <row r="41" spans="1:16" ht="14.25">
      <c r="A41" s="25"/>
    </row>
    <row r="42" spans="1:16" ht="14.25">
      <c r="A42" s="25"/>
    </row>
    <row r="43" spans="1:16" ht="14.25">
      <c r="A43" s="25"/>
      <c r="F43" s="63"/>
    </row>
    <row r="44" spans="1:16" ht="14.25">
      <c r="A44" s="25"/>
      <c r="F44" s="63"/>
    </row>
    <row r="45" spans="1:16" ht="14.25">
      <c r="A45" s="25"/>
      <c r="F45" s="63"/>
    </row>
    <row r="46" spans="1:16" ht="14.25">
      <c r="A46" s="25"/>
      <c r="F46" s="63"/>
    </row>
    <row r="47" spans="1:16" ht="14.25">
      <c r="A47" s="25"/>
      <c r="F47" s="63"/>
    </row>
    <row r="48" spans="1:16" ht="14.25">
      <c r="A48" s="25"/>
      <c r="F48" s="63"/>
    </row>
    <row r="49" spans="1:6">
      <c r="F49" s="63"/>
    </row>
    <row r="50" spans="1:6">
      <c r="F50" s="63"/>
    </row>
    <row r="51" spans="1:6">
      <c r="F51" s="63"/>
    </row>
    <row r="52" spans="1:6">
      <c r="F52" s="63"/>
    </row>
    <row r="53" spans="1:6">
      <c r="F53" s="63"/>
    </row>
    <row r="54" spans="1:6">
      <c r="F54" s="63"/>
    </row>
    <row r="55" spans="1:6">
      <c r="F55" s="63"/>
    </row>
    <row r="56" spans="1:6">
      <c r="F56" s="63"/>
    </row>
    <row r="57" spans="1:6">
      <c r="F57" s="63"/>
    </row>
    <row r="58" spans="1:6">
      <c r="F58" s="63"/>
    </row>
    <row r="59" spans="1:6">
      <c r="F59" s="63"/>
    </row>
    <row r="60" spans="1:6">
      <c r="F60" s="63"/>
    </row>
    <row r="61" spans="1:6">
      <c r="F61" s="63"/>
    </row>
    <row r="64" spans="1:6" ht="12">
      <c r="A64" s="1"/>
    </row>
    <row r="65" spans="1:1" ht="12">
      <c r="A65" s="1"/>
    </row>
    <row r="66" spans="1:1" ht="12">
      <c r="A66" s="1"/>
    </row>
    <row r="67" spans="1:1" ht="12">
      <c r="A67" s="1"/>
    </row>
    <row r="68" spans="1:1" ht="12">
      <c r="A68" s="1"/>
    </row>
    <row r="69" spans="1:1" ht="12">
      <c r="A69" s="1"/>
    </row>
    <row r="70" spans="1:1" ht="12">
      <c r="A70" s="1"/>
    </row>
    <row r="71" spans="1:1" ht="12">
      <c r="A71" s="1"/>
    </row>
    <row r="72" spans="1:1" ht="12">
      <c r="A72" s="1"/>
    </row>
    <row r="73" spans="1:1" ht="12">
      <c r="A73" s="1"/>
    </row>
    <row r="74" spans="1:1" ht="12">
      <c r="A74" s="1"/>
    </row>
    <row r="75" spans="1:1" ht="12">
      <c r="A75" s="1"/>
    </row>
    <row r="76" spans="1:1" ht="12">
      <c r="A76" s="1"/>
    </row>
  </sheetData>
  <mergeCells count="3">
    <mergeCell ref="R3:S3"/>
    <mergeCell ref="I3:L3"/>
    <mergeCell ref="M3:P3"/>
  </mergeCells>
  <phoneticPr fontId="7" type="noConversion"/>
  <hyperlinks>
    <hyperlink ref="B5" location="FH!A1" display="재무현황" xr:uid="{00000000-0004-0000-1000-000000000000}"/>
    <hyperlink ref="B7" location="FS!A1" display="요약재무상태표 (Selected Balance sheet)" xr:uid="{00000000-0004-0000-1000-000001000000}"/>
    <hyperlink ref="C15" location="Stability!A1" display="재무 안정성 (Financial Stability)" xr:uid="{00000000-0004-0000-1000-000002000000}"/>
    <hyperlink ref="C16" location="Productivity!A1" display="생산성 / 경영효율 (Productivity / Operating Efficiency)" xr:uid="{00000000-0004-0000-1000-000003000000}"/>
    <hyperlink ref="C20" location="'Premium Income by P.T.(GA+SA)'!A1" display="상품별 수입보험료 (Premium Income)" xr:uid="{00000000-0004-0000-1000-000004000000}"/>
    <hyperlink ref="C21" location="'Initial P. by P.T.'!A1" display="상품별 초회보험료 (Initial Premium)" xr:uid="{00000000-0004-0000-1000-000005000000}"/>
    <hyperlink ref="C22" location="'First-year P. by P.T.'!A1" display="상품별 초년도보험료 (First Year Premium)" xr:uid="{00000000-0004-0000-1000-000006000000}"/>
    <hyperlink ref="C26" location="'Premium Income by D.C.(GA+SA)'!A1" display="채널별 수입보험료 (Premium Income)" xr:uid="{00000000-0004-0000-1000-000007000000}"/>
    <hyperlink ref="C27" location="'First-year P. by D.C'!A1" display="채널별 초년도보험료 (First Year Premium)" xr:uid="{00000000-0004-0000-1000-000008000000}"/>
    <hyperlink ref="C31" location="'&gt;Loan'!A1" display="대출 (Loan)/ 자산건전성 (Asset Quality of Loan)" xr:uid="{00000000-0004-0000-1000-000009000000}"/>
    <hyperlink ref="C32" location="'&gt;Bond'!A1" display="채권 (Bond)" xr:uid="{00000000-0004-0000-1000-00000A000000}"/>
    <hyperlink ref="C35" location="'BS  K-IFRS'!A1" display="재무상태표 (Balance Sheet - KIFRS)" xr:uid="{00000000-0004-0000-1000-00000B000000}"/>
    <hyperlink ref="C36" location="'IS  K-IFRS'!A1" display="손익계산서 (Income Statement - KIFRS)" xr:uid="{00000000-0004-0000-1000-00000C000000}"/>
    <hyperlink ref="B8" location="FS!A1" display="요약손익계산서 (Selected Income Statement)" xr:uid="{00000000-0004-0000-1000-00000D000000}"/>
    <hyperlink ref="B10" location="CSM!A1" display="RA, CSM, BEL Movement" xr:uid="{00000000-0004-0000-1000-00000E000000}"/>
    <hyperlink ref="B11" location="CSM!A1" display="신계약 CSM (New Business CSM)" xr:uid="{00000000-0004-0000-1000-00000F000000}"/>
    <hyperlink ref="B13" location="'Sources of Margin'!A1" display="이원별손익" xr:uid="{00000000-0004-0000-1000-000010000000}"/>
    <hyperlink ref="B12" location="CSM!A1" display="신계약 CSM 배수 (New Business CSM Margin)" xr:uid="{00000000-0004-0000-1000-000011000000}"/>
    <hyperlink ref="C19" location="'APE by P.T'!A1" display="상품별 APE (Annualized Premium Equivalent (APE))" xr:uid="{00000000-0004-0000-1000-000012000000}"/>
    <hyperlink ref="C25" location="'APE by D.C'!A1" display="채널별 APE (Annualized Premium Equivalent (APE))" xr:uid="{00000000-0004-0000-1000-000013000000}"/>
  </hyperlinks>
  <pageMargins left="0.19685039370078741" right="0.19685039370078741" top="0.74803149606299213" bottom="0.74803149606299213"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autoPageBreaks="0" fitToPage="1"/>
  </sheetPr>
  <dimension ref="A1:AKN58"/>
  <sheetViews>
    <sheetView showGridLines="0" zoomScale="55" zoomScaleNormal="55" zoomScaleSheetLayoutView="85" workbookViewId="0">
      <selection sqref="A1:C1"/>
    </sheetView>
  </sheetViews>
  <sheetFormatPr defaultRowHeight="16.5"/>
  <cols>
    <col min="1" max="1" width="119.7109375" style="218" customWidth="1"/>
    <col min="2" max="3" width="23.140625" style="218" customWidth="1"/>
    <col min="4" max="4" width="20.7109375" style="217" customWidth="1"/>
    <col min="5" max="5" width="9.140625" style="217"/>
    <col min="6" max="6" width="13.140625" style="217" bestFit="1" customWidth="1"/>
    <col min="7" max="7" width="15.140625" style="217" bestFit="1" customWidth="1"/>
    <col min="8" max="976" width="9.140625" style="217"/>
    <col min="977" max="980" width="12.85546875" customWidth="1"/>
  </cols>
  <sheetData>
    <row r="1" spans="1:4" ht="19.899999999999999" customHeight="1">
      <c r="A1" s="819" t="s">
        <v>242</v>
      </c>
      <c r="B1" s="819"/>
      <c r="C1" s="819"/>
    </row>
    <row r="2" spans="1:4" ht="17.25">
      <c r="A2" s="208"/>
      <c r="B2" s="209"/>
      <c r="C2" s="209"/>
    </row>
    <row r="3" spans="1:4" ht="15.6" customHeight="1">
      <c r="A3" s="820" t="s">
        <v>395</v>
      </c>
      <c r="B3" s="820"/>
      <c r="C3" s="820"/>
    </row>
    <row r="4" spans="1:4" ht="15.6" customHeight="1">
      <c r="A4" s="820" t="s">
        <v>376</v>
      </c>
      <c r="B4" s="820"/>
      <c r="C4" s="820"/>
    </row>
    <row r="5" spans="1:4" ht="15.6" customHeight="1">
      <c r="A5" s="210"/>
      <c r="B5" s="211"/>
      <c r="C5" s="212" t="s">
        <v>142</v>
      </c>
    </row>
    <row r="6" spans="1:4">
      <c r="A6" s="235"/>
      <c r="B6" s="236" t="s">
        <v>150</v>
      </c>
      <c r="C6" s="236" t="s">
        <v>150</v>
      </c>
    </row>
    <row r="7" spans="1:4">
      <c r="A7" s="233"/>
      <c r="B7" s="234" t="s">
        <v>384</v>
      </c>
      <c r="C7" s="234" t="s">
        <v>375</v>
      </c>
    </row>
    <row r="8" spans="1:4" ht="16.5" customHeight="1">
      <c r="A8" s="619" t="s">
        <v>244</v>
      </c>
      <c r="B8" s="647"/>
      <c r="C8" s="647"/>
    </row>
    <row r="9" spans="1:4" ht="16.5" customHeight="1">
      <c r="A9" s="617" t="s">
        <v>367</v>
      </c>
      <c r="B9" s="464">
        <v>412274565625</v>
      </c>
      <c r="C9" s="464">
        <v>250369675528</v>
      </c>
      <c r="D9" s="237"/>
    </row>
    <row r="10" spans="1:4" ht="16.5" customHeight="1">
      <c r="A10" s="617" t="s">
        <v>366</v>
      </c>
      <c r="B10" s="464">
        <v>33996943235837</v>
      </c>
      <c r="C10" s="464">
        <v>33879553349342</v>
      </c>
      <c r="D10" s="237"/>
    </row>
    <row r="11" spans="1:4" ht="16.5" customHeight="1">
      <c r="A11" s="617" t="s">
        <v>295</v>
      </c>
      <c r="B11" s="464">
        <v>6577917640010</v>
      </c>
      <c r="C11" s="464">
        <v>5383256354415</v>
      </c>
      <c r="D11" s="237"/>
    </row>
    <row r="12" spans="1:4" ht="16.5" customHeight="1">
      <c r="A12" s="617" t="s">
        <v>245</v>
      </c>
      <c r="B12" s="464">
        <v>22307750465490</v>
      </c>
      <c r="C12" s="464">
        <v>22837835416401</v>
      </c>
      <c r="D12" s="237"/>
    </row>
    <row r="13" spans="1:4" ht="16.5" customHeight="1">
      <c r="A13" s="617" t="s">
        <v>296</v>
      </c>
      <c r="B13" s="464">
        <v>5106619327597</v>
      </c>
      <c r="C13" s="464">
        <v>5630390869393</v>
      </c>
      <c r="D13" s="237"/>
    </row>
    <row r="14" spans="1:4" ht="16.5" customHeight="1">
      <c r="A14" s="617" t="s">
        <v>297</v>
      </c>
      <c r="B14" s="464">
        <v>4655802740</v>
      </c>
      <c r="C14" s="464">
        <v>28070709133</v>
      </c>
      <c r="D14" s="237"/>
    </row>
    <row r="15" spans="1:4" ht="16.5" customHeight="1">
      <c r="A15" s="618" t="s">
        <v>385</v>
      </c>
      <c r="B15" s="464">
        <v>96713842011</v>
      </c>
      <c r="C15" s="464">
        <v>91038644921</v>
      </c>
      <c r="D15" s="237"/>
    </row>
    <row r="16" spans="1:4" ht="16.5" customHeight="1">
      <c r="A16" s="617" t="s">
        <v>386</v>
      </c>
      <c r="B16" s="464">
        <v>74350687803</v>
      </c>
      <c r="C16" s="464">
        <v>296134885468</v>
      </c>
      <c r="D16" s="237"/>
    </row>
    <row r="17" spans="1:4" ht="16.5" customHeight="1">
      <c r="A17" s="617" t="s">
        <v>387</v>
      </c>
      <c r="B17" s="464">
        <v>24128872581</v>
      </c>
      <c r="C17" s="464">
        <v>27795714379</v>
      </c>
      <c r="D17" s="237"/>
    </row>
    <row r="18" spans="1:4" ht="16.5" customHeight="1">
      <c r="A18" s="617" t="s">
        <v>388</v>
      </c>
      <c r="B18" s="464">
        <v>221376282421</v>
      </c>
      <c r="C18" s="464">
        <v>0</v>
      </c>
      <c r="D18" s="237"/>
    </row>
    <row r="19" spans="1:4" ht="16.5" customHeight="1">
      <c r="A19" s="617" t="s">
        <v>298</v>
      </c>
      <c r="B19" s="464">
        <v>64773205279</v>
      </c>
      <c r="C19" s="464">
        <v>353663061713</v>
      </c>
      <c r="D19" s="237"/>
    </row>
    <row r="20" spans="1:4" ht="16.5" customHeight="1">
      <c r="A20" s="617" t="s">
        <v>246</v>
      </c>
      <c r="B20" s="464">
        <v>0</v>
      </c>
      <c r="C20" s="464">
        <v>3837577921</v>
      </c>
      <c r="D20" s="237"/>
    </row>
    <row r="21" spans="1:4" ht="16.5" customHeight="1">
      <c r="A21" s="617" t="s">
        <v>299</v>
      </c>
      <c r="B21" s="464">
        <v>54669526610</v>
      </c>
      <c r="C21" s="464">
        <v>122123236540</v>
      </c>
      <c r="D21" s="237"/>
    </row>
    <row r="22" spans="1:4" ht="16.5" customHeight="1">
      <c r="A22" s="617" t="s">
        <v>247</v>
      </c>
      <c r="B22" s="464">
        <v>0</v>
      </c>
      <c r="C22" s="464">
        <v>226337060555</v>
      </c>
      <c r="D22" s="237"/>
    </row>
    <row r="23" spans="1:4" ht="16.5" customHeight="1">
      <c r="A23" s="617" t="s">
        <v>248</v>
      </c>
      <c r="B23" s="464">
        <v>10103678669</v>
      </c>
      <c r="C23" s="464">
        <v>1365186697</v>
      </c>
      <c r="D23" s="237"/>
    </row>
    <row r="24" spans="1:4" ht="16.5" customHeight="1">
      <c r="A24" s="617" t="s">
        <v>300</v>
      </c>
      <c r="B24" s="464">
        <v>0</v>
      </c>
      <c r="C24" s="464">
        <v>0</v>
      </c>
      <c r="D24" s="237"/>
    </row>
    <row r="25" spans="1:4" ht="16.5" customHeight="1">
      <c r="A25" s="617" t="s">
        <v>301</v>
      </c>
      <c r="B25" s="464">
        <v>397105317437</v>
      </c>
      <c r="C25" s="464">
        <v>448681730589</v>
      </c>
      <c r="D25" s="237"/>
    </row>
    <row r="26" spans="1:4" ht="16.5" customHeight="1">
      <c r="A26" s="619" t="s">
        <v>368</v>
      </c>
      <c r="B26" s="465">
        <v>35287666008994</v>
      </c>
      <c r="C26" s="465">
        <v>35347237061940</v>
      </c>
      <c r="D26" s="237"/>
    </row>
    <row r="27" spans="1:4" ht="16.5" customHeight="1">
      <c r="A27" s="619" t="s">
        <v>249</v>
      </c>
      <c r="B27" s="464"/>
      <c r="C27" s="464"/>
      <c r="D27" s="237"/>
    </row>
    <row r="28" spans="1:4" ht="16.5" customHeight="1">
      <c r="A28" s="617" t="s">
        <v>302</v>
      </c>
      <c r="B28" s="464">
        <v>25971370444155</v>
      </c>
      <c r="C28" s="464">
        <v>28145078606219</v>
      </c>
      <c r="D28" s="237"/>
    </row>
    <row r="29" spans="1:4" ht="16.5" customHeight="1">
      <c r="A29" s="617" t="s">
        <v>303</v>
      </c>
      <c r="B29" s="464">
        <v>7752260916</v>
      </c>
      <c r="C29" s="464">
        <v>9656170210</v>
      </c>
      <c r="D29" s="237"/>
    </row>
    <row r="30" spans="1:4" ht="16.5" customHeight="1">
      <c r="A30" s="617" t="s">
        <v>258</v>
      </c>
      <c r="B30" s="464">
        <v>4461032316008</v>
      </c>
      <c r="C30" s="464">
        <v>3702749470978</v>
      </c>
      <c r="D30" s="237"/>
    </row>
    <row r="31" spans="1:4" ht="16.5" customHeight="1">
      <c r="A31" s="617" t="s">
        <v>304</v>
      </c>
      <c r="B31" s="464">
        <v>2401046110259</v>
      </c>
      <c r="C31" s="464">
        <v>1881172810767</v>
      </c>
      <c r="D31" s="237"/>
    </row>
    <row r="32" spans="1:4" ht="16.5" customHeight="1">
      <c r="A32" s="617" t="s">
        <v>250</v>
      </c>
      <c r="B32" s="464">
        <v>17325436210</v>
      </c>
      <c r="C32" s="464">
        <v>25515847022</v>
      </c>
      <c r="D32" s="237"/>
    </row>
    <row r="33" spans="1:976" ht="16.5" customHeight="1">
      <c r="A33" s="617" t="s">
        <v>305</v>
      </c>
      <c r="B33" s="464">
        <v>1263848373770</v>
      </c>
      <c r="C33" s="464">
        <v>1210212459653</v>
      </c>
      <c r="D33" s="237"/>
    </row>
    <row r="34" spans="1:976" ht="16.5" customHeight="1">
      <c r="A34" s="617" t="s">
        <v>306</v>
      </c>
      <c r="B34" s="464">
        <v>88099555801</v>
      </c>
      <c r="C34" s="464">
        <v>94741873817</v>
      </c>
      <c r="D34" s="237"/>
    </row>
    <row r="35" spans="1:976" ht="16.5" customHeight="1">
      <c r="A35" s="617" t="s">
        <v>307</v>
      </c>
      <c r="B35" s="464">
        <v>1031772744478</v>
      </c>
      <c r="C35" s="464">
        <v>550702630275</v>
      </c>
      <c r="D35" s="237"/>
    </row>
    <row r="36" spans="1:976" ht="16.5" customHeight="1">
      <c r="A36" s="617" t="s">
        <v>308</v>
      </c>
      <c r="B36" s="464">
        <v>109498286982</v>
      </c>
      <c r="C36" s="464">
        <v>59705326143</v>
      </c>
      <c r="D36" s="237"/>
    </row>
    <row r="37" spans="1:976" ht="16.5" customHeight="1">
      <c r="A37" s="617" t="s">
        <v>251</v>
      </c>
      <c r="B37" s="464">
        <v>39606884573</v>
      </c>
      <c r="C37" s="464">
        <v>39704656726</v>
      </c>
      <c r="D37" s="237"/>
    </row>
    <row r="38" spans="1:976" ht="16.5" customHeight="1">
      <c r="A38" s="617" t="s">
        <v>252</v>
      </c>
      <c r="B38" s="464">
        <v>3409269417</v>
      </c>
      <c r="C38" s="464">
        <v>2822218288</v>
      </c>
      <c r="D38" s="237"/>
    </row>
    <row r="39" spans="1:976" ht="16.5" customHeight="1">
      <c r="A39" s="617" t="s">
        <v>389</v>
      </c>
      <c r="B39" s="464">
        <v>0</v>
      </c>
      <c r="C39" s="464">
        <v>0</v>
      </c>
      <c r="D39" s="237"/>
    </row>
    <row r="40" spans="1:976" ht="16.5" customHeight="1">
      <c r="A40" s="617" t="s">
        <v>253</v>
      </c>
      <c r="B40" s="464">
        <v>25494126160</v>
      </c>
      <c r="C40" s="464">
        <v>0</v>
      </c>
      <c r="D40" s="237"/>
    </row>
    <row r="41" spans="1:976" ht="16.5" customHeight="1">
      <c r="A41" s="617" t="s">
        <v>254</v>
      </c>
      <c r="B41" s="464">
        <v>40988006832</v>
      </c>
      <c r="C41" s="464">
        <v>17178451129</v>
      </c>
      <c r="D41" s="237"/>
    </row>
    <row r="42" spans="1:976" ht="16.5" customHeight="1">
      <c r="A42" s="619" t="s">
        <v>369</v>
      </c>
      <c r="B42" s="465">
        <v>32950699418320</v>
      </c>
      <c r="C42" s="465">
        <v>33798362384317</v>
      </c>
      <c r="D42" s="237"/>
    </row>
    <row r="43" spans="1:976" ht="16.5" customHeight="1">
      <c r="A43" s="620" t="s">
        <v>255</v>
      </c>
      <c r="B43" s="464"/>
      <c r="C43" s="464"/>
      <c r="D43" s="238"/>
      <c r="E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c r="FF43" s="219"/>
      <c r="FG43" s="219"/>
      <c r="FH43" s="219"/>
      <c r="FI43" s="219"/>
      <c r="FJ43" s="219"/>
      <c r="FK43" s="219"/>
      <c r="FL43" s="219"/>
      <c r="FM43" s="219"/>
      <c r="FN43" s="219"/>
      <c r="FO43" s="219"/>
      <c r="FP43" s="219"/>
      <c r="FQ43" s="219"/>
      <c r="FR43" s="219"/>
      <c r="FS43" s="219"/>
      <c r="FT43" s="219"/>
      <c r="FU43" s="219"/>
      <c r="FV43" s="219"/>
      <c r="FW43" s="219"/>
      <c r="FX43" s="219"/>
      <c r="FY43" s="219"/>
      <c r="FZ43" s="219"/>
      <c r="GA43" s="219"/>
      <c r="GB43" s="219"/>
      <c r="GC43" s="219"/>
      <c r="GD43" s="219"/>
      <c r="GE43" s="219"/>
      <c r="GF43" s="219"/>
      <c r="GG43" s="219"/>
      <c r="GH43" s="219"/>
      <c r="GI43" s="219"/>
      <c r="GJ43" s="219"/>
      <c r="GK43" s="219"/>
      <c r="GL43" s="219"/>
      <c r="GM43" s="219"/>
      <c r="GN43" s="219"/>
      <c r="GO43" s="219"/>
      <c r="GP43" s="219"/>
      <c r="GQ43" s="219"/>
      <c r="GR43" s="219"/>
      <c r="GS43" s="219"/>
      <c r="GT43" s="219"/>
      <c r="GU43" s="219"/>
      <c r="GV43" s="219"/>
      <c r="GW43" s="219"/>
      <c r="GX43" s="219"/>
      <c r="GY43" s="219"/>
      <c r="GZ43" s="219"/>
      <c r="HA43" s="219"/>
      <c r="HB43" s="219"/>
      <c r="HC43" s="219"/>
      <c r="HD43" s="219"/>
      <c r="HE43" s="219"/>
      <c r="HF43" s="219"/>
      <c r="HG43" s="219"/>
      <c r="HH43" s="219"/>
      <c r="HI43" s="219"/>
      <c r="HJ43" s="219"/>
      <c r="HK43" s="219"/>
      <c r="HL43" s="219"/>
      <c r="HM43" s="219"/>
      <c r="HN43" s="219"/>
      <c r="HO43" s="219"/>
      <c r="HP43" s="219"/>
      <c r="HQ43" s="219"/>
      <c r="HR43" s="219"/>
      <c r="HS43" s="219"/>
      <c r="HT43" s="219"/>
      <c r="HU43" s="219"/>
      <c r="HV43" s="219"/>
      <c r="HW43" s="219"/>
      <c r="HX43" s="219"/>
      <c r="HY43" s="219"/>
      <c r="HZ43" s="219"/>
      <c r="IA43" s="219"/>
      <c r="IB43" s="219"/>
      <c r="IC43" s="219"/>
      <c r="ID43" s="219"/>
      <c r="IE43" s="219"/>
      <c r="IF43" s="219"/>
      <c r="IG43" s="219"/>
      <c r="IH43" s="219"/>
      <c r="II43" s="219"/>
      <c r="IJ43" s="219"/>
      <c r="IK43" s="219"/>
      <c r="IL43" s="219"/>
      <c r="IM43" s="219"/>
      <c r="IN43" s="219"/>
      <c r="IO43" s="219"/>
      <c r="IP43" s="219"/>
      <c r="IQ43" s="219"/>
      <c r="IR43" s="219"/>
      <c r="IS43" s="219"/>
      <c r="IT43" s="219"/>
      <c r="IU43" s="219"/>
      <c r="IV43" s="219"/>
      <c r="IW43" s="219"/>
      <c r="IX43" s="219"/>
      <c r="IY43" s="219"/>
      <c r="IZ43" s="219"/>
      <c r="JA43" s="219"/>
      <c r="JB43" s="219"/>
      <c r="JC43" s="219"/>
      <c r="JD43" s="219"/>
      <c r="JE43" s="219"/>
      <c r="JF43" s="219"/>
      <c r="JG43" s="219"/>
      <c r="JH43" s="219"/>
      <c r="JI43" s="219"/>
      <c r="JJ43" s="219"/>
      <c r="JK43" s="219"/>
      <c r="JL43" s="219"/>
      <c r="JM43" s="219"/>
      <c r="JN43" s="219"/>
      <c r="JO43" s="219"/>
      <c r="JP43" s="219"/>
      <c r="JQ43" s="219"/>
      <c r="JR43" s="219"/>
      <c r="JS43" s="219"/>
      <c r="JT43" s="219"/>
      <c r="JU43" s="219"/>
      <c r="JV43" s="219"/>
      <c r="JW43" s="219"/>
      <c r="JX43" s="219"/>
      <c r="JY43" s="219"/>
      <c r="JZ43" s="219"/>
      <c r="KA43" s="219"/>
      <c r="KB43" s="219"/>
      <c r="KC43" s="219"/>
      <c r="KD43" s="219"/>
      <c r="KE43" s="219"/>
      <c r="KF43" s="219"/>
      <c r="KG43" s="219"/>
      <c r="KH43" s="219"/>
      <c r="KI43" s="219"/>
      <c r="KJ43" s="219"/>
      <c r="KK43" s="219"/>
      <c r="KL43" s="219"/>
      <c r="KM43" s="219"/>
      <c r="KN43" s="219"/>
      <c r="KO43" s="219"/>
      <c r="KP43" s="219"/>
      <c r="KQ43" s="219"/>
      <c r="KR43" s="219"/>
      <c r="KS43" s="219"/>
      <c r="KT43" s="219"/>
      <c r="KU43" s="219"/>
      <c r="KV43" s="219"/>
      <c r="KW43" s="219"/>
      <c r="KX43" s="219"/>
      <c r="KY43" s="219"/>
      <c r="KZ43" s="219"/>
      <c r="LA43" s="219"/>
      <c r="LB43" s="219"/>
      <c r="LC43" s="219"/>
      <c r="LD43" s="219"/>
      <c r="LE43" s="219"/>
      <c r="LF43" s="219"/>
      <c r="LG43" s="219"/>
      <c r="LH43" s="219"/>
      <c r="LI43" s="219"/>
      <c r="LJ43" s="219"/>
      <c r="LK43" s="219"/>
      <c r="LL43" s="219"/>
      <c r="LM43" s="219"/>
      <c r="LN43" s="219"/>
      <c r="LO43" s="219"/>
      <c r="LP43" s="219"/>
      <c r="LQ43" s="219"/>
      <c r="LR43" s="219"/>
      <c r="LS43" s="219"/>
      <c r="LT43" s="219"/>
      <c r="LU43" s="219"/>
      <c r="LV43" s="219"/>
      <c r="LW43" s="219"/>
      <c r="LX43" s="219"/>
      <c r="LY43" s="219"/>
      <c r="LZ43" s="219"/>
      <c r="MA43" s="219"/>
      <c r="MB43" s="219"/>
      <c r="MC43" s="219"/>
      <c r="MD43" s="219"/>
      <c r="ME43" s="219"/>
      <c r="MF43" s="219"/>
      <c r="MG43" s="219"/>
      <c r="MH43" s="219"/>
      <c r="MI43" s="219"/>
      <c r="MJ43" s="219"/>
      <c r="MK43" s="219"/>
      <c r="ML43" s="219"/>
      <c r="MM43" s="219"/>
      <c r="MN43" s="219"/>
      <c r="MO43" s="219"/>
      <c r="MP43" s="219"/>
      <c r="MQ43" s="219"/>
      <c r="MR43" s="219"/>
      <c r="MS43" s="219"/>
      <c r="MT43" s="219"/>
      <c r="MU43" s="219"/>
      <c r="MV43" s="219"/>
      <c r="MW43" s="219"/>
      <c r="MX43" s="219"/>
      <c r="MY43" s="219"/>
      <c r="MZ43" s="219"/>
      <c r="NA43" s="219"/>
      <c r="NB43" s="219"/>
      <c r="NC43" s="219"/>
      <c r="ND43" s="219"/>
      <c r="NE43" s="219"/>
      <c r="NF43" s="219"/>
      <c r="NG43" s="219"/>
      <c r="NH43" s="219"/>
      <c r="NI43" s="219"/>
      <c r="NJ43" s="219"/>
      <c r="NK43" s="219"/>
      <c r="NL43" s="219"/>
      <c r="NM43" s="219"/>
      <c r="NN43" s="219"/>
      <c r="NO43" s="219"/>
      <c r="NP43" s="219"/>
      <c r="NQ43" s="219"/>
      <c r="NR43" s="219"/>
      <c r="NS43" s="219"/>
      <c r="NT43" s="219"/>
      <c r="NU43" s="219"/>
      <c r="NV43" s="219"/>
      <c r="NW43" s="219"/>
      <c r="NX43" s="219"/>
      <c r="NY43" s="219"/>
      <c r="NZ43" s="219"/>
      <c r="OA43" s="219"/>
      <c r="OB43" s="219"/>
      <c r="OC43" s="219"/>
      <c r="OD43" s="219"/>
      <c r="OE43" s="219"/>
      <c r="OF43" s="219"/>
      <c r="OG43" s="219"/>
      <c r="OH43" s="219"/>
      <c r="OI43" s="219"/>
      <c r="OJ43" s="219"/>
      <c r="OK43" s="219"/>
      <c r="OL43" s="219"/>
      <c r="OM43" s="219"/>
      <c r="ON43" s="219"/>
      <c r="OO43" s="219"/>
      <c r="OP43" s="219"/>
      <c r="OQ43" s="219"/>
      <c r="OR43" s="219"/>
      <c r="OS43" s="219"/>
      <c r="OT43" s="219"/>
      <c r="OU43" s="219"/>
      <c r="OV43" s="219"/>
      <c r="OW43" s="219"/>
      <c r="OX43" s="219"/>
      <c r="OY43" s="219"/>
      <c r="OZ43" s="219"/>
      <c r="PA43" s="219"/>
      <c r="PB43" s="219"/>
      <c r="PC43" s="219"/>
      <c r="PD43" s="219"/>
      <c r="PE43" s="219"/>
      <c r="PF43" s="219"/>
      <c r="PG43" s="219"/>
      <c r="PH43" s="219"/>
      <c r="PI43" s="219"/>
      <c r="PJ43" s="219"/>
      <c r="PK43" s="219"/>
      <c r="PL43" s="219"/>
      <c r="PM43" s="219"/>
      <c r="PN43" s="219"/>
      <c r="PO43" s="219"/>
      <c r="PP43" s="219"/>
      <c r="PQ43" s="219"/>
      <c r="PR43" s="219"/>
      <c r="PS43" s="219"/>
      <c r="PT43" s="219"/>
      <c r="PU43" s="219"/>
      <c r="PV43" s="219"/>
      <c r="PW43" s="219"/>
      <c r="PX43" s="219"/>
      <c r="PY43" s="219"/>
      <c r="PZ43" s="219"/>
      <c r="QA43" s="219"/>
      <c r="QB43" s="219"/>
      <c r="QC43" s="219"/>
      <c r="QD43" s="219"/>
      <c r="QE43" s="219"/>
      <c r="QF43" s="219"/>
      <c r="QG43" s="219"/>
      <c r="QH43" s="219"/>
      <c r="QI43" s="219"/>
      <c r="QJ43" s="219"/>
      <c r="QK43" s="219"/>
      <c r="QL43" s="219"/>
      <c r="QM43" s="219"/>
      <c r="QN43" s="219"/>
      <c r="QO43" s="219"/>
      <c r="QP43" s="219"/>
      <c r="QQ43" s="219"/>
      <c r="QR43" s="219"/>
      <c r="QS43" s="219"/>
      <c r="QT43" s="219"/>
      <c r="QU43" s="219"/>
      <c r="QV43" s="219"/>
      <c r="QW43" s="219"/>
      <c r="QX43" s="219"/>
      <c r="QY43" s="219"/>
      <c r="QZ43" s="219"/>
      <c r="RA43" s="219"/>
      <c r="RB43" s="219"/>
      <c r="RC43" s="219"/>
      <c r="RD43" s="219"/>
      <c r="RE43" s="219"/>
      <c r="RF43" s="219"/>
      <c r="RG43" s="219"/>
      <c r="RH43" s="219"/>
      <c r="RI43" s="219"/>
      <c r="RJ43" s="219"/>
      <c r="RK43" s="219"/>
      <c r="RL43" s="219"/>
      <c r="RM43" s="219"/>
      <c r="RN43" s="219"/>
      <c r="RO43" s="219"/>
      <c r="RP43" s="219"/>
      <c r="RQ43" s="219"/>
      <c r="RR43" s="219"/>
      <c r="RS43" s="219"/>
      <c r="RT43" s="219"/>
      <c r="RU43" s="219"/>
      <c r="RV43" s="219"/>
      <c r="RW43" s="219"/>
      <c r="RX43" s="219"/>
      <c r="RY43" s="219"/>
      <c r="RZ43" s="219"/>
      <c r="SA43" s="219"/>
      <c r="SB43" s="219"/>
      <c r="SC43" s="219"/>
      <c r="SD43" s="219"/>
      <c r="SE43" s="219"/>
      <c r="SF43" s="219"/>
      <c r="SG43" s="219"/>
      <c r="SH43" s="219"/>
      <c r="SI43" s="219"/>
      <c r="SJ43" s="219"/>
      <c r="SK43" s="219"/>
      <c r="SL43" s="219"/>
      <c r="SM43" s="219"/>
      <c r="SN43" s="219"/>
      <c r="SO43" s="219"/>
      <c r="SP43" s="219"/>
      <c r="SQ43" s="219"/>
      <c r="SR43" s="219"/>
      <c r="SS43" s="219"/>
      <c r="ST43" s="219"/>
      <c r="SU43" s="219"/>
      <c r="SV43" s="219"/>
      <c r="SW43" s="219"/>
      <c r="SX43" s="219"/>
      <c r="SY43" s="219"/>
      <c r="SZ43" s="219"/>
      <c r="TA43" s="219"/>
      <c r="TB43" s="219"/>
      <c r="TC43" s="219"/>
      <c r="TD43" s="219"/>
      <c r="TE43" s="219"/>
      <c r="TF43" s="219"/>
      <c r="TG43" s="219"/>
      <c r="TH43" s="219"/>
      <c r="TI43" s="219"/>
      <c r="TJ43" s="219"/>
      <c r="TK43" s="219"/>
      <c r="TL43" s="219"/>
      <c r="TM43" s="219"/>
      <c r="TN43" s="219"/>
      <c r="TO43" s="219"/>
      <c r="TP43" s="219"/>
      <c r="TQ43" s="219"/>
      <c r="TR43" s="219"/>
      <c r="TS43" s="219"/>
      <c r="TT43" s="219"/>
      <c r="TU43" s="219"/>
      <c r="TV43" s="219"/>
      <c r="TW43" s="219"/>
      <c r="TX43" s="219"/>
      <c r="TY43" s="219"/>
      <c r="TZ43" s="219"/>
      <c r="UA43" s="219"/>
      <c r="UB43" s="219"/>
      <c r="UC43" s="219"/>
      <c r="UD43" s="219"/>
      <c r="UE43" s="219"/>
      <c r="UF43" s="219"/>
      <c r="UG43" s="219"/>
      <c r="UH43" s="219"/>
      <c r="UI43" s="219"/>
      <c r="UJ43" s="219"/>
      <c r="UK43" s="219"/>
      <c r="UL43" s="219"/>
      <c r="UM43" s="219"/>
      <c r="UN43" s="219"/>
      <c r="UO43" s="219"/>
      <c r="UP43" s="219"/>
      <c r="UQ43" s="219"/>
      <c r="UR43" s="219"/>
      <c r="US43" s="219"/>
      <c r="UT43" s="219"/>
      <c r="UU43" s="219"/>
      <c r="UV43" s="219"/>
      <c r="UW43" s="219"/>
      <c r="UX43" s="219"/>
      <c r="UY43" s="219"/>
      <c r="UZ43" s="219"/>
      <c r="VA43" s="219"/>
      <c r="VB43" s="219"/>
      <c r="VC43" s="219"/>
      <c r="VD43" s="219"/>
      <c r="VE43" s="219"/>
      <c r="VF43" s="219"/>
      <c r="VG43" s="219"/>
      <c r="VH43" s="219"/>
      <c r="VI43" s="219"/>
      <c r="VJ43" s="219"/>
      <c r="VK43" s="219"/>
      <c r="VL43" s="219"/>
      <c r="VM43" s="219"/>
      <c r="VN43" s="219"/>
      <c r="VO43" s="219"/>
      <c r="VP43" s="219"/>
      <c r="VQ43" s="219"/>
      <c r="VR43" s="219"/>
      <c r="VS43" s="219"/>
      <c r="VT43" s="219"/>
      <c r="VU43" s="219"/>
      <c r="VV43" s="219"/>
      <c r="VW43" s="219"/>
      <c r="VX43" s="219"/>
      <c r="VY43" s="219"/>
      <c r="VZ43" s="219"/>
      <c r="WA43" s="219"/>
      <c r="WB43" s="219"/>
      <c r="WC43" s="219"/>
      <c r="WD43" s="219"/>
      <c r="WE43" s="219"/>
      <c r="WF43" s="219"/>
      <c r="WG43" s="219"/>
      <c r="WH43" s="219"/>
      <c r="WI43" s="219"/>
      <c r="WJ43" s="219"/>
      <c r="WK43" s="219"/>
      <c r="WL43" s="219"/>
      <c r="WM43" s="219"/>
      <c r="WN43" s="219"/>
      <c r="WO43" s="219"/>
      <c r="WP43" s="219"/>
      <c r="WQ43" s="219"/>
      <c r="WR43" s="219"/>
      <c r="WS43" s="219"/>
      <c r="WT43" s="219"/>
      <c r="WU43" s="219"/>
      <c r="WV43" s="219"/>
      <c r="WW43" s="219"/>
      <c r="WX43" s="219"/>
      <c r="WY43" s="219"/>
      <c r="WZ43" s="219"/>
      <c r="XA43" s="219"/>
      <c r="XB43" s="219"/>
      <c r="XC43" s="219"/>
      <c r="XD43" s="219"/>
      <c r="XE43" s="219"/>
      <c r="XF43" s="219"/>
      <c r="XG43" s="219"/>
      <c r="XH43" s="219"/>
      <c r="XI43" s="219"/>
      <c r="XJ43" s="219"/>
      <c r="XK43" s="219"/>
      <c r="XL43" s="219"/>
      <c r="XM43" s="219"/>
      <c r="XN43" s="219"/>
      <c r="XO43" s="219"/>
      <c r="XP43" s="219"/>
      <c r="XQ43" s="219"/>
      <c r="XR43" s="219"/>
      <c r="XS43" s="219"/>
      <c r="XT43" s="219"/>
      <c r="XU43" s="219"/>
      <c r="XV43" s="219"/>
      <c r="XW43" s="219"/>
      <c r="XX43" s="219"/>
      <c r="XY43" s="219"/>
      <c r="XZ43" s="219"/>
      <c r="YA43" s="219"/>
      <c r="YB43" s="219"/>
      <c r="YC43" s="219"/>
      <c r="YD43" s="219"/>
      <c r="YE43" s="219"/>
      <c r="YF43" s="219"/>
      <c r="YG43" s="219"/>
      <c r="YH43" s="219"/>
      <c r="YI43" s="219"/>
      <c r="YJ43" s="219"/>
      <c r="YK43" s="219"/>
      <c r="YL43" s="219"/>
      <c r="YM43" s="219"/>
      <c r="YN43" s="219"/>
      <c r="YO43" s="219"/>
      <c r="YP43" s="219"/>
      <c r="YQ43" s="219"/>
      <c r="YR43" s="219"/>
      <c r="YS43" s="219"/>
      <c r="YT43" s="219"/>
      <c r="YU43" s="219"/>
      <c r="YV43" s="219"/>
      <c r="YW43" s="219"/>
      <c r="YX43" s="219"/>
      <c r="YY43" s="219"/>
      <c r="YZ43" s="219"/>
      <c r="ZA43" s="219"/>
      <c r="ZB43" s="219"/>
      <c r="ZC43" s="219"/>
      <c r="ZD43" s="219"/>
      <c r="ZE43" s="219"/>
      <c r="ZF43" s="219"/>
      <c r="ZG43" s="219"/>
      <c r="ZH43" s="219"/>
      <c r="ZI43" s="219"/>
      <c r="ZJ43" s="219"/>
      <c r="ZK43" s="219"/>
      <c r="ZL43" s="219"/>
      <c r="ZM43" s="219"/>
      <c r="ZN43" s="219"/>
      <c r="ZO43" s="219"/>
      <c r="ZP43" s="219"/>
      <c r="ZQ43" s="219"/>
      <c r="ZR43" s="219"/>
      <c r="ZS43" s="219"/>
      <c r="ZT43" s="219"/>
      <c r="ZU43" s="219"/>
      <c r="ZV43" s="219"/>
      <c r="ZW43" s="219"/>
      <c r="ZX43" s="219"/>
      <c r="ZY43" s="219"/>
      <c r="ZZ43" s="219"/>
      <c r="AAA43" s="219"/>
      <c r="AAB43" s="219"/>
      <c r="AAC43" s="219"/>
      <c r="AAD43" s="219"/>
      <c r="AAE43" s="219"/>
      <c r="AAF43" s="219"/>
      <c r="AAG43" s="219"/>
      <c r="AAH43" s="219"/>
      <c r="AAI43" s="219"/>
      <c r="AAJ43" s="219"/>
      <c r="AAK43" s="219"/>
      <c r="AAL43" s="219"/>
      <c r="AAM43" s="219"/>
      <c r="AAN43" s="219"/>
      <c r="AAO43" s="219"/>
      <c r="AAP43" s="219"/>
      <c r="AAQ43" s="219"/>
      <c r="AAR43" s="219"/>
      <c r="AAS43" s="219"/>
      <c r="AAT43" s="219"/>
      <c r="AAU43" s="219"/>
      <c r="AAV43" s="219"/>
      <c r="AAW43" s="219"/>
      <c r="AAX43" s="219"/>
      <c r="AAY43" s="219"/>
      <c r="AAZ43" s="219"/>
      <c r="ABA43" s="219"/>
      <c r="ABB43" s="219"/>
      <c r="ABC43" s="219"/>
      <c r="ABD43" s="219"/>
      <c r="ABE43" s="219"/>
      <c r="ABF43" s="219"/>
      <c r="ABG43" s="219"/>
      <c r="ABH43" s="219"/>
      <c r="ABI43" s="219"/>
      <c r="ABJ43" s="219"/>
      <c r="ABK43" s="219"/>
      <c r="ABL43" s="219"/>
      <c r="ABM43" s="219"/>
      <c r="ABN43" s="219"/>
      <c r="ABO43" s="219"/>
      <c r="ABP43" s="219"/>
      <c r="ABQ43" s="219"/>
      <c r="ABR43" s="219"/>
      <c r="ABS43" s="219"/>
      <c r="ABT43" s="219"/>
      <c r="ABU43" s="219"/>
      <c r="ABV43" s="219"/>
      <c r="ABW43" s="219"/>
      <c r="ABX43" s="219"/>
      <c r="ABY43" s="219"/>
      <c r="ABZ43" s="219"/>
      <c r="ACA43" s="219"/>
      <c r="ACB43" s="219"/>
      <c r="ACC43" s="219"/>
      <c r="ACD43" s="219"/>
      <c r="ACE43" s="219"/>
      <c r="ACF43" s="219"/>
      <c r="ACG43" s="219"/>
      <c r="ACH43" s="219"/>
      <c r="ACI43" s="219"/>
      <c r="ACJ43" s="219"/>
      <c r="ACK43" s="219"/>
      <c r="ACL43" s="219"/>
      <c r="ACM43" s="219"/>
      <c r="ACN43" s="219"/>
      <c r="ACO43" s="219"/>
      <c r="ACP43" s="219"/>
      <c r="ACQ43" s="219"/>
      <c r="ACR43" s="219"/>
      <c r="ACS43" s="219"/>
      <c r="ACT43" s="219"/>
      <c r="ACU43" s="219"/>
      <c r="ACV43" s="219"/>
      <c r="ACW43" s="219"/>
      <c r="ACX43" s="219"/>
      <c r="ACY43" s="219"/>
      <c r="ACZ43" s="219"/>
      <c r="ADA43" s="219"/>
      <c r="ADB43" s="219"/>
      <c r="ADC43" s="219"/>
      <c r="ADD43" s="219"/>
      <c r="ADE43" s="219"/>
      <c r="ADF43" s="219"/>
      <c r="ADG43" s="219"/>
      <c r="ADH43" s="219"/>
      <c r="ADI43" s="219"/>
      <c r="ADJ43" s="219"/>
      <c r="ADK43" s="219"/>
      <c r="ADL43" s="219"/>
      <c r="ADM43" s="219"/>
      <c r="ADN43" s="219"/>
      <c r="ADO43" s="219"/>
      <c r="ADP43" s="219"/>
      <c r="ADQ43" s="219"/>
      <c r="ADR43" s="219"/>
      <c r="ADS43" s="219"/>
      <c r="ADT43" s="219"/>
      <c r="ADU43" s="219"/>
      <c r="ADV43" s="219"/>
      <c r="ADW43" s="219"/>
      <c r="ADX43" s="219"/>
      <c r="ADY43" s="219"/>
      <c r="ADZ43" s="219"/>
      <c r="AEA43" s="219"/>
      <c r="AEB43" s="219"/>
      <c r="AEC43" s="219"/>
      <c r="AED43" s="219"/>
      <c r="AEE43" s="219"/>
      <c r="AEF43" s="219"/>
      <c r="AEG43" s="219"/>
      <c r="AEH43" s="219"/>
      <c r="AEI43" s="219"/>
      <c r="AEJ43" s="219"/>
      <c r="AEK43" s="219"/>
      <c r="AEL43" s="219"/>
      <c r="AEM43" s="219"/>
      <c r="AEN43" s="219"/>
      <c r="AEO43" s="219"/>
      <c r="AEP43" s="219"/>
      <c r="AEQ43" s="219"/>
      <c r="AER43" s="219"/>
      <c r="AES43" s="219"/>
      <c r="AET43" s="219"/>
      <c r="AEU43" s="219"/>
      <c r="AEV43" s="219"/>
      <c r="AEW43" s="219"/>
      <c r="AEX43" s="219"/>
      <c r="AEY43" s="219"/>
      <c r="AEZ43" s="219"/>
      <c r="AFA43" s="219"/>
      <c r="AFB43" s="219"/>
      <c r="AFC43" s="219"/>
      <c r="AFD43" s="219"/>
      <c r="AFE43" s="219"/>
      <c r="AFF43" s="219"/>
      <c r="AFG43" s="219"/>
      <c r="AFH43" s="219"/>
      <c r="AFI43" s="219"/>
      <c r="AFJ43" s="219"/>
      <c r="AFK43" s="219"/>
      <c r="AFL43" s="219"/>
      <c r="AFM43" s="219"/>
      <c r="AFN43" s="219"/>
      <c r="AFO43" s="219"/>
      <c r="AFP43" s="219"/>
      <c r="AFQ43" s="219"/>
      <c r="AFR43" s="219"/>
      <c r="AFS43" s="219"/>
      <c r="AFT43" s="219"/>
      <c r="AFU43" s="219"/>
      <c r="AFV43" s="219"/>
      <c r="AFW43" s="219"/>
      <c r="AFX43" s="219"/>
      <c r="AFY43" s="219"/>
      <c r="AFZ43" s="219"/>
      <c r="AGA43" s="219"/>
      <c r="AGB43" s="219"/>
      <c r="AGC43" s="219"/>
      <c r="AGD43" s="219"/>
      <c r="AGE43" s="219"/>
      <c r="AGF43" s="219"/>
      <c r="AGG43" s="219"/>
      <c r="AGH43" s="219"/>
      <c r="AGI43" s="219"/>
      <c r="AGJ43" s="219"/>
      <c r="AGK43" s="219"/>
      <c r="AGL43" s="219"/>
      <c r="AGM43" s="219"/>
      <c r="AGN43" s="219"/>
      <c r="AGO43" s="219"/>
      <c r="AGP43" s="219"/>
      <c r="AGQ43" s="219"/>
      <c r="AGR43" s="219"/>
      <c r="AGS43" s="219"/>
      <c r="AGT43" s="219"/>
      <c r="AGU43" s="219"/>
      <c r="AGV43" s="219"/>
      <c r="AGW43" s="219"/>
      <c r="AGX43" s="219"/>
      <c r="AGY43" s="219"/>
      <c r="AGZ43" s="219"/>
      <c r="AHA43" s="219"/>
      <c r="AHB43" s="219"/>
      <c r="AHC43" s="219"/>
      <c r="AHD43" s="219"/>
      <c r="AHE43" s="219"/>
      <c r="AHF43" s="219"/>
      <c r="AHG43" s="219"/>
      <c r="AHH43" s="219"/>
      <c r="AHI43" s="219"/>
      <c r="AHJ43" s="219"/>
      <c r="AHK43" s="219"/>
      <c r="AHL43" s="219"/>
      <c r="AHM43" s="219"/>
      <c r="AHN43" s="219"/>
      <c r="AHO43" s="219"/>
      <c r="AHP43" s="219"/>
      <c r="AHQ43" s="219"/>
      <c r="AHR43" s="219"/>
      <c r="AHS43" s="219"/>
      <c r="AHT43" s="219"/>
      <c r="AHU43" s="219"/>
      <c r="AHV43" s="219"/>
      <c r="AHW43" s="219"/>
      <c r="AHX43" s="219"/>
      <c r="AHY43" s="219"/>
      <c r="AHZ43" s="219"/>
      <c r="AIA43" s="219"/>
      <c r="AIB43" s="219"/>
      <c r="AIC43" s="219"/>
      <c r="AID43" s="219"/>
      <c r="AIE43" s="219"/>
      <c r="AIF43" s="219"/>
      <c r="AIG43" s="219"/>
      <c r="AIH43" s="219"/>
      <c r="AII43" s="219"/>
      <c r="AIJ43" s="219"/>
      <c r="AIK43" s="219"/>
      <c r="AIL43" s="219"/>
      <c r="AIM43" s="219"/>
      <c r="AIN43" s="219"/>
      <c r="AIO43" s="219"/>
      <c r="AIP43" s="219"/>
      <c r="AIQ43" s="219"/>
      <c r="AIR43" s="219"/>
      <c r="AIS43" s="219"/>
      <c r="AIT43" s="219"/>
      <c r="AIU43" s="219"/>
      <c r="AIV43" s="219"/>
      <c r="AIW43" s="219"/>
      <c r="AIX43" s="219"/>
      <c r="AIY43" s="219"/>
      <c r="AIZ43" s="219"/>
      <c r="AJA43" s="219"/>
      <c r="AJB43" s="219"/>
      <c r="AJC43" s="219"/>
      <c r="AJD43" s="219"/>
      <c r="AJE43" s="219"/>
      <c r="AJF43" s="219"/>
      <c r="AJG43" s="219"/>
      <c r="AJH43" s="219"/>
      <c r="AJI43" s="219"/>
      <c r="AJJ43" s="219"/>
      <c r="AJK43" s="219"/>
      <c r="AJL43" s="219"/>
      <c r="AJM43" s="219"/>
      <c r="AJN43" s="219"/>
      <c r="AJO43" s="219"/>
      <c r="AJP43" s="219"/>
      <c r="AJQ43" s="219"/>
      <c r="AJR43" s="219"/>
      <c r="AJS43" s="219"/>
      <c r="AJT43" s="219"/>
      <c r="AJU43" s="219"/>
      <c r="AJV43" s="219"/>
      <c r="AJW43" s="219"/>
      <c r="AJX43" s="219"/>
      <c r="AJY43" s="219"/>
      <c r="AJZ43" s="219"/>
      <c r="AKA43" s="219"/>
      <c r="AKB43" s="219"/>
      <c r="AKC43" s="219"/>
      <c r="AKD43" s="219"/>
      <c r="AKE43" s="219"/>
      <c r="AKF43" s="219"/>
      <c r="AKG43" s="219"/>
      <c r="AKH43" s="219"/>
      <c r="AKI43" s="219"/>
      <c r="AKJ43" s="219"/>
      <c r="AKK43" s="219"/>
      <c r="AKL43" s="219"/>
      <c r="AKM43" s="219"/>
      <c r="AKN43" s="219"/>
    </row>
    <row r="44" spans="1:976" ht="16.5" customHeight="1">
      <c r="A44" s="617" t="s">
        <v>309</v>
      </c>
      <c r="B44" s="464">
        <v>806792925000</v>
      </c>
      <c r="C44" s="464">
        <v>806792925000</v>
      </c>
      <c r="D44" s="237"/>
    </row>
    <row r="45" spans="1:976" ht="16.5" customHeight="1">
      <c r="A45" s="617" t="s">
        <v>371</v>
      </c>
      <c r="B45" s="464">
        <v>463680391349</v>
      </c>
      <c r="C45" s="464">
        <v>463680391349</v>
      </c>
      <c r="D45" s="237"/>
    </row>
    <row r="46" spans="1:976" ht="16.5" customHeight="1">
      <c r="A46" s="617" t="s">
        <v>390</v>
      </c>
      <c r="B46" s="464">
        <v>-58355691382</v>
      </c>
      <c r="C46" s="464">
        <v>-116906314396</v>
      </c>
      <c r="D46" s="237"/>
    </row>
    <row r="47" spans="1:976" ht="16.5" customHeight="1">
      <c r="A47" s="617" t="s">
        <v>391</v>
      </c>
      <c r="B47" s="464">
        <v>-530124468118</v>
      </c>
      <c r="C47" s="464">
        <v>-1223673605446</v>
      </c>
      <c r="D47" s="237"/>
    </row>
    <row r="48" spans="1:976" ht="16.5" customHeight="1">
      <c r="A48" s="617" t="s">
        <v>392</v>
      </c>
      <c r="B48" s="464">
        <v>1654973433825</v>
      </c>
      <c r="C48" s="464">
        <v>1618981281116</v>
      </c>
      <c r="D48" s="237"/>
    </row>
    <row r="49" spans="1:4" ht="16.5" customHeight="1">
      <c r="A49" s="619" t="s">
        <v>370</v>
      </c>
      <c r="B49" s="465">
        <v>2336966590674</v>
      </c>
      <c r="C49" s="465">
        <v>1548874677623</v>
      </c>
      <c r="D49" s="237"/>
    </row>
    <row r="50" spans="1:4" ht="16.5" customHeight="1">
      <c r="A50" s="621" t="s">
        <v>310</v>
      </c>
      <c r="B50" s="553">
        <v>35287666008994</v>
      </c>
      <c r="C50" s="553">
        <v>35347237061940</v>
      </c>
      <c r="D50" s="237"/>
    </row>
    <row r="51" spans="1:4" ht="16.5" customHeight="1">
      <c r="A51" s="622"/>
      <c r="D51" s="237"/>
    </row>
    <row r="52" spans="1:4" ht="16.5" customHeight="1">
      <c r="D52" s="315"/>
    </row>
    <row r="53" spans="1:4" ht="16.5" customHeight="1">
      <c r="D53" s="315"/>
    </row>
    <row r="54" spans="1:4" ht="16.5" customHeight="1">
      <c r="D54" s="315"/>
    </row>
    <row r="55" spans="1:4" ht="16.5" customHeight="1">
      <c r="D55" s="315"/>
    </row>
    <row r="56" spans="1:4" ht="16.5" customHeight="1">
      <c r="D56" s="315"/>
    </row>
    <row r="57" spans="1:4">
      <c r="D57" s="315"/>
    </row>
    <row r="58" spans="1:4">
      <c r="D58" s="315"/>
    </row>
  </sheetData>
  <mergeCells count="3">
    <mergeCell ref="A1:C1"/>
    <mergeCell ref="A3:C3"/>
    <mergeCell ref="A4:C4"/>
  </mergeCells>
  <phoneticPr fontId="7" type="noConversion"/>
  <conditionalFormatting sqref="B6:C6">
    <cfRule type="containsText" dxfId="2" priority="1" operator="containsText" text="FALSE">
      <formula>NOT(ISERROR(SEARCH("FALSE",B6)))</formula>
    </cfRule>
  </conditionalFormatting>
  <pageMargins left="0.19685039370078741" right="0.19685039370078741" top="0.74803149606299213" bottom="0.74803149606299213" header="0.31496062992125984" footer="0.31496062992125984"/>
  <pageSetup paperSize="9" scale="56"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autoPageBreaks="0" fitToPage="1"/>
  </sheetPr>
  <dimension ref="A1:ALH74"/>
  <sheetViews>
    <sheetView showGridLines="0" zoomScale="55" zoomScaleNormal="55" zoomScaleSheetLayoutView="85" workbookViewId="0">
      <selection sqref="A1:C1"/>
    </sheetView>
  </sheetViews>
  <sheetFormatPr defaultRowHeight="16.5"/>
  <cols>
    <col min="1" max="1" width="123" style="221" customWidth="1"/>
    <col min="2" max="3" width="23.140625" style="221" customWidth="1"/>
    <col min="4" max="6" width="9.140625" style="219"/>
    <col min="7" max="7" width="18.85546875" style="738" bestFit="1" customWidth="1"/>
    <col min="8" max="8" width="12.5703125" style="738" bestFit="1" customWidth="1"/>
    <col min="9" max="11" width="9.140625" style="738"/>
    <col min="12" max="12" width="13.5703125" style="738" bestFit="1" customWidth="1"/>
    <col min="13" max="992" width="9.140625" style="219"/>
    <col min="993" max="997" width="12.85546875" customWidth="1"/>
  </cols>
  <sheetData>
    <row r="1" spans="1:996" ht="20.25">
      <c r="A1" s="819" t="s">
        <v>241</v>
      </c>
      <c r="B1" s="819"/>
      <c r="C1" s="819"/>
    </row>
    <row r="2" spans="1:996" ht="13.5">
      <c r="A2" s="214"/>
      <c r="B2" s="213"/>
      <c r="C2" s="213"/>
    </row>
    <row r="3" spans="1:996" ht="16.5" customHeight="1">
      <c r="A3" s="820" t="s">
        <v>396</v>
      </c>
      <c r="B3" s="820"/>
      <c r="C3" s="820"/>
    </row>
    <row r="4" spans="1:996" ht="16.5" customHeight="1">
      <c r="A4" s="820" t="s">
        <v>397</v>
      </c>
      <c r="B4" s="820"/>
      <c r="C4" s="820"/>
    </row>
    <row r="5" spans="1:996">
      <c r="A5" s="215"/>
      <c r="B5" s="216"/>
      <c r="C5" s="212" t="s">
        <v>142</v>
      </c>
    </row>
    <row r="6" spans="1:996">
      <c r="A6" s="239"/>
      <c r="B6" s="236" t="s">
        <v>214</v>
      </c>
      <c r="C6" s="236" t="s">
        <v>214</v>
      </c>
    </row>
    <row r="7" spans="1:996" s="220" customFormat="1" ht="16.5" customHeight="1">
      <c r="A7" s="233"/>
      <c r="B7" s="232" t="s">
        <v>384</v>
      </c>
      <c r="C7" s="232" t="s">
        <v>393</v>
      </c>
      <c r="G7" s="739"/>
      <c r="H7" s="739"/>
      <c r="I7" s="739"/>
      <c r="J7" s="739"/>
      <c r="K7" s="739"/>
      <c r="L7" s="739"/>
      <c r="ALE7"/>
      <c r="ALF7"/>
      <c r="ALG7"/>
      <c r="ALH7"/>
    </row>
    <row r="8" spans="1:996" s="217" customFormat="1" ht="16.5" customHeight="1">
      <c r="A8" s="648" t="s">
        <v>311</v>
      </c>
      <c r="B8" s="742">
        <v>97012121777</v>
      </c>
      <c r="C8" s="742">
        <v>70419566477</v>
      </c>
      <c r="G8" s="740"/>
      <c r="H8" s="739"/>
      <c r="I8" s="739"/>
      <c r="J8" s="738"/>
      <c r="K8" s="738"/>
      <c r="L8" s="738"/>
      <c r="ALE8"/>
      <c r="ALF8"/>
      <c r="ALG8"/>
      <c r="ALH8"/>
    </row>
    <row r="9" spans="1:996" s="217" customFormat="1" ht="16.5" customHeight="1">
      <c r="A9" s="649" t="s">
        <v>312</v>
      </c>
      <c r="B9" s="743">
        <v>664105996330</v>
      </c>
      <c r="C9" s="743">
        <v>629541286450</v>
      </c>
      <c r="G9" s="741"/>
      <c r="H9" s="739"/>
      <c r="I9" s="739"/>
      <c r="J9" s="738"/>
      <c r="K9" s="738"/>
      <c r="L9" s="738"/>
      <c r="ALE9"/>
      <c r="ALF9"/>
      <c r="ALG9"/>
      <c r="ALH9"/>
    </row>
    <row r="10" spans="1:996" s="217" customFormat="1" ht="16.5" customHeight="1">
      <c r="A10" s="650" t="s">
        <v>313</v>
      </c>
      <c r="B10" s="744">
        <v>649473285857</v>
      </c>
      <c r="C10" s="744">
        <v>606378308828</v>
      </c>
      <c r="G10" s="741"/>
      <c r="H10" s="739"/>
      <c r="I10" s="739"/>
      <c r="J10" s="738"/>
      <c r="K10" s="738"/>
      <c r="L10" s="738"/>
      <c r="ALE10"/>
      <c r="ALF10"/>
      <c r="ALG10"/>
      <c r="ALH10"/>
    </row>
    <row r="11" spans="1:996" s="217" customFormat="1" ht="16.5" customHeight="1">
      <c r="A11" s="650" t="s">
        <v>314</v>
      </c>
      <c r="B11" s="744">
        <v>312105967821</v>
      </c>
      <c r="C11" s="744">
        <v>287500464993</v>
      </c>
      <c r="G11" s="741"/>
      <c r="H11" s="739"/>
      <c r="I11" s="739"/>
      <c r="J11" s="738"/>
      <c r="K11" s="738"/>
      <c r="L11" s="738"/>
      <c r="ALE11"/>
      <c r="ALF11"/>
      <c r="ALG11"/>
      <c r="ALH11"/>
    </row>
    <row r="12" spans="1:996" s="217" customFormat="1" ht="16.5" customHeight="1">
      <c r="A12" s="650" t="s">
        <v>315</v>
      </c>
      <c r="B12" s="744">
        <v>9509396734</v>
      </c>
      <c r="C12" s="744">
        <v>9361026700</v>
      </c>
      <c r="G12" s="741"/>
      <c r="H12" s="739"/>
      <c r="I12" s="739"/>
      <c r="J12" s="738"/>
      <c r="K12" s="738"/>
      <c r="L12" s="738"/>
      <c r="ALE12"/>
      <c r="ALF12"/>
      <c r="ALG12"/>
      <c r="ALH12"/>
    </row>
    <row r="13" spans="1:996" s="217" customFormat="1" ht="16.5" customHeight="1">
      <c r="A13" s="650" t="s">
        <v>316</v>
      </c>
      <c r="B13" s="744">
        <v>83910958775</v>
      </c>
      <c r="C13" s="744">
        <v>80568190362</v>
      </c>
      <c r="G13" s="741"/>
      <c r="H13" s="739"/>
      <c r="I13" s="739"/>
      <c r="J13" s="738"/>
      <c r="K13" s="738"/>
      <c r="L13" s="738"/>
      <c r="ALE13"/>
      <c r="ALF13"/>
      <c r="ALG13"/>
      <c r="ALH13"/>
    </row>
    <row r="14" spans="1:996" s="217" customFormat="1" ht="16.5" customHeight="1">
      <c r="A14" s="650" t="s">
        <v>317</v>
      </c>
      <c r="B14" s="744">
        <v>12500204711</v>
      </c>
      <c r="C14" s="744">
        <v>11938931673</v>
      </c>
      <c r="G14" s="741"/>
      <c r="H14" s="739"/>
      <c r="I14" s="739"/>
      <c r="J14" s="738"/>
      <c r="K14" s="738"/>
      <c r="L14" s="738"/>
      <c r="ALE14"/>
      <c r="ALF14"/>
      <c r="ALG14"/>
      <c r="ALH14"/>
    </row>
    <row r="15" spans="1:996" s="220" customFormat="1" ht="16.5" customHeight="1">
      <c r="A15" s="650" t="s">
        <v>318</v>
      </c>
      <c r="B15" s="744">
        <v>20258790328</v>
      </c>
      <c r="C15" s="744">
        <v>22144141034</v>
      </c>
      <c r="G15" s="741"/>
      <c r="H15" s="739"/>
      <c r="I15" s="739"/>
      <c r="J15" s="739"/>
      <c r="K15" s="739"/>
      <c r="L15" s="739"/>
      <c r="ALE15"/>
      <c r="ALF15"/>
      <c r="ALG15"/>
      <c r="ALH15"/>
    </row>
    <row r="16" spans="1:996" s="220" customFormat="1" ht="16.5" customHeight="1">
      <c r="A16" s="650" t="s">
        <v>319</v>
      </c>
      <c r="B16" s="744">
        <v>125511494001</v>
      </c>
      <c r="C16" s="744">
        <v>126063510783</v>
      </c>
      <c r="G16" s="741"/>
      <c r="H16" s="739"/>
      <c r="I16" s="739"/>
      <c r="J16" s="739"/>
      <c r="K16" s="739"/>
      <c r="L16" s="739"/>
      <c r="ALE16"/>
      <c r="ALF16"/>
      <c r="ALG16"/>
      <c r="ALH16"/>
    </row>
    <row r="17" spans="1:996" s="220" customFormat="1" ht="16.5" customHeight="1">
      <c r="A17" s="650" t="s">
        <v>320</v>
      </c>
      <c r="B17" s="744">
        <v>95182823844</v>
      </c>
      <c r="C17" s="744">
        <v>76003775546</v>
      </c>
      <c r="G17" s="741"/>
      <c r="H17" s="739"/>
      <c r="I17" s="739"/>
      <c r="J17" s="739"/>
      <c r="K17" s="739"/>
      <c r="L17" s="739"/>
      <c r="ALE17"/>
      <c r="ALF17"/>
      <c r="ALG17"/>
      <c r="ALH17"/>
    </row>
    <row r="18" spans="1:996" ht="16.5" customHeight="1">
      <c r="A18" s="650" t="s">
        <v>321</v>
      </c>
      <c r="B18" s="744">
        <v>-9506350357</v>
      </c>
      <c r="C18" s="744">
        <v>-7201732263</v>
      </c>
      <c r="G18" s="741"/>
      <c r="H18" s="739"/>
      <c r="I18" s="739"/>
    </row>
    <row r="19" spans="1:996" ht="16.5" customHeight="1">
      <c r="A19" s="650" t="s">
        <v>322</v>
      </c>
      <c r="B19" s="744">
        <v>14632710473</v>
      </c>
      <c r="C19" s="744">
        <v>23162977622</v>
      </c>
      <c r="G19" s="741"/>
      <c r="H19" s="739"/>
      <c r="I19" s="739"/>
    </row>
    <row r="20" spans="1:996" ht="16.5" customHeight="1">
      <c r="A20" s="649" t="s">
        <v>323</v>
      </c>
      <c r="B20" s="743">
        <v>567093874553</v>
      </c>
      <c r="C20" s="743">
        <v>559121719973</v>
      </c>
      <c r="G20" s="741"/>
      <c r="H20" s="739"/>
      <c r="I20" s="739"/>
    </row>
    <row r="21" spans="1:996" ht="16.5" customHeight="1">
      <c r="A21" s="650" t="s">
        <v>324</v>
      </c>
      <c r="B21" s="744">
        <v>539853354350</v>
      </c>
      <c r="C21" s="744">
        <v>529124028320</v>
      </c>
      <c r="G21" s="741"/>
      <c r="H21" s="739"/>
      <c r="I21" s="739"/>
    </row>
    <row r="22" spans="1:996" ht="16.5" customHeight="1">
      <c r="A22" s="650" t="s">
        <v>325</v>
      </c>
      <c r="B22" s="744">
        <v>346673716448</v>
      </c>
      <c r="C22" s="744">
        <v>304890459239</v>
      </c>
      <c r="G22" s="741"/>
      <c r="H22" s="739"/>
      <c r="I22" s="739"/>
    </row>
    <row r="23" spans="1:996" ht="16.5" customHeight="1">
      <c r="A23" s="650" t="s">
        <v>326</v>
      </c>
      <c r="B23" s="744">
        <v>10110506953</v>
      </c>
      <c r="C23" s="744">
        <v>9281010062</v>
      </c>
      <c r="G23" s="741"/>
      <c r="H23" s="739"/>
      <c r="I23" s="739"/>
    </row>
    <row r="24" spans="1:996" ht="16.5" customHeight="1">
      <c r="A24" s="650" t="s">
        <v>327</v>
      </c>
      <c r="B24" s="744">
        <v>82239175064</v>
      </c>
      <c r="C24" s="744">
        <v>75099831351</v>
      </c>
      <c r="G24" s="741"/>
      <c r="H24" s="739"/>
      <c r="I24" s="739"/>
    </row>
    <row r="25" spans="1:996" ht="16.5" customHeight="1">
      <c r="A25" s="650" t="s">
        <v>328</v>
      </c>
      <c r="B25" s="744">
        <v>12113097011</v>
      </c>
      <c r="C25" s="744">
        <v>10973871091</v>
      </c>
      <c r="G25" s="741"/>
      <c r="H25" s="739"/>
      <c r="I25" s="739"/>
    </row>
    <row r="26" spans="1:996">
      <c r="A26" s="650" t="s">
        <v>329</v>
      </c>
      <c r="B26" s="744">
        <v>-8319346209</v>
      </c>
      <c r="C26" s="744">
        <v>45134953629</v>
      </c>
      <c r="G26" s="741"/>
      <c r="H26" s="739"/>
      <c r="I26" s="739"/>
    </row>
    <row r="27" spans="1:996">
      <c r="A27" s="650" t="s">
        <v>330</v>
      </c>
      <c r="B27" s="744">
        <v>8767907152</v>
      </c>
      <c r="C27" s="744">
        <v>11364030250</v>
      </c>
      <c r="G27" s="741"/>
      <c r="H27" s="739"/>
      <c r="I27" s="739"/>
    </row>
    <row r="28" spans="1:996">
      <c r="A28" s="650" t="s">
        <v>320</v>
      </c>
      <c r="B28" s="744">
        <v>95182823844</v>
      </c>
      <c r="C28" s="744">
        <v>76003775546</v>
      </c>
      <c r="G28" s="741"/>
      <c r="H28" s="739"/>
      <c r="I28" s="739"/>
    </row>
    <row r="29" spans="1:996">
      <c r="A29" s="650" t="s">
        <v>331</v>
      </c>
      <c r="B29" s="744">
        <v>-9506350357</v>
      </c>
      <c r="C29" s="744">
        <v>-7201732263</v>
      </c>
      <c r="G29" s="741"/>
      <c r="H29" s="739"/>
      <c r="I29" s="739"/>
    </row>
    <row r="30" spans="1:996">
      <c r="A30" s="650" t="s">
        <v>332</v>
      </c>
      <c r="B30" s="744">
        <v>2591824444</v>
      </c>
      <c r="C30" s="744">
        <v>3577829415</v>
      </c>
      <c r="G30" s="741"/>
      <c r="H30" s="739"/>
      <c r="I30" s="739"/>
    </row>
    <row r="31" spans="1:996">
      <c r="A31" s="650" t="s">
        <v>333</v>
      </c>
      <c r="B31" s="744">
        <v>10952277935</v>
      </c>
      <c r="C31" s="744">
        <v>13397960319</v>
      </c>
      <c r="G31" s="741"/>
      <c r="H31" s="739"/>
      <c r="I31" s="739"/>
    </row>
    <row r="32" spans="1:996">
      <c r="A32" s="650" t="s">
        <v>334</v>
      </c>
      <c r="B32" s="744">
        <v>16288242268</v>
      </c>
      <c r="C32" s="744">
        <v>16599731334</v>
      </c>
      <c r="G32" s="741"/>
      <c r="H32" s="739"/>
      <c r="I32" s="739"/>
    </row>
    <row r="33" spans="1:9">
      <c r="A33" s="649" t="s">
        <v>335</v>
      </c>
      <c r="B33" s="743">
        <v>20931990288</v>
      </c>
      <c r="C33" s="743">
        <v>29633784729</v>
      </c>
      <c r="G33" s="746"/>
      <c r="H33" s="739"/>
      <c r="I33" s="739"/>
    </row>
    <row r="34" spans="1:9">
      <c r="A34" s="649" t="s">
        <v>336</v>
      </c>
      <c r="B34" s="743">
        <v>1832604844280</v>
      </c>
      <c r="C34" s="743">
        <v>1327160897950</v>
      </c>
      <c r="G34" s="746"/>
      <c r="H34" s="739"/>
      <c r="I34" s="739"/>
    </row>
    <row r="35" spans="1:9">
      <c r="A35" s="650" t="s">
        <v>337</v>
      </c>
      <c r="B35" s="744">
        <v>86274199</v>
      </c>
      <c r="C35" s="744">
        <v>144317978</v>
      </c>
      <c r="G35" s="747"/>
      <c r="H35" s="739"/>
      <c r="I35" s="739"/>
    </row>
    <row r="36" spans="1:9">
      <c r="A36" s="650" t="s">
        <v>338</v>
      </c>
      <c r="B36" s="744">
        <v>8388395135</v>
      </c>
      <c r="C36" s="744">
        <v>7670767234</v>
      </c>
      <c r="G36" s="747"/>
      <c r="H36" s="739"/>
      <c r="I36" s="739"/>
    </row>
    <row r="37" spans="1:9">
      <c r="A37" s="650" t="s">
        <v>339</v>
      </c>
      <c r="B37" s="744">
        <v>559424325988</v>
      </c>
      <c r="C37" s="744">
        <v>518835998002</v>
      </c>
      <c r="G37" s="746"/>
      <c r="H37" s="739"/>
      <c r="I37" s="739"/>
    </row>
    <row r="38" spans="1:9">
      <c r="A38" s="650" t="s">
        <v>340</v>
      </c>
      <c r="B38" s="744">
        <v>11986401316</v>
      </c>
      <c r="C38" s="744">
        <v>11407165422</v>
      </c>
      <c r="G38" s="746"/>
      <c r="H38" s="739"/>
      <c r="I38" s="739"/>
    </row>
    <row r="39" spans="1:9">
      <c r="A39" s="650" t="s">
        <v>341</v>
      </c>
      <c r="B39" s="744">
        <v>1027830447702</v>
      </c>
      <c r="C39" s="744">
        <v>350190230550</v>
      </c>
      <c r="G39" s="746"/>
      <c r="H39" s="739"/>
      <c r="I39" s="739"/>
    </row>
    <row r="40" spans="1:9">
      <c r="A40" s="650" t="s">
        <v>342</v>
      </c>
      <c r="B40" s="744">
        <v>2901998864</v>
      </c>
      <c r="C40" s="744">
        <v>33361826581</v>
      </c>
      <c r="G40" s="747"/>
      <c r="H40" s="739"/>
      <c r="I40" s="739"/>
    </row>
    <row r="41" spans="1:9">
      <c r="A41" s="650" t="s">
        <v>343</v>
      </c>
      <c r="B41" s="744">
        <v>68411894</v>
      </c>
      <c r="C41" s="744">
        <v>58640893</v>
      </c>
      <c r="G41" s="747"/>
      <c r="H41" s="739"/>
      <c r="I41" s="739"/>
    </row>
    <row r="42" spans="1:9">
      <c r="A42" s="650" t="s">
        <v>344</v>
      </c>
      <c r="B42" s="744">
        <v>1596146252</v>
      </c>
      <c r="C42" s="744">
        <v>0</v>
      </c>
      <c r="G42" s="747"/>
      <c r="H42" s="739"/>
      <c r="I42" s="739"/>
    </row>
    <row r="43" spans="1:9">
      <c r="A43" s="650" t="s">
        <v>345</v>
      </c>
      <c r="B43" s="744">
        <v>158645363010</v>
      </c>
      <c r="C43" s="744">
        <v>101644383221</v>
      </c>
      <c r="G43" s="746"/>
      <c r="H43" s="739"/>
      <c r="I43" s="739"/>
    </row>
    <row r="44" spans="1:9">
      <c r="A44" s="650" t="s">
        <v>346</v>
      </c>
      <c r="B44" s="744">
        <v>10697206378</v>
      </c>
      <c r="C44" s="744">
        <v>265235408166</v>
      </c>
      <c r="G44" s="746"/>
      <c r="H44" s="739"/>
      <c r="I44" s="739"/>
    </row>
    <row r="45" spans="1:9">
      <c r="A45" s="650" t="s">
        <v>347</v>
      </c>
      <c r="B45" s="744">
        <v>24511762193</v>
      </c>
      <c r="C45" s="744">
        <v>30126832195</v>
      </c>
      <c r="G45" s="747"/>
      <c r="H45" s="739"/>
      <c r="I45" s="739"/>
    </row>
    <row r="46" spans="1:9">
      <c r="A46" s="650" t="s">
        <v>348</v>
      </c>
      <c r="B46" s="744">
        <v>26468111349</v>
      </c>
      <c r="C46" s="744">
        <v>8485327708</v>
      </c>
      <c r="G46" s="746"/>
      <c r="H46" s="739"/>
      <c r="I46" s="739"/>
    </row>
    <row r="47" spans="1:9">
      <c r="A47" s="649" t="s">
        <v>349</v>
      </c>
      <c r="B47" s="743">
        <v>1811672853992</v>
      </c>
      <c r="C47" s="743">
        <v>1297527113221</v>
      </c>
      <c r="G47" s="741"/>
      <c r="H47" s="739"/>
      <c r="I47" s="739"/>
    </row>
    <row r="48" spans="1:9">
      <c r="A48" s="650" t="s">
        <v>350</v>
      </c>
      <c r="B48" s="744">
        <v>1150175878510</v>
      </c>
      <c r="C48" s="744">
        <v>641966658685</v>
      </c>
      <c r="G48" s="741"/>
      <c r="H48" s="739"/>
      <c r="I48" s="739"/>
    </row>
    <row r="49" spans="1:9">
      <c r="A49" s="650" t="s">
        <v>351</v>
      </c>
      <c r="B49" s="744">
        <v>100260518179</v>
      </c>
      <c r="C49" s="744">
        <v>77903196965</v>
      </c>
      <c r="G49" s="741"/>
      <c r="H49" s="739"/>
      <c r="I49" s="739"/>
    </row>
    <row r="50" spans="1:9">
      <c r="A50" s="650" t="s">
        <v>352</v>
      </c>
      <c r="B50" s="744">
        <v>346345542888</v>
      </c>
      <c r="C50" s="744">
        <v>70921659155</v>
      </c>
      <c r="G50" s="741"/>
      <c r="H50" s="739"/>
      <c r="I50" s="739"/>
    </row>
    <row r="51" spans="1:9">
      <c r="A51" s="650" t="s">
        <v>353</v>
      </c>
      <c r="B51" s="744">
        <v>701789151</v>
      </c>
      <c r="C51" s="744">
        <v>11118532896</v>
      </c>
      <c r="G51" s="741"/>
      <c r="H51" s="739"/>
      <c r="I51" s="739"/>
    </row>
    <row r="52" spans="1:9">
      <c r="A52" s="650" t="s">
        <v>354</v>
      </c>
      <c r="B52" s="744">
        <v>0</v>
      </c>
      <c r="C52" s="744">
        <v>0</v>
      </c>
      <c r="G52" s="741"/>
      <c r="H52" s="739"/>
      <c r="I52" s="739"/>
    </row>
    <row r="53" spans="1:9">
      <c r="A53" s="650" t="s">
        <v>355</v>
      </c>
      <c r="B53" s="744">
        <v>0</v>
      </c>
      <c r="C53" s="744">
        <v>13043132715</v>
      </c>
      <c r="G53" s="741"/>
      <c r="H53" s="739"/>
      <c r="I53" s="739"/>
    </row>
    <row r="54" spans="1:9">
      <c r="A54" s="650" t="s">
        <v>356</v>
      </c>
      <c r="B54" s="744">
        <v>53016952714</v>
      </c>
      <c r="C54" s="744">
        <v>363597330779</v>
      </c>
      <c r="G54" s="741"/>
      <c r="H54" s="739"/>
      <c r="I54" s="739"/>
    </row>
    <row r="55" spans="1:9">
      <c r="A55" s="650" t="s">
        <v>357</v>
      </c>
      <c r="B55" s="744">
        <v>123248536559</v>
      </c>
      <c r="C55" s="744">
        <v>73887572903</v>
      </c>
      <c r="G55" s="741"/>
      <c r="H55" s="739"/>
      <c r="I55" s="739"/>
    </row>
    <row r="56" spans="1:9">
      <c r="A56" s="650" t="s">
        <v>358</v>
      </c>
      <c r="B56" s="744">
        <v>1927136194</v>
      </c>
      <c r="C56" s="744">
        <v>1525433150</v>
      </c>
      <c r="G56" s="741"/>
      <c r="H56" s="739"/>
      <c r="I56" s="739"/>
    </row>
    <row r="57" spans="1:9">
      <c r="A57" s="650" t="s">
        <v>359</v>
      </c>
      <c r="B57" s="744">
        <v>35996499797</v>
      </c>
      <c r="C57" s="744">
        <v>43563595973</v>
      </c>
      <c r="G57" s="741"/>
      <c r="H57" s="739"/>
      <c r="I57" s="739"/>
    </row>
    <row r="58" spans="1:9">
      <c r="A58" s="649" t="s">
        <v>360</v>
      </c>
      <c r="B58" s="743">
        <v>117944112065</v>
      </c>
      <c r="C58" s="743">
        <v>100053351206</v>
      </c>
      <c r="G58" s="741"/>
      <c r="H58" s="739"/>
      <c r="I58" s="739"/>
    </row>
    <row r="59" spans="1:9">
      <c r="A59" s="649" t="s">
        <v>361</v>
      </c>
      <c r="B59" s="743">
        <v>3913123680</v>
      </c>
      <c r="C59" s="743">
        <v>299811782</v>
      </c>
      <c r="G59" s="741"/>
      <c r="H59" s="739"/>
      <c r="I59" s="739"/>
    </row>
    <row r="60" spans="1:9">
      <c r="A60" s="649" t="s">
        <v>362</v>
      </c>
      <c r="B60" s="743">
        <v>1276741691</v>
      </c>
      <c r="C60" s="743">
        <v>4225254014</v>
      </c>
      <c r="G60" s="741"/>
      <c r="H60" s="739"/>
      <c r="I60" s="739"/>
    </row>
    <row r="61" spans="1:9">
      <c r="A61" s="649" t="s">
        <v>363</v>
      </c>
      <c r="B61" s="743">
        <v>120580494054</v>
      </c>
      <c r="C61" s="743">
        <v>96127908974</v>
      </c>
      <c r="G61" s="741"/>
      <c r="H61" s="739"/>
      <c r="I61" s="739"/>
    </row>
    <row r="62" spans="1:9">
      <c r="A62" s="649" t="s">
        <v>364</v>
      </c>
      <c r="B62" s="743">
        <v>28650817211</v>
      </c>
      <c r="C62" s="743">
        <v>13715637473</v>
      </c>
      <c r="G62" s="741"/>
      <c r="H62" s="739"/>
      <c r="I62" s="739"/>
    </row>
    <row r="63" spans="1:9">
      <c r="A63" s="651" t="s">
        <v>365</v>
      </c>
      <c r="B63" s="745">
        <v>91929676843</v>
      </c>
      <c r="C63" s="745">
        <v>82412271501</v>
      </c>
      <c r="G63" s="741"/>
      <c r="H63" s="739"/>
      <c r="I63" s="739"/>
    </row>
    <row r="64" spans="1:9">
      <c r="G64" s="741"/>
    </row>
    <row r="65" spans="7:7">
      <c r="G65" s="741"/>
    </row>
    <row r="66" spans="7:7">
      <c r="G66" s="741"/>
    </row>
    <row r="67" spans="7:7">
      <c r="G67" s="741"/>
    </row>
    <row r="68" spans="7:7">
      <c r="G68" s="741"/>
    </row>
    <row r="69" spans="7:7">
      <c r="G69" s="741"/>
    </row>
    <row r="70" spans="7:7">
      <c r="G70" s="741"/>
    </row>
    <row r="71" spans="7:7">
      <c r="G71" s="741"/>
    </row>
    <row r="72" spans="7:7">
      <c r="G72" s="741"/>
    </row>
    <row r="73" spans="7:7">
      <c r="G73" s="741"/>
    </row>
    <row r="74" spans="7:7">
      <c r="G74" s="741"/>
    </row>
  </sheetData>
  <mergeCells count="3">
    <mergeCell ref="A1:C1"/>
    <mergeCell ref="A3:C3"/>
    <mergeCell ref="A4:C4"/>
  </mergeCells>
  <phoneticPr fontId="7" type="noConversion"/>
  <conditionalFormatting sqref="G33:G46">
    <cfRule type="containsText" dxfId="1" priority="2" operator="containsText" text="FALSE">
      <formula>NOT(ISERROR(SEARCH("FALSE",G33)))</formula>
    </cfRule>
  </conditionalFormatting>
  <conditionalFormatting sqref="B6:C6">
    <cfRule type="containsText" dxfId="0" priority="1" operator="containsText" text="FALSE">
      <formula>NOT(ISERROR(SEARCH("FALSE",B6)))</formula>
    </cfRule>
  </conditionalFormatting>
  <pageMargins left="0.19685039370078741" right="0.19685039370078741"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19</vt:i4>
      </vt:variant>
      <vt:variant>
        <vt:lpstr>이름 지정된 범위</vt:lpstr>
      </vt:variant>
      <vt:variant>
        <vt:i4>19</vt:i4>
      </vt:variant>
    </vt:vector>
  </HeadingPairs>
  <TitlesOfParts>
    <vt:vector size="38" baseType="lpstr">
      <vt:lpstr>Cover</vt:lpstr>
      <vt:lpstr>FH</vt:lpstr>
      <vt:lpstr>FS</vt:lpstr>
      <vt:lpstr>CSM</vt:lpstr>
      <vt:lpstr>Stability</vt:lpstr>
      <vt:lpstr>Productivity</vt:lpstr>
      <vt:lpstr>APE by P.T</vt:lpstr>
      <vt:lpstr>Premium Income by P.T.(GA+SA)</vt:lpstr>
      <vt:lpstr>Premium Income by P.T.</vt:lpstr>
      <vt:lpstr>Initial P. by P.T.</vt:lpstr>
      <vt:lpstr>First-year P. by P.T.</vt:lpstr>
      <vt:lpstr>APE by D.C</vt:lpstr>
      <vt:lpstr>Premium Income by D.C.(GA+SA)</vt:lpstr>
      <vt:lpstr>Premium Income by D.C.</vt:lpstr>
      <vt:lpstr>First-year P. by D.C</vt:lpstr>
      <vt:lpstr>&gt;Loan</vt:lpstr>
      <vt:lpstr>&gt;Bond</vt:lpstr>
      <vt:lpstr>BS  K-IFRS</vt:lpstr>
      <vt:lpstr>IS  K-IFRS</vt:lpstr>
      <vt:lpstr>'&gt;Bond'!Print_Area</vt:lpstr>
      <vt:lpstr>'&gt;Loan'!Print_Area</vt:lpstr>
      <vt:lpstr>'APE by D.C'!Print_Area</vt:lpstr>
      <vt:lpstr>'APE by P.T'!Print_Area</vt:lpstr>
      <vt:lpstr>'BS  K-IFRS'!Print_Area</vt:lpstr>
      <vt:lpstr>Cover!Print_Area</vt:lpstr>
      <vt:lpstr>CSM!Print_Area</vt:lpstr>
      <vt:lpstr>FH!Print_Area</vt:lpstr>
      <vt:lpstr>'First-year P. by D.C'!Print_Area</vt:lpstr>
      <vt:lpstr>'First-year P. by P.T.'!Print_Area</vt:lpstr>
      <vt:lpstr>FS!Print_Area</vt:lpstr>
      <vt:lpstr>'Initial P. by P.T.'!Print_Area</vt:lpstr>
      <vt:lpstr>'IS  K-IFRS'!Print_Area</vt:lpstr>
      <vt:lpstr>'Premium Income by D.C.'!Print_Area</vt:lpstr>
      <vt:lpstr>'Premium Income by D.C.(GA+SA)'!Print_Area</vt:lpstr>
      <vt:lpstr>'Premium Income by P.T.'!Print_Area</vt:lpstr>
      <vt:lpstr>'Premium Income by P.T.(GA+SA)'!Print_Area</vt:lpstr>
      <vt:lpstr>Productivity!Print_Area</vt:lpstr>
      <vt:lpstr>Stability!Print_Area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TONGYANG</dc:creator>
  <cp:lastModifiedBy>master</cp:lastModifiedBy>
  <cp:lastPrinted>2026-07-20T10:41:04Z</cp:lastPrinted>
  <dcterms:created xsi:type="dcterms:W3CDTF">2013-12-23T05:35:48Z</dcterms:created>
  <dcterms:modified xsi:type="dcterms:W3CDTF">2026-08-17T23:22:38Z</dcterms:modified>
</cp:coreProperties>
</file>